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urva\purvabhatia.github.io\assets\"/>
    </mc:Choice>
  </mc:AlternateContent>
  <xr:revisionPtr revIDLastSave="0" documentId="13_ncr:1_{EB4B238D-97AA-47A8-AE2E-4770BD7A2135}" xr6:coauthVersionLast="47" xr6:coauthVersionMax="47" xr10:uidLastSave="{00000000-0000-0000-0000-000000000000}"/>
  <bookViews>
    <workbookView xWindow="-120" yWindow="-120" windowWidth="38640" windowHeight="21240" firstSheet="4" activeTab="7" xr2:uid="{00000000-000D-0000-FFFF-FFFF00000000}"/>
  </bookViews>
  <sheets>
    <sheet name="Assumptions" sheetId="14" r:id="rId1"/>
    <sheet name="IS-Reorg" sheetId="5" r:id="rId2"/>
    <sheet name="Litigation related payments" sheetId="13" r:id="rId3"/>
    <sheet name="BS-Reorg" sheetId="6" r:id="rId4"/>
    <sheet name="Beta" sheetId="9" r:id="rId5"/>
    <sheet name="WACC" sheetId="8" r:id="rId6"/>
    <sheet name="TRACE Bond details" sheetId="18" r:id="rId7"/>
    <sheet name="Valuation" sheetId="7" r:id="rId8"/>
    <sheet name="Segment wise" sheetId="12" r:id="rId9"/>
    <sheet name="Historical analysis and Ratios" sheetId="15" r:id="rId10"/>
    <sheet name="3M-BS" sheetId="4" r:id="rId11"/>
    <sheet name="3M-CFS" sheetId="3" r:id="rId12"/>
    <sheet name="3M-IS" sheetId="2" r:id="rId13"/>
    <sheet name="MMM-US" sheetId="17" r:id="rId14"/>
  </sheets>
  <definedNames>
    <definedName name="_xlnm._FilterDatabase" localSheetId="5" hidden="1">WACC!$G$4:$S$35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Beta!$K$2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7" l="1"/>
  <c r="B70" i="5"/>
  <c r="I70" i="5"/>
  <c r="B72" i="5"/>
  <c r="E9" i="15"/>
  <c r="F9" i="15"/>
  <c r="G9" i="15"/>
  <c r="H9" i="15"/>
  <c r="I9" i="15"/>
  <c r="J9" i="15"/>
  <c r="K9" i="15"/>
  <c r="L9" i="15"/>
  <c r="D9" i="15"/>
  <c r="C9" i="15"/>
  <c r="M4" i="5"/>
  <c r="N4" i="5"/>
  <c r="O4" i="5"/>
  <c r="P4" i="5"/>
  <c r="Q4" i="5"/>
  <c r="R4" i="5"/>
  <c r="S4" i="5"/>
  <c r="T4" i="5"/>
  <c r="U4" i="5"/>
  <c r="V4" i="5"/>
  <c r="L4" i="5"/>
  <c r="B69" i="5"/>
  <c r="E2" i="9"/>
  <c r="C28" i="8"/>
  <c r="C27" i="8"/>
  <c r="C26" i="8"/>
  <c r="B93" i="5"/>
  <c r="M91" i="5"/>
  <c r="K91" i="5"/>
  <c r="B27" i="18"/>
  <c r="C11" i="8"/>
  <c r="B39" i="18"/>
  <c r="B40" i="18" s="1"/>
  <c r="C10" i="8" s="1"/>
  <c r="B37" i="18"/>
  <c r="K4" i="7"/>
  <c r="K34" i="7"/>
  <c r="K5" i="7"/>
  <c r="L33" i="15"/>
  <c r="K33" i="15"/>
  <c r="J33" i="15"/>
  <c r="I33" i="15"/>
  <c r="H33" i="15"/>
  <c r="G33" i="15"/>
  <c r="F33" i="15"/>
  <c r="O27" i="7"/>
  <c r="B10" i="8"/>
  <c r="B36" i="18"/>
  <c r="B35" i="18"/>
  <c r="G34" i="18"/>
  <c r="E34" i="18"/>
  <c r="C9" i="8"/>
  <c r="B9" i="8"/>
  <c r="B11" i="8" s="1"/>
  <c r="B27" i="8" s="1"/>
  <c r="B28" i="18"/>
  <c r="B23" i="18"/>
  <c r="F20" i="18"/>
  <c r="G19" i="18"/>
  <c r="H19" i="18" s="1"/>
  <c r="I19" i="18" s="1"/>
  <c r="G18" i="18"/>
  <c r="H18" i="18" s="1"/>
  <c r="I18" i="18" s="1"/>
  <c r="G17" i="18"/>
  <c r="H17" i="18" s="1"/>
  <c r="I17" i="18" s="1"/>
  <c r="G16" i="18"/>
  <c r="H16" i="18" s="1"/>
  <c r="I16" i="18" s="1"/>
  <c r="G15" i="18"/>
  <c r="H15" i="18" s="1"/>
  <c r="I15" i="18" s="1"/>
  <c r="G14" i="18"/>
  <c r="H14" i="18" s="1"/>
  <c r="I14" i="18" s="1"/>
  <c r="G13" i="18"/>
  <c r="H13" i="18" s="1"/>
  <c r="I13" i="18" s="1"/>
  <c r="G12" i="18"/>
  <c r="G11" i="18"/>
  <c r="H11" i="18" s="1"/>
  <c r="I11" i="18" s="1"/>
  <c r="G10" i="18"/>
  <c r="H10" i="18" s="1"/>
  <c r="I10" i="18" s="1"/>
  <c r="G9" i="18"/>
  <c r="H9" i="18" s="1"/>
  <c r="I9" i="18" s="1"/>
  <c r="G8" i="18"/>
  <c r="H8" i="18" s="1"/>
  <c r="I8" i="18" s="1"/>
  <c r="G7" i="18"/>
  <c r="H7" i="18" s="1"/>
  <c r="I7" i="18" s="1"/>
  <c r="G6" i="18"/>
  <c r="H6" i="18" s="1"/>
  <c r="I6" i="18" s="1"/>
  <c r="G5" i="18"/>
  <c r="H5" i="18" s="1"/>
  <c r="I5" i="18" s="1"/>
  <c r="K30" i="7" l="1"/>
  <c r="B12" i="8"/>
  <c r="D27" i="8"/>
  <c r="H12" i="18"/>
  <c r="I12" i="18" s="1"/>
  <c r="I20" i="18" s="1"/>
  <c r="G20" i="18"/>
  <c r="B26" i="18" l="1"/>
  <c r="B25" i="18"/>
  <c r="B24" i="18"/>
  <c r="E33" i="15" l="1"/>
  <c r="D33" i="15"/>
  <c r="C33" i="15"/>
  <c r="L32" i="15"/>
  <c r="K32" i="15"/>
  <c r="J32" i="15"/>
  <c r="I32" i="15"/>
  <c r="H32" i="15"/>
  <c r="G32" i="15"/>
  <c r="F32" i="15"/>
  <c r="E32" i="15"/>
  <c r="D32" i="15"/>
  <c r="C32" i="15"/>
  <c r="L31" i="15"/>
  <c r="K31" i="15"/>
  <c r="J31" i="15"/>
  <c r="I31" i="15"/>
  <c r="H31" i="15"/>
  <c r="G31" i="15"/>
  <c r="F31" i="15"/>
  <c r="E31" i="15"/>
  <c r="D31" i="15"/>
  <c r="C31" i="15"/>
  <c r="D16" i="15"/>
  <c r="E16" i="15"/>
  <c r="F16" i="15"/>
  <c r="G16" i="15"/>
  <c r="H16" i="15"/>
  <c r="I16" i="15"/>
  <c r="J16" i="15"/>
  <c r="K16" i="15"/>
  <c r="L16" i="15"/>
  <c r="C16" i="15"/>
  <c r="D15" i="15"/>
  <c r="E15" i="15"/>
  <c r="F15" i="15"/>
  <c r="G15" i="15"/>
  <c r="H15" i="15"/>
  <c r="I15" i="15"/>
  <c r="J15" i="15"/>
  <c r="K15" i="15"/>
  <c r="L15" i="15"/>
  <c r="C15" i="15"/>
  <c r="D6" i="15"/>
  <c r="E6" i="15"/>
  <c r="F6" i="15"/>
  <c r="G6" i="15"/>
  <c r="H6" i="15"/>
  <c r="I6" i="15"/>
  <c r="J6" i="15"/>
  <c r="K6" i="15"/>
  <c r="L6" i="15"/>
  <c r="C6" i="15"/>
  <c r="D5" i="15"/>
  <c r="E5" i="15"/>
  <c r="F5" i="15"/>
  <c r="G5" i="15"/>
  <c r="H5" i="15"/>
  <c r="I5" i="15"/>
  <c r="J5" i="15"/>
  <c r="K5" i="15"/>
  <c r="L5" i="15"/>
  <c r="C5" i="15"/>
  <c r="D4" i="15"/>
  <c r="E4" i="15"/>
  <c r="F4" i="15"/>
  <c r="G4" i="15"/>
  <c r="H4" i="15"/>
  <c r="I4" i="15"/>
  <c r="J4" i="15"/>
  <c r="K4" i="15"/>
  <c r="L4" i="15"/>
  <c r="C4" i="15"/>
  <c r="D3" i="15"/>
  <c r="E3" i="15"/>
  <c r="F3" i="15"/>
  <c r="G3" i="15"/>
  <c r="H3" i="15"/>
  <c r="I3" i="15"/>
  <c r="J3" i="15"/>
  <c r="K3" i="15"/>
  <c r="L3" i="15"/>
  <c r="C3" i="15"/>
  <c r="D2" i="15"/>
  <c r="E2" i="15"/>
  <c r="F2" i="15"/>
  <c r="G2" i="15"/>
  <c r="H2" i="15"/>
  <c r="I2" i="15"/>
  <c r="J2" i="15"/>
  <c r="K2" i="15"/>
  <c r="L2" i="15"/>
  <c r="C2" i="15"/>
  <c r="C33" i="13"/>
  <c r="C34" i="13"/>
  <c r="C35" i="13"/>
  <c r="C36" i="13"/>
  <c r="C37" i="13"/>
  <c r="C32" i="13"/>
  <c r="C12" i="13"/>
  <c r="C13" i="13"/>
  <c r="C14" i="13"/>
  <c r="C15" i="13"/>
  <c r="C16" i="13"/>
  <c r="E41" i="13" s="1"/>
  <c r="C17" i="13"/>
  <c r="C18" i="13"/>
  <c r="C19" i="13"/>
  <c r="C20" i="13"/>
  <c r="C21" i="13"/>
  <c r="C22" i="13"/>
  <c r="C23" i="13"/>
  <c r="C11" i="13"/>
  <c r="G2" i="14"/>
  <c r="O25" i="7"/>
  <c r="O24" i="7" s="1"/>
  <c r="O28" i="7"/>
  <c r="O29" i="7" s="1"/>
  <c r="D12" i="7"/>
  <c r="E12" i="7"/>
  <c r="F12" i="7"/>
  <c r="G12" i="7"/>
  <c r="H12" i="7"/>
  <c r="I12" i="7"/>
  <c r="J12" i="7"/>
  <c r="K12" i="7"/>
  <c r="C12" i="7"/>
  <c r="D149" i="5"/>
  <c r="E149" i="5"/>
  <c r="F149" i="5"/>
  <c r="G149" i="5"/>
  <c r="H149" i="5"/>
  <c r="I149" i="5"/>
  <c r="J149" i="5"/>
  <c r="K149" i="5"/>
  <c r="L149" i="5"/>
  <c r="M149" i="5"/>
  <c r="C149" i="5"/>
  <c r="L56" i="5"/>
  <c r="L141" i="5"/>
  <c r="H141" i="5"/>
  <c r="V42" i="6"/>
  <c r="L42" i="6"/>
  <c r="M144" i="5"/>
  <c r="C144" i="5"/>
  <c r="B144" i="5"/>
  <c r="M83" i="6"/>
  <c r="N83" i="6" s="1"/>
  <c r="O83" i="6" s="1"/>
  <c r="P83" i="6" s="1"/>
  <c r="Q83" i="6" s="1"/>
  <c r="R83" i="6" s="1"/>
  <c r="S83" i="6" s="1"/>
  <c r="T83" i="6" s="1"/>
  <c r="U83" i="6" s="1"/>
  <c r="V83" i="6" s="1"/>
  <c r="D83" i="6"/>
  <c r="E83" i="6" s="1"/>
  <c r="F83" i="6" s="1"/>
  <c r="G83" i="6" s="1"/>
  <c r="H83" i="6" s="1"/>
  <c r="I83" i="6" s="1"/>
  <c r="J83" i="6" s="1"/>
  <c r="K83" i="6" s="1"/>
  <c r="D41" i="13" l="1"/>
  <c r="K30" i="6"/>
  <c r="J30" i="6"/>
  <c r="I30" i="6"/>
  <c r="H30" i="6"/>
  <c r="G30" i="6"/>
  <c r="F30" i="6"/>
  <c r="E30" i="6"/>
  <c r="D30" i="6"/>
  <c r="C30" i="6"/>
  <c r="B30" i="6"/>
  <c r="K29" i="6"/>
  <c r="L29" i="6" s="1"/>
  <c r="J29" i="6"/>
  <c r="I29" i="6"/>
  <c r="H29" i="6"/>
  <c r="G29" i="6"/>
  <c r="F29" i="6"/>
  <c r="E29" i="6"/>
  <c r="D29" i="6"/>
  <c r="C29" i="6"/>
  <c r="B29" i="6"/>
  <c r="K28" i="6"/>
  <c r="K32" i="7" s="1"/>
  <c r="J28" i="6"/>
  <c r="I28" i="6"/>
  <c r="H28" i="6"/>
  <c r="G28" i="6"/>
  <c r="F28" i="6"/>
  <c r="E28" i="6"/>
  <c r="D28" i="6"/>
  <c r="C28" i="6"/>
  <c r="B28" i="6"/>
  <c r="K6" i="6"/>
  <c r="J6" i="6"/>
  <c r="I6" i="6"/>
  <c r="H6" i="6"/>
  <c r="G6" i="6"/>
  <c r="F6" i="6"/>
  <c r="E6" i="6"/>
  <c r="D6" i="6"/>
  <c r="C6" i="6"/>
  <c r="B6" i="6"/>
  <c r="K5" i="6"/>
  <c r="K4" i="6" s="1"/>
  <c r="J5" i="6"/>
  <c r="I5" i="6"/>
  <c r="H5" i="6"/>
  <c r="G5" i="6"/>
  <c r="F5" i="6"/>
  <c r="E5" i="6"/>
  <c r="D5" i="6"/>
  <c r="C5" i="6"/>
  <c r="B5" i="6"/>
  <c r="B62" i="6"/>
  <c r="C62" i="6"/>
  <c r="D62" i="6"/>
  <c r="E62" i="6"/>
  <c r="F62" i="6"/>
  <c r="G62" i="6"/>
  <c r="H62" i="6"/>
  <c r="I62" i="6"/>
  <c r="J62" i="6"/>
  <c r="K62" i="6"/>
  <c r="L62" i="6" s="1"/>
  <c r="M62" i="6" s="1"/>
  <c r="N62" i="6" s="1"/>
  <c r="O62" i="6" s="1"/>
  <c r="P62" i="6" s="1"/>
  <c r="Q62" i="6" s="1"/>
  <c r="R62" i="6" s="1"/>
  <c r="S62" i="6" s="1"/>
  <c r="T62" i="6" s="1"/>
  <c r="U62" i="6" s="1"/>
  <c r="V62" i="6" s="1"/>
  <c r="B63" i="6"/>
  <c r="C63" i="6"/>
  <c r="D63" i="6"/>
  <c r="E63" i="6"/>
  <c r="F63" i="6"/>
  <c r="G63" i="6"/>
  <c r="H63" i="6"/>
  <c r="I63" i="6"/>
  <c r="J63" i="6"/>
  <c r="K63" i="6"/>
  <c r="L63" i="6" s="1"/>
  <c r="M63" i="6" s="1"/>
  <c r="N63" i="6" s="1"/>
  <c r="O63" i="6" s="1"/>
  <c r="P63" i="6" s="1"/>
  <c r="Q63" i="6" s="1"/>
  <c r="R63" i="6" s="1"/>
  <c r="S63" i="6" s="1"/>
  <c r="T63" i="6" s="1"/>
  <c r="U63" i="6" s="1"/>
  <c r="V63" i="6" s="1"/>
  <c r="B64" i="6"/>
  <c r="C64" i="6"/>
  <c r="D64" i="6"/>
  <c r="E64" i="6"/>
  <c r="F64" i="6"/>
  <c r="G64" i="6"/>
  <c r="H64" i="6"/>
  <c r="I64" i="6"/>
  <c r="J64" i="6"/>
  <c r="K64" i="6"/>
  <c r="B65" i="6"/>
  <c r="C65" i="6"/>
  <c r="D65" i="6"/>
  <c r="E65" i="6"/>
  <c r="F65" i="6"/>
  <c r="G65" i="6"/>
  <c r="H65" i="6"/>
  <c r="I65" i="6"/>
  <c r="J65" i="6"/>
  <c r="K65" i="6"/>
  <c r="L65" i="6" s="1"/>
  <c r="M65" i="6" s="1"/>
  <c r="N65" i="6" s="1"/>
  <c r="O65" i="6" s="1"/>
  <c r="P65" i="6" s="1"/>
  <c r="Q65" i="6" s="1"/>
  <c r="R65" i="6" s="1"/>
  <c r="S65" i="6" s="1"/>
  <c r="T65" i="6" s="1"/>
  <c r="U65" i="6" s="1"/>
  <c r="V65" i="6" s="1"/>
  <c r="B66" i="6"/>
  <c r="C66" i="6"/>
  <c r="D66" i="6"/>
  <c r="E66" i="6"/>
  <c r="F66" i="6"/>
  <c r="G66" i="6"/>
  <c r="H66" i="6"/>
  <c r="I66" i="6"/>
  <c r="J66" i="6"/>
  <c r="K66" i="6"/>
  <c r="L66" i="6" s="1"/>
  <c r="M66" i="6" s="1"/>
  <c r="N66" i="6" s="1"/>
  <c r="O66" i="6" s="1"/>
  <c r="P66" i="6" s="1"/>
  <c r="Q66" i="6" s="1"/>
  <c r="R66" i="6" s="1"/>
  <c r="S66" i="6" s="1"/>
  <c r="T66" i="6" s="1"/>
  <c r="U66" i="6" s="1"/>
  <c r="V66" i="6" s="1"/>
  <c r="B67" i="6"/>
  <c r="C67" i="6"/>
  <c r="D67" i="6"/>
  <c r="E67" i="6"/>
  <c r="F67" i="6"/>
  <c r="G67" i="6"/>
  <c r="H67" i="6"/>
  <c r="I67" i="6"/>
  <c r="J67" i="6"/>
  <c r="K67" i="6"/>
  <c r="L67" i="6" s="1"/>
  <c r="M67" i="6" s="1"/>
  <c r="N67" i="6" s="1"/>
  <c r="O67" i="6" s="1"/>
  <c r="P67" i="6" s="1"/>
  <c r="Q67" i="6" s="1"/>
  <c r="R67" i="6" s="1"/>
  <c r="S67" i="6" s="1"/>
  <c r="T67" i="6" s="1"/>
  <c r="U67" i="6" s="1"/>
  <c r="V67" i="6" s="1"/>
  <c r="B68" i="6"/>
  <c r="C68" i="6"/>
  <c r="D68" i="6"/>
  <c r="E68" i="6"/>
  <c r="F68" i="6"/>
  <c r="G68" i="6"/>
  <c r="H68" i="6"/>
  <c r="I68" i="6"/>
  <c r="J68" i="6"/>
  <c r="K68" i="6"/>
  <c r="B69" i="6"/>
  <c r="C69" i="6"/>
  <c r="D69" i="6"/>
  <c r="E69" i="6"/>
  <c r="F69" i="6"/>
  <c r="G69" i="6"/>
  <c r="H69" i="6"/>
  <c r="I69" i="6"/>
  <c r="J69" i="6"/>
  <c r="K69" i="6"/>
  <c r="B70" i="6"/>
  <c r="C70" i="6"/>
  <c r="D70" i="6"/>
  <c r="E70" i="6"/>
  <c r="F70" i="6"/>
  <c r="G70" i="6"/>
  <c r="H70" i="6"/>
  <c r="I70" i="6"/>
  <c r="J70" i="6"/>
  <c r="K70" i="6"/>
  <c r="B73" i="6"/>
  <c r="C73" i="6"/>
  <c r="D73" i="6"/>
  <c r="E73" i="6"/>
  <c r="F73" i="6"/>
  <c r="G73" i="6"/>
  <c r="H73" i="6"/>
  <c r="I73" i="6"/>
  <c r="J73" i="6"/>
  <c r="K73" i="6"/>
  <c r="B74" i="6"/>
  <c r="C74" i="6"/>
  <c r="D74" i="6"/>
  <c r="E74" i="6"/>
  <c r="F74" i="6"/>
  <c r="G74" i="6"/>
  <c r="H74" i="6"/>
  <c r="I74" i="6"/>
  <c r="J74" i="6"/>
  <c r="K74" i="6"/>
  <c r="K61" i="6"/>
  <c r="L8" i="15" s="1"/>
  <c r="J61" i="6"/>
  <c r="K8" i="15" s="1"/>
  <c r="I61" i="6"/>
  <c r="J8" i="15" s="1"/>
  <c r="H61" i="6"/>
  <c r="I8" i="15" s="1"/>
  <c r="G61" i="6"/>
  <c r="H8" i="15" s="1"/>
  <c r="F61" i="6"/>
  <c r="G8" i="15" s="1"/>
  <c r="E61" i="6"/>
  <c r="F8" i="15" s="1"/>
  <c r="D61" i="6"/>
  <c r="E8" i="15" s="1"/>
  <c r="C61" i="6"/>
  <c r="D8" i="15" s="1"/>
  <c r="B61" i="6"/>
  <c r="C8" i="15" s="1"/>
  <c r="K42" i="6"/>
  <c r="J42" i="6"/>
  <c r="I42" i="6"/>
  <c r="H42" i="6"/>
  <c r="G42" i="6"/>
  <c r="F42" i="6"/>
  <c r="E42" i="6"/>
  <c r="D42" i="6"/>
  <c r="C42" i="6"/>
  <c r="B42" i="6"/>
  <c r="K50" i="6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J50" i="6"/>
  <c r="I50" i="6"/>
  <c r="H50" i="6"/>
  <c r="G50" i="6"/>
  <c r="F50" i="6"/>
  <c r="E50" i="6"/>
  <c r="D50" i="6"/>
  <c r="C50" i="6"/>
  <c r="B50" i="6"/>
  <c r="K49" i="6"/>
  <c r="J49" i="6"/>
  <c r="I49" i="6"/>
  <c r="H49" i="6"/>
  <c r="G49" i="6"/>
  <c r="F49" i="6"/>
  <c r="E49" i="6"/>
  <c r="D49" i="6"/>
  <c r="C49" i="6"/>
  <c r="B49" i="6"/>
  <c r="K48" i="6"/>
  <c r="J48" i="6"/>
  <c r="I48" i="6"/>
  <c r="H48" i="6"/>
  <c r="G48" i="6"/>
  <c r="F48" i="6"/>
  <c r="E48" i="6"/>
  <c r="D48" i="6"/>
  <c r="C48" i="6"/>
  <c r="B48" i="6"/>
  <c r="M2" i="6"/>
  <c r="N2" i="6" s="1"/>
  <c r="O2" i="6" s="1"/>
  <c r="P2" i="6" s="1"/>
  <c r="Q2" i="6" s="1"/>
  <c r="R2" i="6" s="1"/>
  <c r="S2" i="6" s="1"/>
  <c r="T2" i="6" s="1"/>
  <c r="U2" i="6" s="1"/>
  <c r="V2" i="6" s="1"/>
  <c r="B147" i="5"/>
  <c r="F40" i="13"/>
  <c r="G40" i="13" s="1"/>
  <c r="H40" i="13" s="1"/>
  <c r="I40" i="13" s="1"/>
  <c r="J40" i="13" s="1"/>
  <c r="K40" i="13" s="1"/>
  <c r="L40" i="13" s="1"/>
  <c r="D38" i="13"/>
  <c r="D24" i="13"/>
  <c r="C140" i="5"/>
  <c r="L144" i="5"/>
  <c r="U42" i="6" s="1"/>
  <c r="D142" i="5"/>
  <c r="M142" i="5"/>
  <c r="C142" i="5"/>
  <c r="D152" i="5"/>
  <c r="E152" i="5" s="1"/>
  <c r="F152" i="5" s="1"/>
  <c r="G152" i="5" s="1"/>
  <c r="H152" i="5" s="1"/>
  <c r="I152" i="5" s="1"/>
  <c r="J152" i="5" s="1"/>
  <c r="K152" i="5" s="1"/>
  <c r="L152" i="5" s="1"/>
  <c r="M152" i="5" s="1"/>
  <c r="N152" i="5" s="1"/>
  <c r="O152" i="5" s="1"/>
  <c r="P152" i="5" s="1"/>
  <c r="Q152" i="5" s="1"/>
  <c r="R152" i="5" s="1"/>
  <c r="S152" i="5" s="1"/>
  <c r="T152" i="5" s="1"/>
  <c r="U152" i="5" s="1"/>
  <c r="V152" i="5" s="1"/>
  <c r="K153" i="5"/>
  <c r="J153" i="5"/>
  <c r="I153" i="5"/>
  <c r="H153" i="5"/>
  <c r="G153" i="5"/>
  <c r="F153" i="5"/>
  <c r="E153" i="5"/>
  <c r="D153" i="5"/>
  <c r="C153" i="5"/>
  <c r="B153" i="5"/>
  <c r="B26" i="8"/>
  <c r="B17" i="8"/>
  <c r="B20" i="8" s="1"/>
  <c r="D26" i="8" s="1"/>
  <c r="B6" i="8"/>
  <c r="E141" i="5"/>
  <c r="G141" i="5"/>
  <c r="F141" i="5"/>
  <c r="J4" i="6" l="1"/>
  <c r="K27" i="7"/>
  <c r="L69" i="6"/>
  <c r="M69" i="6" s="1"/>
  <c r="N69" i="6" s="1"/>
  <c r="O69" i="6" s="1"/>
  <c r="P69" i="6" s="1"/>
  <c r="Q69" i="6" s="1"/>
  <c r="R69" i="6" s="1"/>
  <c r="S69" i="6" s="1"/>
  <c r="T69" i="6" s="1"/>
  <c r="U69" i="6" s="1"/>
  <c r="V69" i="6" s="1"/>
  <c r="K25" i="7"/>
  <c r="C4" i="6"/>
  <c r="G12" i="15"/>
  <c r="H12" i="15"/>
  <c r="C12" i="15"/>
  <c r="D14" i="15"/>
  <c r="D12" i="15"/>
  <c r="E12" i="15"/>
  <c r="B4" i="6"/>
  <c r="C14" i="15" s="1"/>
  <c r="F12" i="15"/>
  <c r="I12" i="15"/>
  <c r="J14" i="15"/>
  <c r="J12" i="15"/>
  <c r="K14" i="15"/>
  <c r="K12" i="15"/>
  <c r="L14" i="15"/>
  <c r="L12" i="15"/>
  <c r="K24" i="7"/>
  <c r="K26" i="7" s="1"/>
  <c r="B28" i="8"/>
  <c r="E142" i="5"/>
  <c r="D144" i="5"/>
  <c r="M42" i="6" s="1"/>
  <c r="L142" i="5"/>
  <c r="K144" i="5"/>
  <c r="T42" i="6" s="1"/>
  <c r="F142" i="5"/>
  <c r="E144" i="5"/>
  <c r="N42" i="6" s="1"/>
  <c r="K142" i="5"/>
  <c r="J144" i="5"/>
  <c r="S42" i="6" s="1"/>
  <c r="G142" i="5"/>
  <c r="F144" i="5"/>
  <c r="O42" i="6" s="1"/>
  <c r="J142" i="5"/>
  <c r="I144" i="5"/>
  <c r="R42" i="6" s="1"/>
  <c r="I142" i="5"/>
  <c r="H144" i="5"/>
  <c r="Q42" i="6" s="1"/>
  <c r="H142" i="5"/>
  <c r="G144" i="5"/>
  <c r="M29" i="6"/>
  <c r="F4" i="6"/>
  <c r="G14" i="15" s="1"/>
  <c r="I4" i="6"/>
  <c r="D4" i="6"/>
  <c r="G4" i="6"/>
  <c r="E4" i="6"/>
  <c r="F14" i="15" s="1"/>
  <c r="H4" i="6"/>
  <c r="E11" i="13"/>
  <c r="C143" i="5"/>
  <c r="L49" i="6" s="1"/>
  <c r="L48" i="6" s="1"/>
  <c r="F130" i="5"/>
  <c r="E130" i="5"/>
  <c r="C130" i="5"/>
  <c r="D125" i="5"/>
  <c r="E125" i="5" s="1"/>
  <c r="F125" i="5" s="1"/>
  <c r="G125" i="5" s="1"/>
  <c r="H125" i="5" s="1"/>
  <c r="I125" i="5" s="1"/>
  <c r="J125" i="5" s="1"/>
  <c r="K125" i="5" s="1"/>
  <c r="L125" i="5" s="1"/>
  <c r="M125" i="5" s="1"/>
  <c r="N125" i="5" s="1"/>
  <c r="O125" i="5" s="1"/>
  <c r="P125" i="5" s="1"/>
  <c r="Q125" i="5" s="1"/>
  <c r="R125" i="5" s="1"/>
  <c r="S125" i="5" s="1"/>
  <c r="T125" i="5" s="1"/>
  <c r="U125" i="5" s="1"/>
  <c r="V125" i="5" s="1"/>
  <c r="K133" i="5"/>
  <c r="J133" i="5"/>
  <c r="K129" i="5" s="1"/>
  <c r="I133" i="5"/>
  <c r="J129" i="5" s="1"/>
  <c r="H133" i="5"/>
  <c r="G133" i="5"/>
  <c r="F133" i="5"/>
  <c r="E133" i="5"/>
  <c r="D133" i="5"/>
  <c r="C133" i="5"/>
  <c r="D129" i="5" s="1"/>
  <c r="B133" i="5"/>
  <c r="C129" i="5" s="1"/>
  <c r="O108" i="5"/>
  <c r="P108" i="5" s="1"/>
  <c r="Q108" i="5" s="1"/>
  <c r="R108" i="5" s="1"/>
  <c r="S108" i="5" s="1"/>
  <c r="T108" i="5" s="1"/>
  <c r="U108" i="5" s="1"/>
  <c r="V108" i="5" s="1"/>
  <c r="L110" i="5"/>
  <c r="J119" i="5"/>
  <c r="K116" i="5" s="1"/>
  <c r="I119" i="5"/>
  <c r="J116" i="5" s="1"/>
  <c r="H119" i="5"/>
  <c r="I116" i="5" s="1"/>
  <c r="G119" i="5"/>
  <c r="H116" i="5" s="1"/>
  <c r="F119" i="5"/>
  <c r="G116" i="5" s="1"/>
  <c r="E119" i="5"/>
  <c r="F116" i="5" s="1"/>
  <c r="D119" i="5"/>
  <c r="E116" i="5" s="1"/>
  <c r="C119" i="5"/>
  <c r="D116" i="5" s="1"/>
  <c r="B119" i="5"/>
  <c r="B120" i="5" s="1"/>
  <c r="K119" i="5"/>
  <c r="L116" i="5" s="1"/>
  <c r="L77" i="5"/>
  <c r="L76" i="5"/>
  <c r="L75" i="5"/>
  <c r="M25" i="9"/>
  <c r="M21" i="9"/>
  <c r="H14" i="15" l="1"/>
  <c r="I14" i="15"/>
  <c r="E14" i="15"/>
  <c r="P42" i="6"/>
  <c r="N29" i="6"/>
  <c r="E32" i="13"/>
  <c r="D140" i="5"/>
  <c r="D143" i="5" s="1"/>
  <c r="M49" i="6" s="1"/>
  <c r="M48" i="6" s="1"/>
  <c r="C145" i="5"/>
  <c r="I129" i="5"/>
  <c r="L129" i="5"/>
  <c r="H129" i="5"/>
  <c r="G129" i="5"/>
  <c r="F129" i="5"/>
  <c r="E129" i="5"/>
  <c r="C116" i="5"/>
  <c r="B146" i="5" l="1"/>
  <c r="C147" i="5" s="1"/>
  <c r="D28" i="8"/>
  <c r="O29" i="6"/>
  <c r="E33" i="13"/>
  <c r="E12" i="13"/>
  <c r="D145" i="5"/>
  <c r="E140" i="5"/>
  <c r="E143" i="5" s="1"/>
  <c r="N49" i="6" s="1"/>
  <c r="N48" i="6" s="1"/>
  <c r="K2" i="7" l="1"/>
  <c r="B5" i="14"/>
  <c r="D147" i="5"/>
  <c r="S17" i="7"/>
  <c r="V17" i="7"/>
  <c r="M17" i="7"/>
  <c r="Q17" i="7"/>
  <c r="T17" i="7"/>
  <c r="R17" i="7"/>
  <c r="L17" i="7"/>
  <c r="P17" i="7"/>
  <c r="O17" i="7"/>
  <c r="K17" i="7"/>
  <c r="N17" i="7"/>
  <c r="U17" i="7"/>
  <c r="P29" i="6"/>
  <c r="E13" i="13"/>
  <c r="F140" i="5"/>
  <c r="F143" i="5" s="1"/>
  <c r="O49" i="6" s="1"/>
  <c r="O48" i="6" s="1"/>
  <c r="E145" i="5"/>
  <c r="E147" i="5" s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2" i="9"/>
  <c r="G2" i="9"/>
  <c r="E14" i="13" l="1"/>
  <c r="Q29" i="6"/>
  <c r="B41" i="13"/>
  <c r="C148" i="5" s="1"/>
  <c r="C150" i="5" s="1"/>
  <c r="E34" i="13"/>
  <c r="G140" i="5"/>
  <c r="G143" i="5" s="1"/>
  <c r="P49" i="6" s="1"/>
  <c r="P48" i="6" s="1"/>
  <c r="F145" i="5"/>
  <c r="F147" i="5" s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2" i="9"/>
  <c r="E15" i="13" l="1"/>
  <c r="C41" i="13"/>
  <c r="D148" i="5" s="1"/>
  <c r="D150" i="5" s="1"/>
  <c r="M25" i="5" s="1"/>
  <c r="R29" i="6"/>
  <c r="L25" i="5"/>
  <c r="L24" i="5"/>
  <c r="E35" i="13"/>
  <c r="H140" i="5"/>
  <c r="H143" i="5" s="1"/>
  <c r="Q49" i="6" s="1"/>
  <c r="Q48" i="6" s="1"/>
  <c r="G145" i="5"/>
  <c r="G147" i="5" s="1"/>
  <c r="B2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G3" i="9"/>
  <c r="E3" i="9"/>
  <c r="C109" i="5"/>
  <c r="K100" i="5"/>
  <c r="K110" i="5" s="1"/>
  <c r="J100" i="5"/>
  <c r="I100" i="5"/>
  <c r="I110" i="5" s="1"/>
  <c r="H100" i="5"/>
  <c r="H110" i="5" s="1"/>
  <c r="G100" i="5"/>
  <c r="G110" i="5" s="1"/>
  <c r="F100" i="5"/>
  <c r="F110" i="5" s="1"/>
  <c r="E100" i="5"/>
  <c r="E110" i="5" s="1"/>
  <c r="D100" i="5"/>
  <c r="D110" i="5" s="1"/>
  <c r="C100" i="5"/>
  <c r="C110" i="5" s="1"/>
  <c r="B100" i="5"/>
  <c r="B110" i="5" s="1"/>
  <c r="B111" i="5" s="1"/>
  <c r="B114" i="5" s="1"/>
  <c r="J71" i="5"/>
  <c r="K70" i="5"/>
  <c r="J70" i="5"/>
  <c r="H70" i="5"/>
  <c r="G70" i="5"/>
  <c r="F70" i="5"/>
  <c r="E70" i="5"/>
  <c r="D70" i="5"/>
  <c r="C70" i="5"/>
  <c r="B67" i="5"/>
  <c r="C67" i="5"/>
  <c r="D67" i="5"/>
  <c r="E67" i="5"/>
  <c r="F67" i="5"/>
  <c r="G67" i="5"/>
  <c r="H67" i="5"/>
  <c r="I67" i="5"/>
  <c r="J67" i="5"/>
  <c r="K67" i="5"/>
  <c r="B68" i="5"/>
  <c r="C68" i="5"/>
  <c r="D68" i="5"/>
  <c r="E68" i="5"/>
  <c r="F68" i="5"/>
  <c r="G68" i="5"/>
  <c r="H68" i="5"/>
  <c r="I68" i="5"/>
  <c r="J68" i="5"/>
  <c r="K68" i="5"/>
  <c r="K66" i="5"/>
  <c r="J66" i="5"/>
  <c r="I66" i="5"/>
  <c r="H66" i="5"/>
  <c r="G66" i="5"/>
  <c r="F66" i="5"/>
  <c r="E66" i="5"/>
  <c r="D66" i="5"/>
  <c r="C66" i="5"/>
  <c r="B66" i="5"/>
  <c r="D65" i="5"/>
  <c r="E65" i="5" s="1"/>
  <c r="F65" i="5" s="1"/>
  <c r="G65" i="5" s="1"/>
  <c r="H65" i="5" s="1"/>
  <c r="I65" i="5" s="1"/>
  <c r="J65" i="5" s="1"/>
  <c r="K65" i="5" s="1"/>
  <c r="L65" i="5" s="1"/>
  <c r="M65" i="5" s="1"/>
  <c r="N65" i="5" s="1"/>
  <c r="O65" i="5" s="1"/>
  <c r="P65" i="5" s="1"/>
  <c r="Q65" i="5" s="1"/>
  <c r="R65" i="5" s="1"/>
  <c r="S65" i="5" s="1"/>
  <c r="T65" i="5" s="1"/>
  <c r="U65" i="5" s="1"/>
  <c r="V65" i="5" s="1"/>
  <c r="M2" i="5"/>
  <c r="N2" i="5" s="1"/>
  <c r="O2" i="5" s="1"/>
  <c r="P2" i="5" s="1"/>
  <c r="Q2" i="5" s="1"/>
  <c r="R2" i="5" s="1"/>
  <c r="S2" i="5" s="1"/>
  <c r="T2" i="5" s="1"/>
  <c r="U2" i="5" s="1"/>
  <c r="V2" i="5" s="1"/>
  <c r="A58" i="5"/>
  <c r="A59" i="5"/>
  <c r="A60" i="5"/>
  <c r="A61" i="5"/>
  <c r="D61" i="5" s="1"/>
  <c r="A55" i="5"/>
  <c r="C55" i="5" s="1"/>
  <c r="A56" i="5"/>
  <c r="F56" i="5" s="1"/>
  <c r="A57" i="5"/>
  <c r="I57" i="5" s="1"/>
  <c r="A52" i="5"/>
  <c r="D52" i="5" s="1"/>
  <c r="A53" i="5"/>
  <c r="C53" i="5" s="1"/>
  <c r="A54" i="5"/>
  <c r="E54" i="5" s="1"/>
  <c r="A50" i="5"/>
  <c r="H50" i="5" s="1"/>
  <c r="A51" i="5"/>
  <c r="A49" i="5"/>
  <c r="A39" i="5"/>
  <c r="B39" i="5" s="1"/>
  <c r="A40" i="5"/>
  <c r="J40" i="5" s="1"/>
  <c r="A41" i="5"/>
  <c r="J41" i="5" s="1"/>
  <c r="A42" i="5"/>
  <c r="A43" i="5"/>
  <c r="F43" i="5" s="1"/>
  <c r="A44" i="5"/>
  <c r="F44" i="5" s="1"/>
  <c r="A45" i="5"/>
  <c r="K45" i="5" s="1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V45" i="5" s="1"/>
  <c r="A46" i="5"/>
  <c r="C46" i="5" s="1"/>
  <c r="A47" i="5"/>
  <c r="G47" i="5" s="1"/>
  <c r="A48" i="5"/>
  <c r="G48" i="5" s="1"/>
  <c r="A35" i="5"/>
  <c r="A36" i="5"/>
  <c r="A37" i="5"/>
  <c r="E37" i="5" s="1"/>
  <c r="A38" i="5"/>
  <c r="C38" i="5" s="1"/>
  <c r="A22" i="5"/>
  <c r="D22" i="5" s="1"/>
  <c r="D154" i="5" s="1"/>
  <c r="D155" i="5" s="1"/>
  <c r="A23" i="5"/>
  <c r="H23" i="5" s="1"/>
  <c r="A24" i="5"/>
  <c r="K24" i="5" s="1"/>
  <c r="B148" i="5" s="1"/>
  <c r="B150" i="5" s="1"/>
  <c r="A25" i="5"/>
  <c r="A26" i="5"/>
  <c r="F26" i="5" s="1"/>
  <c r="A27" i="5"/>
  <c r="H27" i="5" s="1"/>
  <c r="A28" i="5"/>
  <c r="G28" i="5" s="1"/>
  <c r="A29" i="5"/>
  <c r="C29" i="5" s="1"/>
  <c r="A30" i="5"/>
  <c r="J30" i="5" s="1"/>
  <c r="A31" i="5"/>
  <c r="K31" i="5" s="1"/>
  <c r="A32" i="5"/>
  <c r="I32" i="5" s="1"/>
  <c r="A33" i="5"/>
  <c r="A34" i="5"/>
  <c r="F34" i="5" s="1"/>
  <c r="A21" i="5"/>
  <c r="B64" i="2"/>
  <c r="C82" i="4"/>
  <c r="D82" i="4"/>
  <c r="E82" i="4"/>
  <c r="F82" i="4"/>
  <c r="G82" i="4"/>
  <c r="H82" i="4"/>
  <c r="I82" i="4"/>
  <c r="I86" i="4" s="1"/>
  <c r="J82" i="4"/>
  <c r="J86" i="4" s="1"/>
  <c r="K82" i="4"/>
  <c r="B82" i="4"/>
  <c r="B86" i="4" s="1"/>
  <c r="C86" i="4"/>
  <c r="D86" i="4"/>
  <c r="E86" i="4"/>
  <c r="F86" i="4"/>
  <c r="G86" i="4"/>
  <c r="H86" i="4"/>
  <c r="K86" i="4"/>
  <c r="C84" i="4"/>
  <c r="D84" i="4"/>
  <c r="E84" i="4"/>
  <c r="F84" i="4"/>
  <c r="G84" i="4"/>
  <c r="H84" i="4"/>
  <c r="I84" i="4"/>
  <c r="J84" i="4"/>
  <c r="K84" i="4"/>
  <c r="B84" i="4"/>
  <c r="C47" i="4"/>
  <c r="D47" i="4"/>
  <c r="E47" i="4"/>
  <c r="F47" i="4"/>
  <c r="G47" i="4"/>
  <c r="H47" i="4"/>
  <c r="I47" i="4"/>
  <c r="J47" i="4"/>
  <c r="K47" i="4"/>
  <c r="B47" i="4"/>
  <c r="D9" i="7"/>
  <c r="E9" i="7" s="1"/>
  <c r="F9" i="7" s="1"/>
  <c r="G9" i="7" s="1"/>
  <c r="H9" i="7" s="1"/>
  <c r="I9" i="7" s="1"/>
  <c r="J9" i="7" s="1"/>
  <c r="K9" i="7" s="1"/>
  <c r="L9" i="7" s="1"/>
  <c r="M9" i="7" s="1"/>
  <c r="N9" i="7" s="1"/>
  <c r="O9" i="7" s="1"/>
  <c r="P9" i="7" s="1"/>
  <c r="Q9" i="7" s="1"/>
  <c r="R9" i="7" s="1"/>
  <c r="S9" i="7" s="1"/>
  <c r="T9" i="7" s="1"/>
  <c r="U9" i="7" s="1"/>
  <c r="V9" i="7" s="1"/>
  <c r="A55" i="6"/>
  <c r="G55" i="6" s="1"/>
  <c r="A53" i="6"/>
  <c r="J53" i="6" s="1"/>
  <c r="A54" i="6"/>
  <c r="I54" i="6" s="1"/>
  <c r="A52" i="6"/>
  <c r="J52" i="6" s="1"/>
  <c r="A51" i="6"/>
  <c r="C51" i="6" s="1"/>
  <c r="A47" i="6"/>
  <c r="D47" i="6" s="1"/>
  <c r="A44" i="6"/>
  <c r="H44" i="6" s="1"/>
  <c r="A45" i="6"/>
  <c r="F45" i="6" s="1"/>
  <c r="A46" i="6"/>
  <c r="E46" i="6" s="1"/>
  <c r="A43" i="6"/>
  <c r="G43" i="6" s="1"/>
  <c r="D2" i="6"/>
  <c r="E2" i="6" s="1"/>
  <c r="F2" i="6" s="1"/>
  <c r="G2" i="6" s="1"/>
  <c r="H2" i="6" s="1"/>
  <c r="I2" i="6" s="1"/>
  <c r="J2" i="6" s="1"/>
  <c r="K2" i="6" s="1"/>
  <c r="C4" i="4"/>
  <c r="D4" i="4"/>
  <c r="E4" i="4"/>
  <c r="F4" i="4"/>
  <c r="G4" i="4"/>
  <c r="H4" i="4"/>
  <c r="I4" i="4"/>
  <c r="J4" i="4"/>
  <c r="K4" i="4"/>
  <c r="B4" i="4"/>
  <c r="A37" i="6"/>
  <c r="I37" i="6" s="1"/>
  <c r="A35" i="6"/>
  <c r="C35" i="6" s="1"/>
  <c r="A36" i="6"/>
  <c r="J36" i="6" s="1"/>
  <c r="A32" i="6"/>
  <c r="F32" i="6" s="1"/>
  <c r="A33" i="6"/>
  <c r="E33" i="6" s="1"/>
  <c r="A34" i="6"/>
  <c r="D34" i="6" s="1"/>
  <c r="A31" i="6"/>
  <c r="G31" i="6" s="1"/>
  <c r="A26" i="6"/>
  <c r="I26" i="6" s="1"/>
  <c r="A27" i="6"/>
  <c r="H27" i="6" s="1"/>
  <c r="A23" i="6"/>
  <c r="D23" i="6" s="1"/>
  <c r="A24" i="6"/>
  <c r="C24" i="6" s="1"/>
  <c r="A25" i="6"/>
  <c r="J25" i="6" s="1"/>
  <c r="A20" i="6"/>
  <c r="G20" i="6" s="1"/>
  <c r="G112" i="5" s="1"/>
  <c r="A21" i="6"/>
  <c r="F21" i="6" s="1"/>
  <c r="A22" i="6"/>
  <c r="E22" i="6" s="1"/>
  <c r="A15" i="6"/>
  <c r="D15" i="6" s="1"/>
  <c r="A16" i="6"/>
  <c r="C16" i="6" s="1"/>
  <c r="A17" i="6"/>
  <c r="J17" i="6" s="1"/>
  <c r="A19" i="6"/>
  <c r="H19" i="6" s="1"/>
  <c r="H103" i="5" s="1"/>
  <c r="I99" i="5" s="1"/>
  <c r="A10" i="6"/>
  <c r="I10" i="6" s="1"/>
  <c r="A11" i="6"/>
  <c r="H11" i="6" s="1"/>
  <c r="A12" i="6"/>
  <c r="G12" i="6" s="1"/>
  <c r="A13" i="6"/>
  <c r="F13" i="6" s="1"/>
  <c r="A14" i="6"/>
  <c r="E14" i="6" s="1"/>
  <c r="A8" i="6"/>
  <c r="C8" i="6" s="1"/>
  <c r="A9" i="6"/>
  <c r="J9" i="6" s="1"/>
  <c r="A7" i="6"/>
  <c r="F7" i="6" s="1"/>
  <c r="K16" i="5"/>
  <c r="M16" i="5" s="1"/>
  <c r="C64" i="2"/>
  <c r="J16" i="5" s="1"/>
  <c r="D64" i="2"/>
  <c r="I16" i="5" s="1"/>
  <c r="E64" i="2"/>
  <c r="H16" i="5" s="1"/>
  <c r="F64" i="2"/>
  <c r="G16" i="5" s="1"/>
  <c r="G64" i="2"/>
  <c r="F16" i="5" s="1"/>
  <c r="H64" i="2"/>
  <c r="E16" i="5" s="1"/>
  <c r="I64" i="2"/>
  <c r="D16" i="5" s="1"/>
  <c r="J64" i="2"/>
  <c r="C16" i="5" s="1"/>
  <c r="K64" i="2"/>
  <c r="B16" i="5" s="1"/>
  <c r="D2" i="5"/>
  <c r="E2" i="5" s="1"/>
  <c r="F2" i="5" s="1"/>
  <c r="G2" i="5" s="1"/>
  <c r="H2" i="5" s="1"/>
  <c r="I2" i="5" s="1"/>
  <c r="J2" i="5" s="1"/>
  <c r="K2" i="5" s="1"/>
  <c r="A12" i="5"/>
  <c r="G12" i="5" s="1"/>
  <c r="G91" i="5" s="1"/>
  <c r="A13" i="5"/>
  <c r="F13" i="5" s="1"/>
  <c r="A14" i="5"/>
  <c r="E14" i="5" s="1"/>
  <c r="A8" i="5"/>
  <c r="C8" i="5" s="1"/>
  <c r="C101" i="5" s="1"/>
  <c r="C117" i="5" s="1"/>
  <c r="C118" i="5" s="1"/>
  <c r="A9" i="5"/>
  <c r="J9" i="5" s="1"/>
  <c r="J131" i="5" s="1"/>
  <c r="A10" i="5"/>
  <c r="I10" i="5" s="1"/>
  <c r="A11" i="5"/>
  <c r="H11" i="5" s="1"/>
  <c r="H89" i="5" s="1"/>
  <c r="A5" i="5"/>
  <c r="F5" i="5" s="1"/>
  <c r="A6" i="5"/>
  <c r="E6" i="5" s="1"/>
  <c r="A7" i="5"/>
  <c r="D7" i="5" s="1"/>
  <c r="A4" i="5"/>
  <c r="J4" i="5" s="1"/>
  <c r="J85" i="6" s="1"/>
  <c r="H96" i="6" l="1"/>
  <c r="I26" i="15"/>
  <c r="G97" i="6"/>
  <c r="H27" i="15"/>
  <c r="F95" i="6"/>
  <c r="G25" i="15"/>
  <c r="M24" i="5"/>
  <c r="F148" i="5"/>
  <c r="F150" i="5" s="1"/>
  <c r="H76" i="5"/>
  <c r="E83" i="5"/>
  <c r="E86" i="6"/>
  <c r="N16" i="5"/>
  <c r="G102" i="6"/>
  <c r="S29" i="6"/>
  <c r="K43" i="6"/>
  <c r="H53" i="6"/>
  <c r="H17" i="6"/>
  <c r="F44" i="6"/>
  <c r="B43" i="6"/>
  <c r="E32" i="6"/>
  <c r="I16" i="6"/>
  <c r="B54" i="6"/>
  <c r="K54" i="6"/>
  <c r="F53" i="6"/>
  <c r="D44" i="6"/>
  <c r="G27" i="6"/>
  <c r="G16" i="6"/>
  <c r="B53" i="6"/>
  <c r="H54" i="6"/>
  <c r="E53" i="6"/>
  <c r="C44" i="6"/>
  <c r="F27" i="6"/>
  <c r="K14" i="6"/>
  <c r="C43" i="6"/>
  <c r="G54" i="6"/>
  <c r="D53" i="6"/>
  <c r="E37" i="6"/>
  <c r="B22" i="6"/>
  <c r="E27" i="6"/>
  <c r="J14" i="6"/>
  <c r="D43" i="6"/>
  <c r="E54" i="6"/>
  <c r="I52" i="6"/>
  <c r="G7" i="6"/>
  <c r="J24" i="6"/>
  <c r="C14" i="6"/>
  <c r="E43" i="6"/>
  <c r="D54" i="6"/>
  <c r="K44" i="6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H37" i="6"/>
  <c r="I23" i="6"/>
  <c r="H43" i="6"/>
  <c r="C54" i="6"/>
  <c r="J44" i="6"/>
  <c r="F37" i="6"/>
  <c r="C22" i="6"/>
  <c r="I43" i="6"/>
  <c r="I53" i="6"/>
  <c r="G44" i="6"/>
  <c r="G120" i="5"/>
  <c r="H109" i="5"/>
  <c r="E12" i="6"/>
  <c r="B45" i="6"/>
  <c r="F55" i="6"/>
  <c r="J51" i="6"/>
  <c r="K47" i="6"/>
  <c r="C47" i="6"/>
  <c r="D46" i="6"/>
  <c r="E45" i="6"/>
  <c r="B37" i="6"/>
  <c r="G37" i="6"/>
  <c r="D31" i="6"/>
  <c r="C23" i="6"/>
  <c r="H16" i="6"/>
  <c r="E11" i="6"/>
  <c r="B55" i="6"/>
  <c r="B44" i="6"/>
  <c r="J43" i="6"/>
  <c r="E55" i="6"/>
  <c r="F54" i="6"/>
  <c r="G53" i="6"/>
  <c r="H52" i="6"/>
  <c r="I51" i="6"/>
  <c r="J47" i="6"/>
  <c r="K46" i="6"/>
  <c r="C46" i="6"/>
  <c r="D45" i="6"/>
  <c r="E44" i="6"/>
  <c r="D11" i="6"/>
  <c r="D55" i="6"/>
  <c r="G52" i="6"/>
  <c r="H51" i="6"/>
  <c r="I47" i="6"/>
  <c r="J46" i="6"/>
  <c r="K45" i="6"/>
  <c r="C45" i="6"/>
  <c r="K55" i="6"/>
  <c r="L55" i="6" s="1"/>
  <c r="C55" i="6"/>
  <c r="F52" i="6"/>
  <c r="G51" i="6"/>
  <c r="H47" i="6"/>
  <c r="I46" i="6"/>
  <c r="J45" i="6"/>
  <c r="C34" i="6"/>
  <c r="B21" i="6"/>
  <c r="K21" i="6"/>
  <c r="I9" i="6"/>
  <c r="I35" i="6"/>
  <c r="C21" i="6"/>
  <c r="H9" i="6"/>
  <c r="E52" i="6"/>
  <c r="G47" i="6"/>
  <c r="H46" i="6"/>
  <c r="B17" i="6"/>
  <c r="H35" i="6"/>
  <c r="D27" i="6"/>
  <c r="G19" i="6"/>
  <c r="G103" i="5" s="1"/>
  <c r="H99" i="5" s="1"/>
  <c r="I14" i="6"/>
  <c r="J8" i="6"/>
  <c r="B51" i="6"/>
  <c r="F43" i="6"/>
  <c r="I55" i="6"/>
  <c r="J54" i="6"/>
  <c r="K53" i="6"/>
  <c r="K28" i="7" s="1"/>
  <c r="C53" i="6"/>
  <c r="D52" i="6"/>
  <c r="E51" i="6"/>
  <c r="F47" i="6"/>
  <c r="G46" i="6"/>
  <c r="H45" i="6"/>
  <c r="I44" i="6"/>
  <c r="B7" i="6"/>
  <c r="B19" i="6"/>
  <c r="B103" i="5" s="1"/>
  <c r="C99" i="5" s="1"/>
  <c r="B52" i="6"/>
  <c r="J55" i="6"/>
  <c r="F51" i="6"/>
  <c r="I45" i="6"/>
  <c r="B16" i="6"/>
  <c r="E34" i="6"/>
  <c r="I25" i="6"/>
  <c r="I17" i="6"/>
  <c r="D14" i="6"/>
  <c r="B47" i="6"/>
  <c r="H55" i="6"/>
  <c r="K52" i="6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C52" i="6"/>
  <c r="D51" i="6"/>
  <c r="E47" i="6"/>
  <c r="F46" i="6"/>
  <c r="G45" i="6"/>
  <c r="H21" i="15" s="1"/>
  <c r="B46" i="6"/>
  <c r="K51" i="6"/>
  <c r="I140" i="5"/>
  <c r="I143" i="5" s="1"/>
  <c r="R49" i="6" s="1"/>
  <c r="R48" i="6" s="1"/>
  <c r="H145" i="5"/>
  <c r="H147" i="5" s="1"/>
  <c r="J135" i="5"/>
  <c r="J132" i="5"/>
  <c r="D77" i="5"/>
  <c r="F76" i="5"/>
  <c r="K55" i="5"/>
  <c r="L55" i="5" s="1"/>
  <c r="M55" i="5" s="1"/>
  <c r="N55" i="5" s="1"/>
  <c r="O55" i="5" s="1"/>
  <c r="P55" i="5" s="1"/>
  <c r="Q55" i="5" s="1"/>
  <c r="R55" i="5" s="1"/>
  <c r="S55" i="5" s="1"/>
  <c r="T55" i="5" s="1"/>
  <c r="U55" i="5" s="1"/>
  <c r="V55" i="5" s="1"/>
  <c r="F75" i="5"/>
  <c r="K77" i="5"/>
  <c r="C77" i="5"/>
  <c r="G75" i="5"/>
  <c r="B56" i="5"/>
  <c r="J77" i="5"/>
  <c r="B55" i="5"/>
  <c r="I75" i="5"/>
  <c r="E77" i="5"/>
  <c r="G76" i="5"/>
  <c r="K37" i="5"/>
  <c r="F37" i="5"/>
  <c r="J105" i="5"/>
  <c r="J110" i="5"/>
  <c r="H75" i="5"/>
  <c r="G77" i="5"/>
  <c r="I76" i="5"/>
  <c r="K75" i="5"/>
  <c r="C61" i="5"/>
  <c r="F77" i="5"/>
  <c r="H77" i="5"/>
  <c r="I77" i="5"/>
  <c r="J76" i="5"/>
  <c r="K76" i="5"/>
  <c r="J75" i="5"/>
  <c r="G35" i="5"/>
  <c r="E35" i="5"/>
  <c r="G61" i="5"/>
  <c r="H48" i="5"/>
  <c r="C48" i="5"/>
  <c r="J31" i="5"/>
  <c r="B37" i="5"/>
  <c r="C52" i="5"/>
  <c r="D44" i="5"/>
  <c r="H55" i="5"/>
  <c r="J45" i="5"/>
  <c r="J69" i="5"/>
  <c r="J72" i="5" s="1"/>
  <c r="B40" i="5"/>
  <c r="E44" i="5"/>
  <c r="E22" i="5"/>
  <c r="E154" i="5" s="1"/>
  <c r="E155" i="5" s="1"/>
  <c r="K61" i="5"/>
  <c r="I40" i="5"/>
  <c r="C39" i="5"/>
  <c r="I31" i="5"/>
  <c r="H31" i="5"/>
  <c r="K69" i="5"/>
  <c r="K72" i="5" s="1"/>
  <c r="C44" i="5"/>
  <c r="B45" i="5"/>
  <c r="H43" i="5"/>
  <c r="C37" i="5"/>
  <c r="F28" i="5"/>
  <c r="G56" i="5"/>
  <c r="G50" i="5"/>
  <c r="G43" i="5"/>
  <c r="E28" i="5"/>
  <c r="F50" i="5"/>
  <c r="H41" i="5"/>
  <c r="D28" i="5"/>
  <c r="C10" i="5"/>
  <c r="B38" i="5"/>
  <c r="H69" i="5"/>
  <c r="H72" i="5" s="1"/>
  <c r="I69" i="5"/>
  <c r="I72" i="5" s="1"/>
  <c r="G69" i="5"/>
  <c r="G72" i="5" s="1"/>
  <c r="C33" i="5"/>
  <c r="G33" i="5"/>
  <c r="H33" i="5"/>
  <c r="I33" i="5"/>
  <c r="B33" i="5"/>
  <c r="J33" i="5"/>
  <c r="C25" i="5"/>
  <c r="F25" i="5"/>
  <c r="G25" i="5"/>
  <c r="H25" i="5"/>
  <c r="I25" i="5"/>
  <c r="J25" i="5"/>
  <c r="D48" i="5"/>
  <c r="J48" i="5"/>
  <c r="K48" i="5"/>
  <c r="B48" i="5"/>
  <c r="D40" i="5"/>
  <c r="K40" i="5"/>
  <c r="C40" i="5"/>
  <c r="H52" i="5"/>
  <c r="G52" i="5"/>
  <c r="K52" i="5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H40" i="5"/>
  <c r="D32" i="5"/>
  <c r="C32" i="5"/>
  <c r="F32" i="5"/>
  <c r="B32" i="5"/>
  <c r="G32" i="5"/>
  <c r="H32" i="5"/>
  <c r="D24" i="5"/>
  <c r="C24" i="5"/>
  <c r="F24" i="5"/>
  <c r="G24" i="5"/>
  <c r="H24" i="5"/>
  <c r="E47" i="5"/>
  <c r="H47" i="5"/>
  <c r="I47" i="5"/>
  <c r="B47" i="5"/>
  <c r="J47" i="5"/>
  <c r="K47" i="5"/>
  <c r="E39" i="5"/>
  <c r="I39" i="5"/>
  <c r="J39" i="5"/>
  <c r="K39" i="5"/>
  <c r="J57" i="5"/>
  <c r="D57" i="5"/>
  <c r="E57" i="5"/>
  <c r="F57" i="5"/>
  <c r="H57" i="5"/>
  <c r="D47" i="5"/>
  <c r="G40" i="5"/>
  <c r="J24" i="5"/>
  <c r="E31" i="5"/>
  <c r="B31" i="5"/>
  <c r="C31" i="5"/>
  <c r="D31" i="5"/>
  <c r="G31" i="5"/>
  <c r="E23" i="5"/>
  <c r="K23" i="5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C23" i="5"/>
  <c r="D23" i="5"/>
  <c r="G23" i="5"/>
  <c r="F46" i="5"/>
  <c r="E46" i="5"/>
  <c r="B46" i="5"/>
  <c r="H46" i="5"/>
  <c r="I46" i="5"/>
  <c r="J46" i="5"/>
  <c r="C56" i="5"/>
  <c r="J56" i="5"/>
  <c r="E56" i="5"/>
  <c r="B25" i="5"/>
  <c r="G57" i="5"/>
  <c r="C47" i="5"/>
  <c r="H39" i="5"/>
  <c r="F33" i="5"/>
  <c r="I24" i="5"/>
  <c r="K30" i="5"/>
  <c r="C30" i="5"/>
  <c r="C22" i="5"/>
  <c r="C154" i="5" s="1"/>
  <c r="C155" i="5" s="1"/>
  <c r="J22" i="5"/>
  <c r="J154" i="5" s="1"/>
  <c r="J155" i="5" s="1"/>
  <c r="K22" i="5"/>
  <c r="K154" i="5" s="1"/>
  <c r="K155" i="5" s="1"/>
  <c r="C45" i="5"/>
  <c r="D45" i="5"/>
  <c r="E45" i="5"/>
  <c r="F45" i="5"/>
  <c r="D51" i="5"/>
  <c r="E51" i="5"/>
  <c r="B24" i="5"/>
  <c r="I56" i="5"/>
  <c r="F52" i="5"/>
  <c r="K46" i="5"/>
  <c r="G39" i="5"/>
  <c r="K32" i="5"/>
  <c r="E30" i="5"/>
  <c r="J23" i="5"/>
  <c r="B23" i="5"/>
  <c r="H56" i="5"/>
  <c r="E52" i="5"/>
  <c r="I48" i="5"/>
  <c r="D46" i="5"/>
  <c r="D39" i="5"/>
  <c r="J32" i="5"/>
  <c r="D30" i="5"/>
  <c r="I23" i="5"/>
  <c r="F69" i="5"/>
  <c r="F72" i="5" s="1"/>
  <c r="D55" i="5"/>
  <c r="J38" i="5"/>
  <c r="K29" i="5"/>
  <c r="C69" i="5"/>
  <c r="C72" i="5" s="1"/>
  <c r="F61" i="5"/>
  <c r="D43" i="5"/>
  <c r="E38" i="5"/>
  <c r="D29" i="5"/>
  <c r="E61" i="5"/>
  <c r="I50" i="5"/>
  <c r="D38" i="5"/>
  <c r="D69" i="5"/>
  <c r="D72" i="5" s="1"/>
  <c r="E69" i="5"/>
  <c r="E72" i="5" s="1"/>
  <c r="G21" i="5"/>
  <c r="F21" i="5"/>
  <c r="E21" i="5"/>
  <c r="H36" i="5"/>
  <c r="J36" i="5"/>
  <c r="I36" i="5"/>
  <c r="B36" i="5"/>
  <c r="C36" i="5"/>
  <c r="K36" i="5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J42" i="5"/>
  <c r="B42" i="5"/>
  <c r="D42" i="5"/>
  <c r="C42" i="5"/>
  <c r="K42" i="5"/>
  <c r="I60" i="5"/>
  <c r="C60" i="5"/>
  <c r="J60" i="5"/>
  <c r="B60" i="5"/>
  <c r="K60" i="5"/>
  <c r="G41" i="5"/>
  <c r="G36" i="5"/>
  <c r="C21" i="5"/>
  <c r="D60" i="5"/>
  <c r="D59" i="5" s="1"/>
  <c r="J53" i="5"/>
  <c r="H42" i="5"/>
  <c r="F36" i="5"/>
  <c r="H34" i="5"/>
  <c r="I26" i="5"/>
  <c r="D21" i="5"/>
  <c r="K54" i="5"/>
  <c r="L54" i="5" s="1"/>
  <c r="M54" i="5" s="1"/>
  <c r="N54" i="5" s="1"/>
  <c r="O54" i="5" s="1"/>
  <c r="P54" i="5" s="1"/>
  <c r="Q54" i="5" s="1"/>
  <c r="R54" i="5" s="1"/>
  <c r="S54" i="5" s="1"/>
  <c r="T54" i="5" s="1"/>
  <c r="U54" i="5" s="1"/>
  <c r="V54" i="5" s="1"/>
  <c r="F53" i="5"/>
  <c r="H21" i="5"/>
  <c r="J54" i="5"/>
  <c r="F42" i="5"/>
  <c r="F30" i="5"/>
  <c r="H30" i="5"/>
  <c r="G30" i="5"/>
  <c r="I30" i="5"/>
  <c r="I51" i="5"/>
  <c r="C51" i="5"/>
  <c r="J51" i="5"/>
  <c r="B51" i="5"/>
  <c r="K51" i="5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B30" i="5"/>
  <c r="I21" i="5"/>
  <c r="I54" i="5"/>
  <c r="D53" i="5"/>
  <c r="H51" i="5"/>
  <c r="E42" i="5"/>
  <c r="H35" i="5"/>
  <c r="G29" i="5"/>
  <c r="J29" i="5"/>
  <c r="H29" i="5"/>
  <c r="I29" i="5"/>
  <c r="F38" i="5"/>
  <c r="H38" i="5"/>
  <c r="G38" i="5"/>
  <c r="I38" i="5"/>
  <c r="H44" i="5"/>
  <c r="J44" i="5"/>
  <c r="B44" i="5"/>
  <c r="I44" i="5"/>
  <c r="J50" i="5"/>
  <c r="B50" i="5"/>
  <c r="C50" i="5"/>
  <c r="K50" i="5"/>
  <c r="D50" i="5"/>
  <c r="E55" i="5"/>
  <c r="F55" i="5"/>
  <c r="G55" i="5"/>
  <c r="B54" i="5"/>
  <c r="B29" i="5"/>
  <c r="J21" i="5"/>
  <c r="H60" i="5"/>
  <c r="J55" i="5"/>
  <c r="G51" i="5"/>
  <c r="E50" i="5"/>
  <c r="K44" i="5"/>
  <c r="F29" i="5"/>
  <c r="B21" i="5"/>
  <c r="I27" i="5"/>
  <c r="J27" i="5"/>
  <c r="B27" i="5"/>
  <c r="C27" i="5"/>
  <c r="K27" i="5"/>
  <c r="D27" i="5"/>
  <c r="F54" i="5"/>
  <c r="H54" i="5"/>
  <c r="G54" i="5"/>
  <c r="F60" i="5"/>
  <c r="C54" i="5"/>
  <c r="F27" i="5"/>
  <c r="J34" i="5"/>
  <c r="B34" i="5"/>
  <c r="C34" i="5"/>
  <c r="K34" i="5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D34" i="5"/>
  <c r="E34" i="5"/>
  <c r="J26" i="5"/>
  <c r="B26" i="5"/>
  <c r="C26" i="5"/>
  <c r="K26" i="5"/>
  <c r="D26" i="5"/>
  <c r="E26" i="5"/>
  <c r="I35" i="5"/>
  <c r="C35" i="5"/>
  <c r="J35" i="5"/>
  <c r="B35" i="5"/>
  <c r="K35" i="5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D35" i="5"/>
  <c r="C41" i="5"/>
  <c r="K41" i="5"/>
  <c r="E41" i="5"/>
  <c r="D41" i="5"/>
  <c r="F41" i="5"/>
  <c r="G53" i="5"/>
  <c r="H53" i="5"/>
  <c r="I53" i="5"/>
  <c r="E60" i="5"/>
  <c r="K53" i="5"/>
  <c r="I42" i="5"/>
  <c r="I34" i="5"/>
  <c r="E27" i="5"/>
  <c r="G42" i="5"/>
  <c r="E36" i="5"/>
  <c r="G34" i="5"/>
  <c r="H26" i="5"/>
  <c r="E53" i="5"/>
  <c r="D36" i="5"/>
  <c r="G26" i="5"/>
  <c r="B22" i="5"/>
  <c r="B154" i="5" s="1"/>
  <c r="B155" i="5" s="1"/>
  <c r="F22" i="5"/>
  <c r="F154" i="5" s="1"/>
  <c r="F155" i="5" s="1"/>
  <c r="I22" i="5"/>
  <c r="I154" i="5" s="1"/>
  <c r="I155" i="5" s="1"/>
  <c r="G22" i="5"/>
  <c r="G154" i="5" s="1"/>
  <c r="G155" i="5" s="1"/>
  <c r="H22" i="5"/>
  <c r="H154" i="5" s="1"/>
  <c r="H155" i="5" s="1"/>
  <c r="G45" i="5"/>
  <c r="I45" i="5"/>
  <c r="H45" i="5"/>
  <c r="B41" i="5"/>
  <c r="H28" i="5"/>
  <c r="B28" i="5"/>
  <c r="C28" i="5"/>
  <c r="I28" i="5"/>
  <c r="J28" i="5"/>
  <c r="K28" i="5"/>
  <c r="G37" i="5"/>
  <c r="H37" i="5"/>
  <c r="I37" i="5"/>
  <c r="J37" i="5"/>
  <c r="I43" i="5"/>
  <c r="C43" i="5"/>
  <c r="K43" i="5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J43" i="5"/>
  <c r="B43" i="5"/>
  <c r="H61" i="5"/>
  <c r="J61" i="5"/>
  <c r="B61" i="5"/>
  <c r="I61" i="5"/>
  <c r="B53" i="5"/>
  <c r="K21" i="5"/>
  <c r="G60" i="5"/>
  <c r="I55" i="5"/>
  <c r="D54" i="5"/>
  <c r="F51" i="5"/>
  <c r="G44" i="5"/>
  <c r="E43" i="5"/>
  <c r="I41" i="5"/>
  <c r="K38" i="5"/>
  <c r="D37" i="5"/>
  <c r="F35" i="5"/>
  <c r="E29" i="5"/>
  <c r="G27" i="5"/>
  <c r="B52" i="5"/>
  <c r="E25" i="5"/>
  <c r="K57" i="5"/>
  <c r="C57" i="5"/>
  <c r="D56" i="5"/>
  <c r="I52" i="5"/>
  <c r="E48" i="5"/>
  <c r="F47" i="5"/>
  <c r="G46" i="5"/>
  <c r="E40" i="5"/>
  <c r="F39" i="5"/>
  <c r="D33" i="5"/>
  <c r="E32" i="5"/>
  <c r="F31" i="5"/>
  <c r="D25" i="5"/>
  <c r="E24" i="5"/>
  <c r="F23" i="5"/>
  <c r="J52" i="5"/>
  <c r="F48" i="5"/>
  <c r="F40" i="5"/>
  <c r="E33" i="5"/>
  <c r="B57" i="5"/>
  <c r="K56" i="5"/>
  <c r="K33" i="5"/>
  <c r="L33" i="5" s="1"/>
  <c r="K25" i="5"/>
  <c r="K9" i="5"/>
  <c r="K131" i="5" s="1"/>
  <c r="C9" i="5"/>
  <c r="C131" i="5" s="1"/>
  <c r="K4" i="5"/>
  <c r="D14" i="5"/>
  <c r="D17" i="5" s="1"/>
  <c r="D19" i="5" s="1"/>
  <c r="D10" i="7" s="1"/>
  <c r="F10" i="5"/>
  <c r="E10" i="5"/>
  <c r="D10" i="5"/>
  <c r="J6" i="5"/>
  <c r="G11" i="5"/>
  <c r="G89" i="5" s="1"/>
  <c r="F9" i="5"/>
  <c r="F131" i="5" s="1"/>
  <c r="F11" i="5"/>
  <c r="F89" i="5" s="1"/>
  <c r="E9" i="5"/>
  <c r="E131" i="5" s="1"/>
  <c r="E11" i="5"/>
  <c r="E89" i="5" s="1"/>
  <c r="D9" i="5"/>
  <c r="D131" i="5" s="1"/>
  <c r="D6" i="5"/>
  <c r="E13" i="5"/>
  <c r="C6" i="5"/>
  <c r="B12" i="5"/>
  <c r="B91" i="5" s="1"/>
  <c r="D13" i="5"/>
  <c r="D11" i="5"/>
  <c r="D89" i="5" s="1"/>
  <c r="K5" i="5"/>
  <c r="B11" i="5"/>
  <c r="F12" i="5"/>
  <c r="F91" i="5" s="1"/>
  <c r="C11" i="5"/>
  <c r="C89" i="5" s="1"/>
  <c r="K7" i="5"/>
  <c r="J5" i="5"/>
  <c r="B10" i="5"/>
  <c r="E12" i="5"/>
  <c r="E91" i="5" s="1"/>
  <c r="K10" i="5"/>
  <c r="I9" i="5"/>
  <c r="I131" i="5" s="1"/>
  <c r="J7" i="5"/>
  <c r="E5" i="5"/>
  <c r="B9" i="5"/>
  <c r="D12" i="5"/>
  <c r="D91" i="5" s="1"/>
  <c r="H10" i="5"/>
  <c r="H9" i="5"/>
  <c r="H131" i="5" s="1"/>
  <c r="C7" i="5"/>
  <c r="D5" i="5"/>
  <c r="C4" i="5"/>
  <c r="K11" i="5"/>
  <c r="K89" i="5" s="1"/>
  <c r="G10" i="5"/>
  <c r="G9" i="5"/>
  <c r="G131" i="5" s="1"/>
  <c r="K6" i="5"/>
  <c r="K86" i="6" s="1"/>
  <c r="C5" i="5"/>
  <c r="J8" i="5"/>
  <c r="J101" i="5" s="1"/>
  <c r="J117" i="5" s="1"/>
  <c r="J118" i="5" s="1"/>
  <c r="D4" i="5"/>
  <c r="K14" i="5"/>
  <c r="C14" i="5"/>
  <c r="I8" i="5"/>
  <c r="I101" i="5" s="1"/>
  <c r="E4" i="5"/>
  <c r="J14" i="5"/>
  <c r="K13" i="5"/>
  <c r="C13" i="5"/>
  <c r="H8" i="5"/>
  <c r="H101" i="5" s="1"/>
  <c r="I7" i="5"/>
  <c r="F4" i="5"/>
  <c r="I14" i="5"/>
  <c r="J13" i="5"/>
  <c r="K12" i="5"/>
  <c r="K92" i="5" s="1"/>
  <c r="C12" i="5"/>
  <c r="C91" i="5" s="1"/>
  <c r="G8" i="5"/>
  <c r="G101" i="5" s="1"/>
  <c r="H7" i="5"/>
  <c r="I6" i="5"/>
  <c r="B8" i="5"/>
  <c r="B101" i="5" s="1"/>
  <c r="B117" i="5" s="1"/>
  <c r="B118" i="5" s="1"/>
  <c r="B122" i="5" s="1"/>
  <c r="G4" i="5"/>
  <c r="H14" i="5"/>
  <c r="I13" i="5"/>
  <c r="J12" i="5"/>
  <c r="J91" i="5" s="1"/>
  <c r="J92" i="5" s="1"/>
  <c r="F8" i="5"/>
  <c r="F101" i="5" s="1"/>
  <c r="G7" i="5"/>
  <c r="H6" i="5"/>
  <c r="I5" i="5"/>
  <c r="B4" i="5"/>
  <c r="B7" i="5"/>
  <c r="H4" i="5"/>
  <c r="H85" i="6" s="1"/>
  <c r="G14" i="5"/>
  <c r="H13" i="5"/>
  <c r="I12" i="5"/>
  <c r="I91" i="5" s="1"/>
  <c r="J11" i="5"/>
  <c r="E8" i="5"/>
  <c r="E101" i="5" s="1"/>
  <c r="F7" i="5"/>
  <c r="G6" i="5"/>
  <c r="H5" i="5"/>
  <c r="B14" i="5"/>
  <c r="B6" i="5"/>
  <c r="I4" i="5"/>
  <c r="F14" i="5"/>
  <c r="G13" i="5"/>
  <c r="H12" i="5"/>
  <c r="H91" i="5" s="1"/>
  <c r="I11" i="5"/>
  <c r="I89" i="5" s="1"/>
  <c r="J10" i="5"/>
  <c r="D8" i="5"/>
  <c r="D101" i="5" s="1"/>
  <c r="E7" i="5"/>
  <c r="F6" i="5"/>
  <c r="G5" i="5"/>
  <c r="B13" i="5"/>
  <c r="B5" i="5"/>
  <c r="K8" i="5"/>
  <c r="K101" i="5" s="1"/>
  <c r="E17" i="5"/>
  <c r="E19" i="5" s="1"/>
  <c r="E10" i="7" s="1"/>
  <c r="C31" i="6"/>
  <c r="E26" i="6"/>
  <c r="E13" i="6"/>
  <c r="D26" i="6"/>
  <c r="K22" i="6"/>
  <c r="J21" i="6"/>
  <c r="D13" i="6"/>
  <c r="C11" i="6"/>
  <c r="J34" i="6"/>
  <c r="J22" i="6"/>
  <c r="I21" i="6"/>
  <c r="K15" i="6"/>
  <c r="K11" i="6"/>
  <c r="I34" i="6"/>
  <c r="J31" i="6"/>
  <c r="I22" i="6"/>
  <c r="H21" i="6"/>
  <c r="K12" i="6"/>
  <c r="B34" i="6"/>
  <c r="H22" i="6"/>
  <c r="I15" i="6"/>
  <c r="J12" i="6"/>
  <c r="B27" i="6"/>
  <c r="B15" i="6"/>
  <c r="H36" i="6"/>
  <c r="G34" i="6"/>
  <c r="F31" i="6"/>
  <c r="H26" i="6"/>
  <c r="K23" i="6"/>
  <c r="G22" i="6"/>
  <c r="E21" i="6"/>
  <c r="G17" i="6"/>
  <c r="H15" i="6"/>
  <c r="K13" i="6"/>
  <c r="I12" i="6"/>
  <c r="G11" i="6"/>
  <c r="I8" i="6"/>
  <c r="F26" i="6"/>
  <c r="C15" i="6"/>
  <c r="I13" i="6"/>
  <c r="D12" i="6"/>
  <c r="K34" i="6"/>
  <c r="C12" i="6"/>
  <c r="K31" i="6"/>
  <c r="C13" i="6"/>
  <c r="J15" i="6"/>
  <c r="J11" i="6"/>
  <c r="I36" i="6"/>
  <c r="H34" i="6"/>
  <c r="I31" i="6"/>
  <c r="I24" i="6"/>
  <c r="G21" i="6"/>
  <c r="I11" i="6"/>
  <c r="B26" i="6"/>
  <c r="B11" i="6"/>
  <c r="J35" i="6"/>
  <c r="F34" i="6"/>
  <c r="E31" i="6"/>
  <c r="G26" i="6"/>
  <c r="J23" i="6"/>
  <c r="D22" i="6"/>
  <c r="D21" i="6"/>
  <c r="J16" i="6"/>
  <c r="G15" i="6"/>
  <c r="J13" i="6"/>
  <c r="F12" i="6"/>
  <c r="F11" i="6"/>
  <c r="G28" i="15" s="1"/>
  <c r="H8" i="6"/>
  <c r="D33" i="6"/>
  <c r="F20" i="6"/>
  <c r="F112" i="5" s="1"/>
  <c r="H10" i="6"/>
  <c r="B10" i="6"/>
  <c r="H7" i="6"/>
  <c r="K33" i="6"/>
  <c r="C33" i="6"/>
  <c r="D32" i="6"/>
  <c r="H25" i="6"/>
  <c r="E20" i="6"/>
  <c r="E112" i="5" s="1"/>
  <c r="F19" i="6"/>
  <c r="F103" i="5" s="1"/>
  <c r="G99" i="5" s="1"/>
  <c r="G10" i="6"/>
  <c r="B36" i="6"/>
  <c r="B25" i="6"/>
  <c r="B9" i="6"/>
  <c r="I7" i="6"/>
  <c r="G36" i="6"/>
  <c r="J33" i="6"/>
  <c r="K32" i="6"/>
  <c r="L32" i="6" s="1"/>
  <c r="C32" i="6"/>
  <c r="D20" i="6"/>
  <c r="D112" i="5" s="1"/>
  <c r="E109" i="5" s="1"/>
  <c r="G9" i="6"/>
  <c r="B35" i="6"/>
  <c r="B38" i="6" s="1"/>
  <c r="B24" i="6"/>
  <c r="B8" i="6"/>
  <c r="J7" i="6"/>
  <c r="D10" i="6"/>
  <c r="E9" i="6"/>
  <c r="F8" i="6"/>
  <c r="E24" i="6"/>
  <c r="G25" i="6"/>
  <c r="H24" i="6"/>
  <c r="E19" i="6"/>
  <c r="E103" i="5" s="1"/>
  <c r="F99" i="5" s="1"/>
  <c r="F10" i="6"/>
  <c r="F36" i="6"/>
  <c r="G35" i="6"/>
  <c r="I33" i="6"/>
  <c r="J32" i="6"/>
  <c r="F25" i="6"/>
  <c r="G24" i="6"/>
  <c r="H23" i="6"/>
  <c r="K20" i="6"/>
  <c r="K112" i="5" s="1"/>
  <c r="K120" i="5" s="1"/>
  <c r="C20" i="6"/>
  <c r="C112" i="5" s="1"/>
  <c r="D109" i="5" s="1"/>
  <c r="D19" i="6"/>
  <c r="D103" i="5" s="1"/>
  <c r="E99" i="5" s="1"/>
  <c r="F17" i="6"/>
  <c r="E10" i="6"/>
  <c r="F9" i="6"/>
  <c r="G8" i="6"/>
  <c r="B23" i="6"/>
  <c r="C7" i="6"/>
  <c r="K7" i="6"/>
  <c r="D37" i="6"/>
  <c r="E36" i="6"/>
  <c r="F35" i="6"/>
  <c r="H33" i="6"/>
  <c r="I32" i="6"/>
  <c r="K27" i="6"/>
  <c r="C27" i="6"/>
  <c r="E25" i="6"/>
  <c r="F24" i="6"/>
  <c r="G23" i="6"/>
  <c r="J20" i="6"/>
  <c r="J112" i="5" s="1"/>
  <c r="K109" i="5" s="1"/>
  <c r="K19" i="6"/>
  <c r="K103" i="5" s="1"/>
  <c r="L99" i="5" s="1"/>
  <c r="C19" i="6"/>
  <c r="C103" i="5" s="1"/>
  <c r="D99" i="5" s="1"/>
  <c r="E17" i="6"/>
  <c r="F16" i="6"/>
  <c r="H14" i="6"/>
  <c r="B33" i="6"/>
  <c r="B14" i="6"/>
  <c r="D7" i="6"/>
  <c r="K37" i="6"/>
  <c r="L37" i="6" s="1"/>
  <c r="M37" i="6" s="1"/>
  <c r="N37" i="6" s="1"/>
  <c r="O37" i="6" s="1"/>
  <c r="P37" i="6" s="1"/>
  <c r="Q37" i="6" s="1"/>
  <c r="R37" i="6" s="1"/>
  <c r="S37" i="6" s="1"/>
  <c r="T37" i="6" s="1"/>
  <c r="U37" i="6" s="1"/>
  <c r="V37" i="6" s="1"/>
  <c r="C37" i="6"/>
  <c r="D36" i="6"/>
  <c r="E35" i="6"/>
  <c r="G33" i="6"/>
  <c r="H32" i="6"/>
  <c r="J27" i="6"/>
  <c r="K26" i="6"/>
  <c r="C26" i="6"/>
  <c r="D25" i="6"/>
  <c r="B32" i="6"/>
  <c r="F23" i="6"/>
  <c r="I20" i="6"/>
  <c r="I112" i="5" s="1"/>
  <c r="I120" i="5" s="1"/>
  <c r="J19" i="6"/>
  <c r="J103" i="5" s="1"/>
  <c r="K99" i="5" s="1"/>
  <c r="D17" i="6"/>
  <c r="E16" i="6"/>
  <c r="F15" i="6"/>
  <c r="G14" i="6"/>
  <c r="H13" i="6"/>
  <c r="K10" i="6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C10" i="6"/>
  <c r="D9" i="6"/>
  <c r="E8" i="6"/>
  <c r="B13" i="6"/>
  <c r="E7" i="6"/>
  <c r="J37" i="6"/>
  <c r="K36" i="6"/>
  <c r="L36" i="6" s="1"/>
  <c r="C36" i="6"/>
  <c r="D35" i="6"/>
  <c r="F33" i="6"/>
  <c r="G32" i="6"/>
  <c r="H31" i="6"/>
  <c r="I27" i="6"/>
  <c r="J26" i="6"/>
  <c r="K25" i="6"/>
  <c r="L25" i="6" s="1"/>
  <c r="M25" i="6" s="1"/>
  <c r="N25" i="6" s="1"/>
  <c r="O25" i="6" s="1"/>
  <c r="P25" i="6" s="1"/>
  <c r="Q25" i="6" s="1"/>
  <c r="R25" i="6" s="1"/>
  <c r="S25" i="6" s="1"/>
  <c r="T25" i="6" s="1"/>
  <c r="U25" i="6" s="1"/>
  <c r="V25" i="6" s="1"/>
  <c r="C25" i="6"/>
  <c r="D24" i="6"/>
  <c r="E23" i="6"/>
  <c r="F22" i="6"/>
  <c r="H20" i="6"/>
  <c r="H112" i="5" s="1"/>
  <c r="H120" i="5" s="1"/>
  <c r="I19" i="6"/>
  <c r="I103" i="5" s="1"/>
  <c r="J99" i="5" s="1"/>
  <c r="K17" i="6"/>
  <c r="C17" i="6"/>
  <c r="D16" i="6"/>
  <c r="E15" i="6"/>
  <c r="F14" i="6"/>
  <c r="G13" i="6"/>
  <c r="H12" i="6"/>
  <c r="J10" i="6"/>
  <c r="K9" i="6"/>
  <c r="C9" i="6"/>
  <c r="D8" i="6"/>
  <c r="B31" i="6"/>
  <c r="B20" i="6"/>
  <c r="B12" i="6"/>
  <c r="K35" i="6"/>
  <c r="K24" i="6"/>
  <c r="K16" i="6"/>
  <c r="K8" i="6"/>
  <c r="B97" i="6" l="1"/>
  <c r="C27" i="15"/>
  <c r="C21" i="15"/>
  <c r="J96" i="6"/>
  <c r="K26" i="15"/>
  <c r="K29" i="7"/>
  <c r="L51" i="6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G95" i="6"/>
  <c r="H25" i="15"/>
  <c r="H28" i="15"/>
  <c r="H19" i="15"/>
  <c r="H20" i="15"/>
  <c r="J97" i="6"/>
  <c r="K27" i="15"/>
  <c r="K21" i="15"/>
  <c r="K96" i="6"/>
  <c r="K90" i="6" s="1"/>
  <c r="L90" i="6" s="1"/>
  <c r="M90" i="6" s="1"/>
  <c r="L26" i="15"/>
  <c r="E96" i="6"/>
  <c r="E90" i="6" s="1"/>
  <c r="F26" i="15"/>
  <c r="E97" i="6"/>
  <c r="F27" i="15"/>
  <c r="F21" i="15"/>
  <c r="D97" i="6"/>
  <c r="D102" i="6" s="1"/>
  <c r="E27" i="15"/>
  <c r="E21" i="15"/>
  <c r="D95" i="6"/>
  <c r="D101" i="6" s="1"/>
  <c r="E28" i="15"/>
  <c r="E25" i="15"/>
  <c r="E20" i="15"/>
  <c r="E19" i="15"/>
  <c r="K31" i="7"/>
  <c r="L34" i="6"/>
  <c r="M34" i="6" s="1"/>
  <c r="N34" i="6" s="1"/>
  <c r="O34" i="6" s="1"/>
  <c r="P34" i="6" s="1"/>
  <c r="Q34" i="6" s="1"/>
  <c r="R34" i="6" s="1"/>
  <c r="S34" i="6" s="1"/>
  <c r="T34" i="6" s="1"/>
  <c r="U34" i="6" s="1"/>
  <c r="V34" i="6" s="1"/>
  <c r="C38" i="6"/>
  <c r="I97" i="6"/>
  <c r="J27" i="15"/>
  <c r="J21" i="15"/>
  <c r="H95" i="6"/>
  <c r="I25" i="15"/>
  <c r="I28" i="15"/>
  <c r="I19" i="15"/>
  <c r="I20" i="15"/>
  <c r="F97" i="6"/>
  <c r="G27" i="15"/>
  <c r="G21" i="15"/>
  <c r="C96" i="6"/>
  <c r="D26" i="15"/>
  <c r="G20" i="15"/>
  <c r="K95" i="6"/>
  <c r="L25" i="15"/>
  <c r="L28" i="15"/>
  <c r="L20" i="15"/>
  <c r="L19" i="15"/>
  <c r="G19" i="15"/>
  <c r="B95" i="6"/>
  <c r="B101" i="6" s="1"/>
  <c r="B103" i="6" s="1"/>
  <c r="C28" i="15"/>
  <c r="C25" i="15"/>
  <c r="C19" i="15"/>
  <c r="C20" i="15"/>
  <c r="C24" i="15"/>
  <c r="C7" i="15"/>
  <c r="C13" i="15"/>
  <c r="H97" i="6"/>
  <c r="H102" i="6" s="1"/>
  <c r="I27" i="15"/>
  <c r="I21" i="15"/>
  <c r="L35" i="6"/>
  <c r="M36" i="6"/>
  <c r="I96" i="6"/>
  <c r="J26" i="15"/>
  <c r="G96" i="6"/>
  <c r="H26" i="15"/>
  <c r="C97" i="6"/>
  <c r="D27" i="15"/>
  <c r="D21" i="15"/>
  <c r="F96" i="6"/>
  <c r="G26" i="15"/>
  <c r="L53" i="6"/>
  <c r="M55" i="6"/>
  <c r="D96" i="6"/>
  <c r="E26" i="15"/>
  <c r="K97" i="6"/>
  <c r="L27" i="15"/>
  <c r="L21" i="15"/>
  <c r="C95" i="6"/>
  <c r="C101" i="6" s="1"/>
  <c r="D25" i="15"/>
  <c r="D28" i="15"/>
  <c r="D19" i="15"/>
  <c r="D20" i="15"/>
  <c r="E95" i="6"/>
  <c r="F25" i="15"/>
  <c r="F28" i="15"/>
  <c r="F20" i="15"/>
  <c r="F19" i="15"/>
  <c r="J95" i="6"/>
  <c r="J89" i="6" s="1"/>
  <c r="K28" i="15"/>
  <c r="K25" i="15"/>
  <c r="K20" i="15"/>
  <c r="K19" i="15"/>
  <c r="B96" i="6"/>
  <c r="C26" i="15"/>
  <c r="I95" i="6"/>
  <c r="J25" i="15"/>
  <c r="J28" i="15"/>
  <c r="J19" i="15"/>
  <c r="J20" i="15"/>
  <c r="E16" i="13"/>
  <c r="G59" i="5"/>
  <c r="M33" i="5"/>
  <c r="L27" i="5"/>
  <c r="B83" i="5"/>
  <c r="B84" i="5" s="1"/>
  <c r="B86" i="6"/>
  <c r="B90" i="6" s="1"/>
  <c r="K85" i="6"/>
  <c r="K89" i="6" s="1"/>
  <c r="L89" i="6" s="1"/>
  <c r="G83" i="5"/>
  <c r="G86" i="6"/>
  <c r="G91" i="6" s="1"/>
  <c r="E95" i="5"/>
  <c r="E85" i="6"/>
  <c r="B105" i="5"/>
  <c r="B85" i="6"/>
  <c r="B89" i="6" s="1"/>
  <c r="G105" i="5"/>
  <c r="G85" i="6"/>
  <c r="G89" i="6" s="1"/>
  <c r="C83" i="5"/>
  <c r="C84" i="5" s="1"/>
  <c r="C86" i="6"/>
  <c r="C91" i="6" s="1"/>
  <c r="O16" i="5"/>
  <c r="F105" i="5"/>
  <c r="F85" i="6"/>
  <c r="F89" i="6" s="1"/>
  <c r="J83" i="5"/>
  <c r="J84" i="5" s="1"/>
  <c r="J86" i="6"/>
  <c r="J90" i="6" s="1"/>
  <c r="H83" i="5"/>
  <c r="H86" i="6"/>
  <c r="H90" i="6" s="1"/>
  <c r="I83" i="5"/>
  <c r="I84" i="5" s="1"/>
  <c r="I86" i="6"/>
  <c r="I90" i="6" s="1"/>
  <c r="C105" i="5"/>
  <c r="C85" i="6"/>
  <c r="D83" i="5"/>
  <c r="D84" i="5" s="1"/>
  <c r="D86" i="6"/>
  <c r="F83" i="5"/>
  <c r="F86" i="6"/>
  <c r="F90" i="6" s="1"/>
  <c r="I105" i="5"/>
  <c r="I85" i="6"/>
  <c r="I89" i="6" s="1"/>
  <c r="D105" i="5"/>
  <c r="D85" i="6"/>
  <c r="K38" i="6"/>
  <c r="T29" i="6"/>
  <c r="G101" i="6"/>
  <c r="G103" i="6" s="1"/>
  <c r="B102" i="6"/>
  <c r="D38" i="6"/>
  <c r="K101" i="6"/>
  <c r="M32" i="6"/>
  <c r="C102" i="6"/>
  <c r="I101" i="6"/>
  <c r="I103" i="6" s="1"/>
  <c r="E102" i="6"/>
  <c r="E91" i="6"/>
  <c r="K91" i="6"/>
  <c r="L91" i="6" s="1"/>
  <c r="K102" i="6"/>
  <c r="E101" i="6"/>
  <c r="F38" i="6"/>
  <c r="I38" i="6"/>
  <c r="G38" i="6"/>
  <c r="J38" i="6"/>
  <c r="E38" i="6"/>
  <c r="F102" i="6"/>
  <c r="I102" i="6"/>
  <c r="J102" i="6"/>
  <c r="H89" i="6"/>
  <c r="H101" i="6"/>
  <c r="H38" i="6"/>
  <c r="F101" i="6"/>
  <c r="F103" i="6" s="1"/>
  <c r="O25" i="5"/>
  <c r="O24" i="5"/>
  <c r="E36" i="13"/>
  <c r="E148" i="5"/>
  <c r="E150" i="5" s="1"/>
  <c r="C56" i="6"/>
  <c r="C71" i="6" s="1"/>
  <c r="C76" i="6" s="1"/>
  <c r="J56" i="6"/>
  <c r="J71" i="6" s="1"/>
  <c r="K56" i="6"/>
  <c r="K71" i="6" s="1"/>
  <c r="D56" i="6"/>
  <c r="D71" i="6" s="1"/>
  <c r="B56" i="6"/>
  <c r="B71" i="6" s="1"/>
  <c r="B76" i="6" s="1"/>
  <c r="I56" i="6"/>
  <c r="I71" i="6" s="1"/>
  <c r="G56" i="6"/>
  <c r="G71" i="6" s="1"/>
  <c r="F56" i="6"/>
  <c r="F71" i="6" s="1"/>
  <c r="H56" i="6"/>
  <c r="H71" i="6" s="1"/>
  <c r="E56" i="6"/>
  <c r="E71" i="6" s="1"/>
  <c r="H102" i="5"/>
  <c r="K111" i="5"/>
  <c r="K114" i="5" s="1"/>
  <c r="D111" i="5"/>
  <c r="D114" i="5" s="1"/>
  <c r="B57" i="6"/>
  <c r="F57" i="6"/>
  <c r="I57" i="6"/>
  <c r="H57" i="6"/>
  <c r="J57" i="6"/>
  <c r="E111" i="5"/>
  <c r="E114" i="5" s="1"/>
  <c r="C39" i="6"/>
  <c r="E57" i="6"/>
  <c r="D57" i="6"/>
  <c r="L109" i="5"/>
  <c r="L111" i="5" s="1"/>
  <c r="L112" i="5" s="1"/>
  <c r="L20" i="6" s="1"/>
  <c r="H39" i="6"/>
  <c r="B39" i="6"/>
  <c r="K39" i="6"/>
  <c r="F39" i="6"/>
  <c r="J109" i="5"/>
  <c r="J113" i="5" s="1"/>
  <c r="I109" i="5"/>
  <c r="I111" i="5" s="1"/>
  <c r="I114" i="5" s="1"/>
  <c r="C113" i="5"/>
  <c r="D120" i="5"/>
  <c r="G57" i="6"/>
  <c r="G39" i="6"/>
  <c r="J39" i="6"/>
  <c r="D39" i="6"/>
  <c r="C111" i="5"/>
  <c r="C114" i="5" s="1"/>
  <c r="C120" i="5"/>
  <c r="E120" i="5"/>
  <c r="F109" i="5"/>
  <c r="F111" i="5" s="1"/>
  <c r="F114" i="5" s="1"/>
  <c r="F120" i="5"/>
  <c r="G109" i="5"/>
  <c r="G111" i="5" s="1"/>
  <c r="G114" i="5" s="1"/>
  <c r="J120" i="5"/>
  <c r="E39" i="6"/>
  <c r="H111" i="5"/>
  <c r="H114" i="5" s="1"/>
  <c r="C57" i="6"/>
  <c r="C102" i="5"/>
  <c r="K57" i="6"/>
  <c r="I39" i="6"/>
  <c r="J140" i="5"/>
  <c r="J143" i="5" s="1"/>
  <c r="S49" i="6" s="1"/>
  <c r="S48" i="6" s="1"/>
  <c r="I145" i="5"/>
  <c r="I147" i="5" s="1"/>
  <c r="B156" i="5"/>
  <c r="K95" i="5"/>
  <c r="C59" i="5"/>
  <c r="D92" i="5"/>
  <c r="B92" i="5"/>
  <c r="I92" i="5"/>
  <c r="H92" i="5"/>
  <c r="F92" i="5"/>
  <c r="C92" i="5"/>
  <c r="E92" i="5"/>
  <c r="G92" i="5"/>
  <c r="G135" i="5"/>
  <c r="G132" i="5"/>
  <c r="F135" i="5"/>
  <c r="F132" i="5"/>
  <c r="C135" i="5"/>
  <c r="C132" i="5"/>
  <c r="E135" i="5"/>
  <c r="E132" i="5"/>
  <c r="K135" i="5"/>
  <c r="K132" i="5"/>
  <c r="H135" i="5"/>
  <c r="H132" i="5"/>
  <c r="J86" i="5"/>
  <c r="J89" i="5"/>
  <c r="I135" i="5"/>
  <c r="I132" i="5"/>
  <c r="B86" i="5"/>
  <c r="B89" i="5"/>
  <c r="D135" i="5"/>
  <c r="D132" i="5"/>
  <c r="X39" i="5"/>
  <c r="D113" i="5"/>
  <c r="D117" i="5"/>
  <c r="D118" i="5" s="1"/>
  <c r="J102" i="5"/>
  <c r="F102" i="5"/>
  <c r="F117" i="5"/>
  <c r="F118" i="5" s="1"/>
  <c r="E113" i="5"/>
  <c r="E117" i="5"/>
  <c r="E118" i="5" s="1"/>
  <c r="K113" i="5"/>
  <c r="K117" i="5"/>
  <c r="K118" i="5" s="1"/>
  <c r="I117" i="5"/>
  <c r="I118" i="5" s="1"/>
  <c r="G102" i="5"/>
  <c r="G117" i="5"/>
  <c r="G118" i="5" s="1"/>
  <c r="H113" i="5"/>
  <c r="H117" i="5"/>
  <c r="H118" i="5" s="1"/>
  <c r="E102" i="5"/>
  <c r="C86" i="5"/>
  <c r="I102" i="5"/>
  <c r="K105" i="5"/>
  <c r="K102" i="5"/>
  <c r="X7" i="5"/>
  <c r="D102" i="5"/>
  <c r="B102" i="5"/>
  <c r="B113" i="5"/>
  <c r="X44" i="5"/>
  <c r="X42" i="5"/>
  <c r="X46" i="5"/>
  <c r="E84" i="5"/>
  <c r="H86" i="5"/>
  <c r="H105" i="5"/>
  <c r="X21" i="5"/>
  <c r="X47" i="5"/>
  <c r="H84" i="5"/>
  <c r="X48" i="5"/>
  <c r="E105" i="5"/>
  <c r="X10" i="5"/>
  <c r="X5" i="5"/>
  <c r="E86" i="5"/>
  <c r="I17" i="5"/>
  <c r="I19" i="5" s="1"/>
  <c r="I10" i="7" s="1"/>
  <c r="I95" i="5"/>
  <c r="G86" i="5"/>
  <c r="X11" i="5"/>
  <c r="K86" i="5"/>
  <c r="B87" i="5" s="1"/>
  <c r="M88" i="5" s="1"/>
  <c r="K17" i="5"/>
  <c r="K19" i="5" s="1"/>
  <c r="X14" i="5"/>
  <c r="G17" i="5"/>
  <c r="G19" i="5" s="1"/>
  <c r="G10" i="7" s="1"/>
  <c r="G95" i="5"/>
  <c r="D95" i="5"/>
  <c r="X38" i="5"/>
  <c r="C17" i="5"/>
  <c r="C19" i="5" s="1"/>
  <c r="C10" i="7" s="1"/>
  <c r="C95" i="5"/>
  <c r="F17" i="5"/>
  <c r="F19" i="5" s="1"/>
  <c r="F10" i="7" s="1"/>
  <c r="F95" i="5"/>
  <c r="F84" i="5"/>
  <c r="B95" i="5"/>
  <c r="D86" i="5"/>
  <c r="J17" i="5"/>
  <c r="J19" i="5" s="1"/>
  <c r="J10" i="7" s="1"/>
  <c r="J95" i="5"/>
  <c r="K83" i="5"/>
  <c r="K84" i="5" s="1"/>
  <c r="L84" i="5" s="1"/>
  <c r="M84" i="5" s="1"/>
  <c r="N84" i="5" s="1"/>
  <c r="O84" i="5" s="1"/>
  <c r="P84" i="5" s="1"/>
  <c r="Q84" i="5" s="1"/>
  <c r="R84" i="5" s="1"/>
  <c r="S84" i="5" s="1"/>
  <c r="T84" i="5" s="1"/>
  <c r="U84" i="5" s="1"/>
  <c r="V84" i="5" s="1"/>
  <c r="X6" i="5"/>
  <c r="F86" i="5"/>
  <c r="X45" i="5"/>
  <c r="X4" i="5"/>
  <c r="X37" i="5"/>
  <c r="I86" i="5"/>
  <c r="G84" i="5"/>
  <c r="H17" i="5"/>
  <c r="H19" i="5" s="1"/>
  <c r="H10" i="7" s="1"/>
  <c r="H95" i="5"/>
  <c r="X41" i="5"/>
  <c r="X40" i="5"/>
  <c r="K59" i="5"/>
  <c r="X59" i="5" s="1"/>
  <c r="F59" i="5"/>
  <c r="E59" i="5"/>
  <c r="I59" i="5"/>
  <c r="H59" i="5"/>
  <c r="B59" i="5"/>
  <c r="J59" i="5"/>
  <c r="B17" i="5"/>
  <c r="B19" i="5" s="1"/>
  <c r="J24" i="15" l="1"/>
  <c r="J7" i="15"/>
  <c r="J13" i="15"/>
  <c r="D76" i="6"/>
  <c r="E7" i="15"/>
  <c r="E24" i="15"/>
  <c r="E13" i="15"/>
  <c r="I24" i="15"/>
  <c r="I7" i="15"/>
  <c r="I13" i="15"/>
  <c r="L24" i="15"/>
  <c r="L7" i="15"/>
  <c r="L13" i="15"/>
  <c r="D89" i="6"/>
  <c r="H103" i="6"/>
  <c r="N55" i="6"/>
  <c r="M53" i="6"/>
  <c r="E89" i="6"/>
  <c r="G24" i="15"/>
  <c r="G7" i="15"/>
  <c r="G13" i="15"/>
  <c r="J101" i="6"/>
  <c r="J103" i="6" s="1"/>
  <c r="C89" i="6"/>
  <c r="E76" i="6"/>
  <c r="F24" i="15"/>
  <c r="F7" i="15"/>
  <c r="F13" i="15"/>
  <c r="D91" i="6"/>
  <c r="K24" i="15"/>
  <c r="K7" i="15"/>
  <c r="K13" i="15"/>
  <c r="M35" i="6"/>
  <c r="N36" i="6"/>
  <c r="H24" i="15"/>
  <c r="H7" i="15"/>
  <c r="H13" i="15"/>
  <c r="D24" i="15"/>
  <c r="D7" i="15"/>
  <c r="D13" i="15"/>
  <c r="C90" i="6"/>
  <c r="C38" i="13"/>
  <c r="N33" i="5"/>
  <c r="M27" i="5"/>
  <c r="J91" i="6"/>
  <c r="B91" i="6"/>
  <c r="F91" i="6"/>
  <c r="I91" i="6"/>
  <c r="G90" i="6"/>
  <c r="P16" i="5"/>
  <c r="H91" i="6"/>
  <c r="D90" i="6"/>
  <c r="C103" i="6"/>
  <c r="F76" i="6"/>
  <c r="N32" i="6"/>
  <c r="N90" i="6"/>
  <c r="J76" i="6"/>
  <c r="E103" i="6"/>
  <c r="D103" i="6"/>
  <c r="U29" i="6"/>
  <c r="G76" i="6"/>
  <c r="K103" i="6"/>
  <c r="K76" i="6"/>
  <c r="H76" i="6"/>
  <c r="I76" i="6"/>
  <c r="M91" i="6"/>
  <c r="M89" i="6"/>
  <c r="L23" i="6"/>
  <c r="L26" i="6"/>
  <c r="L24" i="6"/>
  <c r="L21" i="6"/>
  <c r="L22" i="6"/>
  <c r="E17" i="13"/>
  <c r="F41" i="13"/>
  <c r="G148" i="5" s="1"/>
  <c r="G150" i="5" s="1"/>
  <c r="N25" i="5"/>
  <c r="N24" i="5"/>
  <c r="C78" i="6"/>
  <c r="I113" i="5"/>
  <c r="D122" i="5"/>
  <c r="B78" i="6"/>
  <c r="K122" i="5"/>
  <c r="H78" i="6"/>
  <c r="G78" i="6"/>
  <c r="E78" i="6"/>
  <c r="D78" i="6"/>
  <c r="F113" i="5"/>
  <c r="I122" i="5"/>
  <c r="J78" i="6"/>
  <c r="F78" i="6"/>
  <c r="K78" i="6"/>
  <c r="I78" i="6"/>
  <c r="H122" i="5"/>
  <c r="F122" i="5"/>
  <c r="J111" i="5"/>
  <c r="J114" i="5" s="1"/>
  <c r="G113" i="5"/>
  <c r="B14" i="7"/>
  <c r="B79" i="6"/>
  <c r="G122" i="5"/>
  <c r="K140" i="5"/>
  <c r="K143" i="5" s="1"/>
  <c r="T49" i="6" s="1"/>
  <c r="T48" i="6" s="1"/>
  <c r="J145" i="5"/>
  <c r="J147" i="5" s="1"/>
  <c r="N88" i="5"/>
  <c r="B136" i="5"/>
  <c r="M109" i="5"/>
  <c r="M111" i="5" s="1"/>
  <c r="L117" i="5"/>
  <c r="L101" i="5" s="1"/>
  <c r="L8" i="5" s="1"/>
  <c r="K10" i="7"/>
  <c r="X19" i="5"/>
  <c r="B10" i="7"/>
  <c r="O55" i="6" l="1"/>
  <c r="N53" i="6"/>
  <c r="K79" i="6"/>
  <c r="D14" i="7"/>
  <c r="E15" i="7" s="1"/>
  <c r="G79" i="6"/>
  <c r="C79" i="6"/>
  <c r="F14" i="7"/>
  <c r="I14" i="7"/>
  <c r="H79" i="6"/>
  <c r="E14" i="7"/>
  <c r="F15" i="7" s="1"/>
  <c r="N35" i="6"/>
  <c r="O36" i="6"/>
  <c r="E37" i="13"/>
  <c r="G41" i="13"/>
  <c r="H148" i="5" s="1"/>
  <c r="H150" i="5" s="1"/>
  <c r="N27" i="5"/>
  <c r="O33" i="5"/>
  <c r="Q16" i="5"/>
  <c r="C14" i="7"/>
  <c r="C15" i="7" s="1"/>
  <c r="V29" i="6"/>
  <c r="O90" i="6"/>
  <c r="N89" i="6"/>
  <c r="O32" i="6"/>
  <c r="C11" i="7"/>
  <c r="C13" i="7" s="1"/>
  <c r="N91" i="6"/>
  <c r="P25" i="5"/>
  <c r="P24" i="5"/>
  <c r="H11" i="7"/>
  <c r="H13" i="7" s="1"/>
  <c r="H14" i="7"/>
  <c r="G14" i="7"/>
  <c r="I11" i="7"/>
  <c r="I13" i="7" s="1"/>
  <c r="K14" i="7"/>
  <c r="J11" i="7"/>
  <c r="J13" i="7" s="1"/>
  <c r="D11" i="7"/>
  <c r="D13" i="7" s="1"/>
  <c r="E11" i="7"/>
  <c r="E13" i="7" s="1"/>
  <c r="D79" i="6"/>
  <c r="I79" i="6"/>
  <c r="E79" i="6"/>
  <c r="K11" i="7"/>
  <c r="K13" i="7" s="1"/>
  <c r="F11" i="7"/>
  <c r="F13" i="7" s="1"/>
  <c r="J14" i="7"/>
  <c r="G11" i="7"/>
  <c r="G13" i="7" s="1"/>
  <c r="F79" i="6"/>
  <c r="J79" i="6"/>
  <c r="J122" i="5"/>
  <c r="L140" i="5"/>
  <c r="L143" i="5" s="1"/>
  <c r="U49" i="6" s="1"/>
  <c r="U48" i="6" s="1"/>
  <c r="K145" i="5"/>
  <c r="K147" i="5" s="1"/>
  <c r="O88" i="5"/>
  <c r="L131" i="5"/>
  <c r="M117" i="5"/>
  <c r="M101" i="5" s="1"/>
  <c r="M8" i="5" s="1"/>
  <c r="L66" i="5"/>
  <c r="M66" i="5" s="1"/>
  <c r="L67" i="5"/>
  <c r="M67" i="5" s="1"/>
  <c r="N67" i="5" s="1"/>
  <c r="O67" i="5" s="1"/>
  <c r="P67" i="5" s="1"/>
  <c r="Q67" i="5" s="1"/>
  <c r="R67" i="5" s="1"/>
  <c r="S67" i="5" s="1"/>
  <c r="T67" i="5" s="1"/>
  <c r="U67" i="5" s="1"/>
  <c r="V67" i="5" s="1"/>
  <c r="L68" i="5"/>
  <c r="M68" i="5" s="1"/>
  <c r="N68" i="5" s="1"/>
  <c r="O68" i="5" s="1"/>
  <c r="P68" i="5" s="1"/>
  <c r="Q68" i="5" s="1"/>
  <c r="R68" i="5" s="1"/>
  <c r="S68" i="5" s="1"/>
  <c r="T68" i="5" s="1"/>
  <c r="U68" i="5" s="1"/>
  <c r="V68" i="5" s="1"/>
  <c r="P36" i="6" l="1"/>
  <c r="O35" i="6"/>
  <c r="G15" i="7"/>
  <c r="I15" i="7"/>
  <c r="P55" i="6"/>
  <c r="O53" i="6"/>
  <c r="E18" i="13"/>
  <c r="H41" i="13"/>
  <c r="I148" i="5" s="1"/>
  <c r="I150" i="5" s="1"/>
  <c r="D15" i="7"/>
  <c r="P33" i="5"/>
  <c r="O27" i="5"/>
  <c r="R16" i="5"/>
  <c r="P32" i="6"/>
  <c r="P90" i="6"/>
  <c r="O89" i="6"/>
  <c r="O91" i="6"/>
  <c r="B123" i="5"/>
  <c r="L118" i="5" s="1"/>
  <c r="L119" i="5" s="1"/>
  <c r="H15" i="7"/>
  <c r="Q25" i="5"/>
  <c r="Q24" i="5"/>
  <c r="K15" i="7"/>
  <c r="J15" i="7"/>
  <c r="M140" i="5"/>
  <c r="M143" i="5" s="1"/>
  <c r="L145" i="5"/>
  <c r="L147" i="5" s="1"/>
  <c r="P88" i="5"/>
  <c r="L9" i="5"/>
  <c r="L7" i="5" s="1"/>
  <c r="L12" i="7" s="1"/>
  <c r="L133" i="5"/>
  <c r="M69" i="5"/>
  <c r="N66" i="5"/>
  <c r="L69" i="5"/>
  <c r="L105" i="5" s="1"/>
  <c r="Q55" i="6" l="1"/>
  <c r="P53" i="6"/>
  <c r="Q36" i="6"/>
  <c r="P35" i="6"/>
  <c r="E19" i="13"/>
  <c r="L61" i="5"/>
  <c r="Q33" i="5"/>
  <c r="P27" i="5"/>
  <c r="M145" i="5"/>
  <c r="M147" i="5" s="1"/>
  <c r="V49" i="6"/>
  <c r="V48" i="6" s="1"/>
  <c r="M85" i="6"/>
  <c r="M12" i="5"/>
  <c r="M129" i="5"/>
  <c r="M131" i="5" s="1"/>
  <c r="M9" i="5" s="1"/>
  <c r="M7" i="5" s="1"/>
  <c r="M12" i="7" s="1"/>
  <c r="L33" i="6"/>
  <c r="L31" i="6" s="1"/>
  <c r="S16" i="5"/>
  <c r="P91" i="6"/>
  <c r="P89" i="6"/>
  <c r="M118" i="5"/>
  <c r="Q90" i="6"/>
  <c r="Q32" i="6"/>
  <c r="L27" i="6"/>
  <c r="M116" i="5"/>
  <c r="L120" i="5"/>
  <c r="L103" i="5" s="1"/>
  <c r="L19" i="6" s="1"/>
  <c r="R25" i="5"/>
  <c r="R24" i="5"/>
  <c r="Q88" i="5"/>
  <c r="R88" i="5" s="1"/>
  <c r="S88" i="5" s="1"/>
  <c r="T88" i="5" s="1"/>
  <c r="U88" i="5" s="1"/>
  <c r="V88" i="5" s="1"/>
  <c r="L72" i="5"/>
  <c r="L89" i="5" s="1"/>
  <c r="L11" i="5" s="1"/>
  <c r="M105" i="5"/>
  <c r="L83" i="5"/>
  <c r="L6" i="5" s="1"/>
  <c r="N69" i="5"/>
  <c r="O66" i="5"/>
  <c r="M72" i="5"/>
  <c r="M83" i="5"/>
  <c r="M6" i="5" s="1"/>
  <c r="M86" i="6" s="1"/>
  <c r="M119" i="5" l="1"/>
  <c r="R36" i="6"/>
  <c r="Q35" i="6"/>
  <c r="R55" i="6"/>
  <c r="Q53" i="6"/>
  <c r="I41" i="13"/>
  <c r="J148" i="5" s="1"/>
  <c r="J150" i="5" s="1"/>
  <c r="S25" i="5" s="1"/>
  <c r="M45" i="6"/>
  <c r="M46" i="6"/>
  <c r="M47" i="6"/>
  <c r="Q27" i="5"/>
  <c r="R33" i="5"/>
  <c r="M61" i="5"/>
  <c r="L102" i="5"/>
  <c r="M99" i="5"/>
  <c r="L5" i="5"/>
  <c r="L10" i="5" s="1"/>
  <c r="L14" i="5" s="1"/>
  <c r="L86" i="6"/>
  <c r="L85" i="6"/>
  <c r="L91" i="5"/>
  <c r="L12" i="5" s="1"/>
  <c r="L13" i="5" s="1"/>
  <c r="T16" i="5"/>
  <c r="M96" i="6"/>
  <c r="M11" i="6" s="1"/>
  <c r="M97" i="6"/>
  <c r="M17" i="6"/>
  <c r="M16" i="6"/>
  <c r="M30" i="6"/>
  <c r="M28" i="6" s="1"/>
  <c r="M95" i="6"/>
  <c r="N85" i="6"/>
  <c r="N91" i="5"/>
  <c r="N12" i="5" s="1"/>
  <c r="R32" i="6"/>
  <c r="Q91" i="6"/>
  <c r="R90" i="6"/>
  <c r="Q89" i="6"/>
  <c r="N116" i="5"/>
  <c r="M27" i="6"/>
  <c r="M5" i="5"/>
  <c r="M10" i="5" s="1"/>
  <c r="M89" i="5"/>
  <c r="M11" i="5" s="1"/>
  <c r="M133" i="5"/>
  <c r="N105" i="5"/>
  <c r="M100" i="5"/>
  <c r="M110" i="5" s="1"/>
  <c r="M112" i="5" s="1"/>
  <c r="M20" i="6" s="1"/>
  <c r="O69" i="5"/>
  <c r="P66" i="5"/>
  <c r="N72" i="5"/>
  <c r="N83" i="5"/>
  <c r="N6" i="5" s="1"/>
  <c r="N86" i="6" s="1"/>
  <c r="M15" i="6" l="1"/>
  <c r="S55" i="6"/>
  <c r="R53" i="6"/>
  <c r="S36" i="6"/>
  <c r="R35" i="6"/>
  <c r="S24" i="5"/>
  <c r="E20" i="13"/>
  <c r="N46" i="6"/>
  <c r="N47" i="6"/>
  <c r="N45" i="6"/>
  <c r="L45" i="6"/>
  <c r="L46" i="6"/>
  <c r="L47" i="6"/>
  <c r="R27" i="5"/>
  <c r="S33" i="5"/>
  <c r="M102" i="6"/>
  <c r="M43" i="6"/>
  <c r="M57" i="6" s="1"/>
  <c r="N17" i="6"/>
  <c r="N16" i="6"/>
  <c r="N30" i="6"/>
  <c r="N28" i="6" s="1"/>
  <c r="N95" i="6"/>
  <c r="N96" i="6"/>
  <c r="N11" i="6" s="1"/>
  <c r="N97" i="6"/>
  <c r="O85" i="6"/>
  <c r="O91" i="5"/>
  <c r="O12" i="5" s="1"/>
  <c r="L16" i="6"/>
  <c r="L30" i="6"/>
  <c r="L28" i="6" s="1"/>
  <c r="L95" i="6"/>
  <c r="L17" i="6"/>
  <c r="M101" i="6"/>
  <c r="M103" i="6" s="1"/>
  <c r="M8" i="6"/>
  <c r="U16" i="5"/>
  <c r="N129" i="5"/>
  <c r="N131" i="5" s="1"/>
  <c r="M33" i="6"/>
  <c r="M31" i="6" s="1"/>
  <c r="L96" i="6"/>
  <c r="L11" i="6" s="1"/>
  <c r="L97" i="6"/>
  <c r="M14" i="6"/>
  <c r="M13" i="6"/>
  <c r="M12" i="6"/>
  <c r="R89" i="6"/>
  <c r="S32" i="6"/>
  <c r="R91" i="6"/>
  <c r="S90" i="6"/>
  <c r="M21" i="6"/>
  <c r="M23" i="6"/>
  <c r="M26" i="6"/>
  <c r="M22" i="6"/>
  <c r="M24" i="6"/>
  <c r="M14" i="5"/>
  <c r="M60" i="5" s="1"/>
  <c r="M59" i="5" s="1"/>
  <c r="M13" i="5"/>
  <c r="N89" i="5"/>
  <c r="N11" i="5" s="1"/>
  <c r="N13" i="5" s="1"/>
  <c r="L60" i="5"/>
  <c r="L59" i="5" s="1"/>
  <c r="L17" i="5"/>
  <c r="L19" i="5" s="1"/>
  <c r="L10" i="7" s="1"/>
  <c r="N133" i="5"/>
  <c r="N9" i="5"/>
  <c r="N109" i="5"/>
  <c r="M120" i="5"/>
  <c r="M103" i="5" s="1"/>
  <c r="M19" i="6" s="1"/>
  <c r="O105" i="5"/>
  <c r="N100" i="5"/>
  <c r="N110" i="5" s="1"/>
  <c r="P69" i="5"/>
  <c r="Q66" i="5"/>
  <c r="O72" i="5"/>
  <c r="O83" i="5"/>
  <c r="O6" i="5" s="1"/>
  <c r="O86" i="6" s="1"/>
  <c r="M56" i="6" l="1"/>
  <c r="T36" i="6"/>
  <c r="S35" i="6"/>
  <c r="T55" i="6"/>
  <c r="S53" i="6"/>
  <c r="L102" i="6"/>
  <c r="L43" i="6"/>
  <c r="L57" i="6" s="1"/>
  <c r="S27" i="5"/>
  <c r="T33" i="5"/>
  <c r="O46" i="6"/>
  <c r="O45" i="6"/>
  <c r="O47" i="6"/>
  <c r="N102" i="6"/>
  <c r="N43" i="6"/>
  <c r="N57" i="6" s="1"/>
  <c r="V16" i="5"/>
  <c r="O17" i="6"/>
  <c r="O16" i="6"/>
  <c r="O15" i="6" s="1"/>
  <c r="O30" i="6"/>
  <c r="O28" i="6" s="1"/>
  <c r="O95" i="6"/>
  <c r="O129" i="5"/>
  <c r="O131" i="5" s="1"/>
  <c r="O9" i="5" s="1"/>
  <c r="N33" i="6"/>
  <c r="N31" i="6" s="1"/>
  <c r="M9" i="6"/>
  <c r="M7" i="6"/>
  <c r="M39" i="6" s="1"/>
  <c r="M78" i="6" s="1"/>
  <c r="P85" i="6"/>
  <c r="P91" i="5"/>
  <c r="P12" i="5" s="1"/>
  <c r="N14" i="6"/>
  <c r="N12" i="6"/>
  <c r="N13" i="6"/>
  <c r="O96" i="6"/>
  <c r="O11" i="6" s="1"/>
  <c r="O97" i="6"/>
  <c r="L13" i="6"/>
  <c r="L14" i="6"/>
  <c r="L12" i="6"/>
  <c r="N8" i="6"/>
  <c r="N101" i="6"/>
  <c r="L8" i="6"/>
  <c r="L101" i="6"/>
  <c r="L15" i="6"/>
  <c r="N15" i="6"/>
  <c r="T90" i="6"/>
  <c r="S91" i="6"/>
  <c r="T32" i="6"/>
  <c r="S89" i="6"/>
  <c r="O89" i="5"/>
  <c r="O11" i="5" s="1"/>
  <c r="O13" i="5" s="1"/>
  <c r="M17" i="5"/>
  <c r="M19" i="5" s="1"/>
  <c r="M10" i="7" s="1"/>
  <c r="P105" i="5"/>
  <c r="O100" i="5"/>
  <c r="O110" i="5" s="1"/>
  <c r="N99" i="5"/>
  <c r="M102" i="5"/>
  <c r="N111" i="5"/>
  <c r="N118" i="5" s="1"/>
  <c r="N117" i="5"/>
  <c r="P72" i="5"/>
  <c r="P83" i="5"/>
  <c r="P6" i="5" s="1"/>
  <c r="P86" i="6" s="1"/>
  <c r="Q69" i="5"/>
  <c r="R66" i="5"/>
  <c r="L103" i="6" l="1"/>
  <c r="U55" i="6"/>
  <c r="T53" i="6"/>
  <c r="U36" i="6"/>
  <c r="T35" i="6"/>
  <c r="L56" i="6"/>
  <c r="O102" i="6"/>
  <c r="O43" i="6"/>
  <c r="O57" i="6" s="1"/>
  <c r="M79" i="6"/>
  <c r="M14" i="7"/>
  <c r="N56" i="6"/>
  <c r="N103" i="6"/>
  <c r="U33" i="5"/>
  <c r="T27" i="5"/>
  <c r="P46" i="6"/>
  <c r="P47" i="6"/>
  <c r="P45" i="6"/>
  <c r="O12" i="6"/>
  <c r="O14" i="6"/>
  <c r="O13" i="6"/>
  <c r="L7" i="6"/>
  <c r="L39" i="6" s="1"/>
  <c r="L78" i="6" s="1"/>
  <c r="L9" i="6"/>
  <c r="N7" i="6"/>
  <c r="N9" i="6"/>
  <c r="O8" i="6"/>
  <c r="O101" i="6"/>
  <c r="O103" i="6" s="1"/>
  <c r="P17" i="6"/>
  <c r="P16" i="6"/>
  <c r="P30" i="6"/>
  <c r="P28" i="6" s="1"/>
  <c r="P95" i="6"/>
  <c r="Q85" i="6"/>
  <c r="Q91" i="5"/>
  <c r="Q12" i="5" s="1"/>
  <c r="P96" i="6"/>
  <c r="P11" i="6" s="1"/>
  <c r="P97" i="6"/>
  <c r="O133" i="5"/>
  <c r="U32" i="6"/>
  <c r="T91" i="6"/>
  <c r="T89" i="6"/>
  <c r="U90" i="6"/>
  <c r="P89" i="5"/>
  <c r="P11" i="5" s="1"/>
  <c r="P13" i="5" s="1"/>
  <c r="N101" i="5"/>
  <c r="N8" i="5" s="1"/>
  <c r="N7" i="5" s="1"/>
  <c r="N12" i="7" s="1"/>
  <c r="N119" i="5"/>
  <c r="N112" i="5"/>
  <c r="N20" i="6" s="1"/>
  <c r="Q105" i="5"/>
  <c r="P100" i="5"/>
  <c r="P110" i="5" s="1"/>
  <c r="Q72" i="5"/>
  <c r="Q83" i="5"/>
  <c r="Q6" i="5" s="1"/>
  <c r="Q86" i="6" s="1"/>
  <c r="S66" i="5"/>
  <c r="R69" i="5"/>
  <c r="P15" i="6" l="1"/>
  <c r="V36" i="6"/>
  <c r="V35" i="6" s="1"/>
  <c r="U35" i="6"/>
  <c r="V55" i="6"/>
  <c r="V53" i="6" s="1"/>
  <c r="U53" i="6"/>
  <c r="J41" i="13"/>
  <c r="K148" i="5" s="1"/>
  <c r="K150" i="5" s="1"/>
  <c r="E21" i="13"/>
  <c r="L11" i="7"/>
  <c r="L13" i="7" s="1"/>
  <c r="L18" i="7" s="1"/>
  <c r="L14" i="7"/>
  <c r="L79" i="6"/>
  <c r="M11" i="7"/>
  <c r="M13" i="7" s="1"/>
  <c r="M18" i="7" s="1"/>
  <c r="Q45" i="6"/>
  <c r="Q47" i="6"/>
  <c r="Q46" i="6"/>
  <c r="P102" i="6"/>
  <c r="P43" i="6"/>
  <c r="P56" i="6" s="1"/>
  <c r="O56" i="6"/>
  <c r="V33" i="5"/>
  <c r="V27" i="5" s="1"/>
  <c r="U27" i="5"/>
  <c r="Q96" i="6"/>
  <c r="Q11" i="6" s="1"/>
  <c r="Q97" i="6"/>
  <c r="Q17" i="6"/>
  <c r="Q16" i="6"/>
  <c r="Q30" i="6"/>
  <c r="Q28" i="6" s="1"/>
  <c r="Q95" i="6"/>
  <c r="P129" i="5"/>
  <c r="O33" i="6"/>
  <c r="O31" i="6" s="1"/>
  <c r="P8" i="6"/>
  <c r="P101" i="6"/>
  <c r="R85" i="6"/>
  <c r="R91" i="5"/>
  <c r="R12" i="5" s="1"/>
  <c r="P13" i="6"/>
  <c r="P12" i="6"/>
  <c r="P14" i="6"/>
  <c r="O7" i="6"/>
  <c r="O9" i="6"/>
  <c r="U89" i="6"/>
  <c r="V90" i="6"/>
  <c r="U91" i="6"/>
  <c r="V32" i="6"/>
  <c r="N26" i="6"/>
  <c r="N23" i="6"/>
  <c r="N22" i="6"/>
  <c r="N21" i="6"/>
  <c r="N24" i="6"/>
  <c r="O116" i="5"/>
  <c r="N27" i="6"/>
  <c r="N5" i="5"/>
  <c r="N10" i="5" s="1"/>
  <c r="N14" i="5" s="1"/>
  <c r="N60" i="5" s="1"/>
  <c r="N61" i="5"/>
  <c r="Q89" i="5"/>
  <c r="Q11" i="5" s="1"/>
  <c r="Q13" i="5" s="1"/>
  <c r="R105" i="5"/>
  <c r="Q100" i="5"/>
  <c r="Q110" i="5" s="1"/>
  <c r="O109" i="5"/>
  <c r="N120" i="5"/>
  <c r="N103" i="5" s="1"/>
  <c r="N19" i="6" s="1"/>
  <c r="N39" i="6" s="1"/>
  <c r="N78" i="6" s="1"/>
  <c r="R72" i="5"/>
  <c r="R83" i="5"/>
  <c r="R6" i="5" s="1"/>
  <c r="R86" i="6" s="1"/>
  <c r="T66" i="5"/>
  <c r="S69" i="5"/>
  <c r="P57" i="6" l="1"/>
  <c r="P103" i="6"/>
  <c r="T25" i="5"/>
  <c r="T24" i="5"/>
  <c r="Q15" i="6"/>
  <c r="Q102" i="6"/>
  <c r="Q43" i="6"/>
  <c r="Q56" i="6" s="1"/>
  <c r="L15" i="7"/>
  <c r="M15" i="7"/>
  <c r="N14" i="7"/>
  <c r="N11" i="7"/>
  <c r="N79" i="6"/>
  <c r="R46" i="6"/>
  <c r="R47" i="6"/>
  <c r="R45" i="6"/>
  <c r="P131" i="5"/>
  <c r="P9" i="5" s="1"/>
  <c r="P133" i="5"/>
  <c r="Q8" i="6"/>
  <c r="Q101" i="6"/>
  <c r="S85" i="6"/>
  <c r="S91" i="5"/>
  <c r="S12" i="5" s="1"/>
  <c r="R96" i="6"/>
  <c r="R11" i="6" s="1"/>
  <c r="R97" i="6"/>
  <c r="R17" i="6"/>
  <c r="R16" i="6"/>
  <c r="R15" i="6" s="1"/>
  <c r="R30" i="6"/>
  <c r="R28" i="6" s="1"/>
  <c r="R95" i="6"/>
  <c r="P7" i="6"/>
  <c r="P9" i="6"/>
  <c r="Q14" i="6"/>
  <c r="Q13" i="6"/>
  <c r="Q12" i="6"/>
  <c r="V89" i="6"/>
  <c r="V91" i="6"/>
  <c r="N17" i="5"/>
  <c r="N19" i="5" s="1"/>
  <c r="N10" i="7" s="1"/>
  <c r="R89" i="5"/>
  <c r="R11" i="5" s="1"/>
  <c r="R13" i="5" s="1"/>
  <c r="N59" i="5"/>
  <c r="S105" i="5"/>
  <c r="R100" i="5"/>
  <c r="R110" i="5" s="1"/>
  <c r="O99" i="5"/>
  <c r="N102" i="5"/>
  <c r="O111" i="5"/>
  <c r="O117" i="5"/>
  <c r="U66" i="5"/>
  <c r="T69" i="5"/>
  <c r="S72" i="5"/>
  <c r="S83" i="5"/>
  <c r="S6" i="5" s="1"/>
  <c r="S86" i="6" s="1"/>
  <c r="Q57" i="6" l="1"/>
  <c r="Q103" i="6"/>
  <c r="R102" i="6"/>
  <c r="R43" i="6"/>
  <c r="R57" i="6" s="1"/>
  <c r="N13" i="7"/>
  <c r="N18" i="7" s="1"/>
  <c r="N15" i="7"/>
  <c r="S46" i="6"/>
  <c r="S47" i="6"/>
  <c r="S45" i="6"/>
  <c r="S17" i="6"/>
  <c r="S16" i="6"/>
  <c r="S30" i="6"/>
  <c r="S28" i="6" s="1"/>
  <c r="S95" i="6"/>
  <c r="R101" i="6"/>
  <c r="R8" i="6"/>
  <c r="Q7" i="6"/>
  <c r="Q9" i="6"/>
  <c r="R14" i="6"/>
  <c r="R13" i="6"/>
  <c r="R12" i="6"/>
  <c r="Q129" i="5"/>
  <c r="P33" i="6"/>
  <c r="P31" i="6" s="1"/>
  <c r="S96" i="6"/>
  <c r="S11" i="6" s="1"/>
  <c r="S97" i="6"/>
  <c r="T85" i="6"/>
  <c r="T91" i="5"/>
  <c r="T12" i="5" s="1"/>
  <c r="S89" i="5"/>
  <c r="S11" i="5" s="1"/>
  <c r="S13" i="5" s="1"/>
  <c r="O101" i="5"/>
  <c r="O8" i="5" s="1"/>
  <c r="O7" i="5" s="1"/>
  <c r="O12" i="7" s="1"/>
  <c r="O112" i="5"/>
  <c r="O20" i="6" s="1"/>
  <c r="O118" i="5"/>
  <c r="O119" i="5" s="1"/>
  <c r="T105" i="5"/>
  <c r="S100" i="5"/>
  <c r="S110" i="5" s="1"/>
  <c r="T72" i="5"/>
  <c r="T83" i="5"/>
  <c r="T6" i="5" s="1"/>
  <c r="T86" i="6" s="1"/>
  <c r="V66" i="5"/>
  <c r="V69" i="5" s="1"/>
  <c r="U69" i="5"/>
  <c r="R56" i="6" l="1"/>
  <c r="R103" i="6"/>
  <c r="K41" i="13"/>
  <c r="L148" i="5" s="1"/>
  <c r="L150" i="5" s="1"/>
  <c r="E22" i="13"/>
  <c r="S102" i="6"/>
  <c r="S43" i="6"/>
  <c r="S57" i="6" s="1"/>
  <c r="T45" i="6"/>
  <c r="T46" i="6"/>
  <c r="T47" i="6"/>
  <c r="S15" i="6"/>
  <c r="U85" i="6"/>
  <c r="U91" i="5"/>
  <c r="U12" i="5" s="1"/>
  <c r="R9" i="6"/>
  <c r="R7" i="6"/>
  <c r="S13" i="6"/>
  <c r="S12" i="6"/>
  <c r="S14" i="6"/>
  <c r="T96" i="6"/>
  <c r="T11" i="6" s="1"/>
  <c r="T97" i="6"/>
  <c r="Q131" i="5"/>
  <c r="Q9" i="5" s="1"/>
  <c r="Q133" i="5"/>
  <c r="S8" i="6"/>
  <c r="S101" i="6"/>
  <c r="T17" i="6"/>
  <c r="T16" i="6"/>
  <c r="T30" i="6"/>
  <c r="T28" i="6" s="1"/>
  <c r="T95" i="6"/>
  <c r="P116" i="5"/>
  <c r="O27" i="6"/>
  <c r="O23" i="6"/>
  <c r="O26" i="6"/>
  <c r="O22" i="6"/>
  <c r="O21" i="6"/>
  <c r="O24" i="6"/>
  <c r="O5" i="5"/>
  <c r="O10" i="5" s="1"/>
  <c r="O14" i="5" s="1"/>
  <c r="O60" i="5" s="1"/>
  <c r="O61" i="5"/>
  <c r="T89" i="5"/>
  <c r="T11" i="5" s="1"/>
  <c r="T13" i="5" s="1"/>
  <c r="V72" i="5"/>
  <c r="U105" i="5"/>
  <c r="T100" i="5"/>
  <c r="T110" i="5" s="1"/>
  <c r="P109" i="5"/>
  <c r="O120" i="5"/>
  <c r="O103" i="5" s="1"/>
  <c r="O19" i="6" s="1"/>
  <c r="O39" i="6" s="1"/>
  <c r="O78" i="6" s="1"/>
  <c r="U72" i="5"/>
  <c r="U83" i="5"/>
  <c r="U6" i="5" s="1"/>
  <c r="U86" i="6" s="1"/>
  <c r="V83" i="5"/>
  <c r="V6" i="5" s="1"/>
  <c r="V86" i="6" s="1"/>
  <c r="S56" i="6" l="1"/>
  <c r="S103" i="6"/>
  <c r="U25" i="5"/>
  <c r="U24" i="5"/>
  <c r="O14" i="7"/>
  <c r="O79" i="6"/>
  <c r="O11" i="7"/>
  <c r="T102" i="6"/>
  <c r="T43" i="6"/>
  <c r="T57" i="6" s="1"/>
  <c r="U46" i="6"/>
  <c r="U47" i="6"/>
  <c r="U45" i="6"/>
  <c r="V96" i="6"/>
  <c r="V11" i="6" s="1"/>
  <c r="V97" i="6"/>
  <c r="U96" i="6"/>
  <c r="U11" i="6" s="1"/>
  <c r="U97" i="6"/>
  <c r="S9" i="6"/>
  <c r="S7" i="6"/>
  <c r="R129" i="5"/>
  <c r="Q33" i="6"/>
  <c r="Q31" i="6" s="1"/>
  <c r="V85" i="6"/>
  <c r="V91" i="5"/>
  <c r="V12" i="5" s="1"/>
  <c r="U17" i="6"/>
  <c r="U16" i="6"/>
  <c r="U30" i="6"/>
  <c r="U28" i="6" s="1"/>
  <c r="U95" i="6"/>
  <c r="T101" i="6"/>
  <c r="T8" i="6"/>
  <c r="T15" i="6"/>
  <c r="T12" i="6"/>
  <c r="T14" i="6"/>
  <c r="T13" i="6"/>
  <c r="O59" i="5"/>
  <c r="U89" i="5"/>
  <c r="U11" i="5" s="1"/>
  <c r="U13" i="5" s="1"/>
  <c r="O17" i="5"/>
  <c r="O19" i="5" s="1"/>
  <c r="O10" i="7" s="1"/>
  <c r="V89" i="5"/>
  <c r="V11" i="5" s="1"/>
  <c r="P99" i="5"/>
  <c r="O102" i="5"/>
  <c r="P111" i="5"/>
  <c r="P117" i="5"/>
  <c r="V105" i="5"/>
  <c r="U100" i="5"/>
  <c r="U110" i="5" s="1"/>
  <c r="E23" i="13" l="1"/>
  <c r="L41" i="13"/>
  <c r="M148" i="5" s="1"/>
  <c r="M150" i="5" s="1"/>
  <c r="C24" i="13"/>
  <c r="U102" i="6"/>
  <c r="U43" i="6"/>
  <c r="U57" i="6" s="1"/>
  <c r="V102" i="6"/>
  <c r="V43" i="6"/>
  <c r="V47" i="6"/>
  <c r="V46" i="6"/>
  <c r="V45" i="6"/>
  <c r="T56" i="6"/>
  <c r="O13" i="7"/>
  <c r="O18" i="7" s="1"/>
  <c r="O15" i="7"/>
  <c r="T103" i="6"/>
  <c r="U101" i="6"/>
  <c r="U8" i="6"/>
  <c r="R131" i="5"/>
  <c r="R9" i="5" s="1"/>
  <c r="R133" i="5"/>
  <c r="U15" i="6"/>
  <c r="U13" i="6"/>
  <c r="U12" i="6"/>
  <c r="U14" i="6"/>
  <c r="V16" i="6"/>
  <c r="V17" i="6"/>
  <c r="V30" i="6"/>
  <c r="V28" i="6" s="1"/>
  <c r="V95" i="6"/>
  <c r="V13" i="5"/>
  <c r="T7" i="6"/>
  <c r="T9" i="6"/>
  <c r="V14" i="6"/>
  <c r="V12" i="6"/>
  <c r="V13" i="6"/>
  <c r="V100" i="5"/>
  <c r="V110" i="5" s="1"/>
  <c r="P101" i="5"/>
  <c r="P8" i="5" s="1"/>
  <c r="P7" i="5" s="1"/>
  <c r="P12" i="7" s="1"/>
  <c r="P112" i="5"/>
  <c r="P20" i="6" s="1"/>
  <c r="P118" i="5"/>
  <c r="P119" i="5" s="1"/>
  <c r="U56" i="6" l="1"/>
  <c r="U103" i="6"/>
  <c r="V25" i="5"/>
  <c r="V24" i="5"/>
  <c r="V57" i="6"/>
  <c r="V56" i="6"/>
  <c r="V8" i="6"/>
  <c r="V101" i="6"/>
  <c r="V103" i="6" s="1"/>
  <c r="U9" i="6"/>
  <c r="U7" i="6"/>
  <c r="S129" i="5"/>
  <c r="R33" i="6"/>
  <c r="R31" i="6" s="1"/>
  <c r="V15" i="6"/>
  <c r="Q116" i="5"/>
  <c r="P27" i="6"/>
  <c r="P22" i="6"/>
  <c r="P21" i="6"/>
  <c r="P23" i="6"/>
  <c r="P26" i="6"/>
  <c r="P24" i="6"/>
  <c r="P5" i="5"/>
  <c r="P10" i="5" s="1"/>
  <c r="P14" i="5" s="1"/>
  <c r="P60" i="5" s="1"/>
  <c r="P61" i="5"/>
  <c r="Q109" i="5"/>
  <c r="P120" i="5"/>
  <c r="P103" i="5" s="1"/>
  <c r="P19" i="6" s="1"/>
  <c r="P39" i="6" s="1"/>
  <c r="P78" i="6" s="1"/>
  <c r="P79" i="6" l="1"/>
  <c r="P11" i="7"/>
  <c r="P14" i="7"/>
  <c r="S131" i="5"/>
  <c r="S9" i="5" s="1"/>
  <c r="S133" i="5"/>
  <c r="V7" i="6"/>
  <c r="V9" i="6"/>
  <c r="P17" i="5"/>
  <c r="P19" i="5" s="1"/>
  <c r="P10" i="7" s="1"/>
  <c r="P59" i="5"/>
  <c r="Q99" i="5"/>
  <c r="P102" i="5"/>
  <c r="Q111" i="5"/>
  <c r="Q117" i="5"/>
  <c r="P13" i="7" l="1"/>
  <c r="P18" i="7" s="1"/>
  <c r="P15" i="7"/>
  <c r="T129" i="5"/>
  <c r="S33" i="6"/>
  <c r="S31" i="6" s="1"/>
  <c r="Q101" i="5"/>
  <c r="Q8" i="5" s="1"/>
  <c r="Q7" i="5" s="1"/>
  <c r="Q12" i="7" s="1"/>
  <c r="Q112" i="5"/>
  <c r="Q20" i="6" s="1"/>
  <c r="Q118" i="5"/>
  <c r="Q119" i="5" s="1"/>
  <c r="T131" i="5" l="1"/>
  <c r="T9" i="5" s="1"/>
  <c r="R116" i="5"/>
  <c r="Q27" i="6"/>
  <c r="Q24" i="6"/>
  <c r="Q26" i="6"/>
  <c r="Q22" i="6"/>
  <c r="Q23" i="6"/>
  <c r="Q21" i="6"/>
  <c r="Q5" i="5"/>
  <c r="Q10" i="5" s="1"/>
  <c r="Q14" i="5" s="1"/>
  <c r="Q60" i="5" s="1"/>
  <c r="Q61" i="5"/>
  <c r="R109" i="5"/>
  <c r="Q120" i="5"/>
  <c r="Q103" i="5" s="1"/>
  <c r="Q19" i="6" s="1"/>
  <c r="Q39" i="6" s="1"/>
  <c r="Q78" i="6" s="1"/>
  <c r="T133" i="5" l="1"/>
  <c r="Q11" i="7"/>
  <c r="Q14" i="7"/>
  <c r="Q79" i="6"/>
  <c r="U129" i="5"/>
  <c r="T33" i="6"/>
  <c r="T31" i="6" s="1"/>
  <c r="Q17" i="5"/>
  <c r="Q19" i="5" s="1"/>
  <c r="Q10" i="7" s="1"/>
  <c r="Q59" i="5"/>
  <c r="R99" i="5"/>
  <c r="Q102" i="5"/>
  <c r="R111" i="5"/>
  <c r="R117" i="5"/>
  <c r="Q15" i="7" l="1"/>
  <c r="Q13" i="7"/>
  <c r="Q18" i="7" s="1"/>
  <c r="U131" i="5"/>
  <c r="U9" i="5" s="1"/>
  <c r="R101" i="5"/>
  <c r="R8" i="5" s="1"/>
  <c r="R7" i="5" s="1"/>
  <c r="R12" i="7" s="1"/>
  <c r="R112" i="5"/>
  <c r="R20" i="6" s="1"/>
  <c r="R118" i="5"/>
  <c r="R119" i="5" s="1"/>
  <c r="U133" i="5" l="1"/>
  <c r="V129" i="5"/>
  <c r="U33" i="6"/>
  <c r="U31" i="6" s="1"/>
  <c r="S116" i="5"/>
  <c r="R27" i="6"/>
  <c r="R23" i="6"/>
  <c r="R26" i="6"/>
  <c r="R22" i="6"/>
  <c r="R21" i="6"/>
  <c r="R24" i="6"/>
  <c r="R5" i="5"/>
  <c r="R10" i="5" s="1"/>
  <c r="R14" i="5" s="1"/>
  <c r="R60" i="5" s="1"/>
  <c r="R61" i="5"/>
  <c r="S109" i="5"/>
  <c r="R120" i="5"/>
  <c r="R103" i="5" s="1"/>
  <c r="R19" i="6" s="1"/>
  <c r="R39" i="6" s="1"/>
  <c r="R78" i="6" s="1"/>
  <c r="R11" i="7" l="1"/>
  <c r="R14" i="7"/>
  <c r="R79" i="6"/>
  <c r="V131" i="5"/>
  <c r="V9" i="5" s="1"/>
  <c r="V133" i="5"/>
  <c r="V33" i="6" s="1"/>
  <c r="V31" i="6" s="1"/>
  <c r="R17" i="5"/>
  <c r="R19" i="5" s="1"/>
  <c r="R10" i="7" s="1"/>
  <c r="R59" i="5"/>
  <c r="S99" i="5"/>
  <c r="R102" i="5"/>
  <c r="S111" i="5"/>
  <c r="S117" i="5"/>
  <c r="R13" i="7" l="1"/>
  <c r="R18" i="7" s="1"/>
  <c r="R15" i="7"/>
  <c r="S101" i="5"/>
  <c r="S8" i="5" s="1"/>
  <c r="S7" i="5" s="1"/>
  <c r="S12" i="7" s="1"/>
  <c r="S112" i="5"/>
  <c r="S20" i="6" s="1"/>
  <c r="S118" i="5"/>
  <c r="S119" i="5" s="1"/>
  <c r="T116" i="5" l="1"/>
  <c r="S27" i="6"/>
  <c r="S23" i="6"/>
  <c r="S26" i="6"/>
  <c r="S22" i="6"/>
  <c r="S21" i="6"/>
  <c r="S24" i="6"/>
  <c r="S5" i="5"/>
  <c r="S10" i="5" s="1"/>
  <c r="S14" i="5" s="1"/>
  <c r="S60" i="5" s="1"/>
  <c r="S61" i="5"/>
  <c r="T109" i="5"/>
  <c r="S120" i="5"/>
  <c r="S103" i="5" s="1"/>
  <c r="S19" i="6" s="1"/>
  <c r="S39" i="6" s="1"/>
  <c r="S78" i="6" s="1"/>
  <c r="S14" i="7" l="1"/>
  <c r="S79" i="6"/>
  <c r="S11" i="7"/>
  <c r="S17" i="5"/>
  <c r="S19" i="5" s="1"/>
  <c r="S10" i="7" s="1"/>
  <c r="S59" i="5"/>
  <c r="T99" i="5"/>
  <c r="S102" i="5"/>
  <c r="T111" i="5"/>
  <c r="T117" i="5"/>
  <c r="S13" i="7" l="1"/>
  <c r="S18" i="7" s="1"/>
  <c r="S15" i="7"/>
  <c r="T101" i="5"/>
  <c r="T8" i="5" s="1"/>
  <c r="T7" i="5" s="1"/>
  <c r="T12" i="7" s="1"/>
  <c r="T112" i="5"/>
  <c r="T20" i="6" s="1"/>
  <c r="T118" i="5"/>
  <c r="T119" i="5" s="1"/>
  <c r="T22" i="6" l="1"/>
  <c r="T23" i="6"/>
  <c r="T26" i="6"/>
  <c r="T21" i="6"/>
  <c r="T24" i="6"/>
  <c r="U116" i="5"/>
  <c r="T27" i="6"/>
  <c r="T5" i="5"/>
  <c r="T10" i="5" s="1"/>
  <c r="T14" i="5" s="1"/>
  <c r="T60" i="5" s="1"/>
  <c r="T61" i="5"/>
  <c r="U109" i="5"/>
  <c r="T120" i="5"/>
  <c r="T103" i="5" s="1"/>
  <c r="T19" i="6" s="1"/>
  <c r="T39" i="6" s="1"/>
  <c r="T78" i="6" s="1"/>
  <c r="T14" i="7" l="1"/>
  <c r="T79" i="6"/>
  <c r="T11" i="7"/>
  <c r="T17" i="5"/>
  <c r="T19" i="5" s="1"/>
  <c r="T10" i="7" s="1"/>
  <c r="T59" i="5"/>
  <c r="U99" i="5"/>
  <c r="T102" i="5"/>
  <c r="U111" i="5"/>
  <c r="U117" i="5"/>
  <c r="T15" i="7" l="1"/>
  <c r="T13" i="7"/>
  <c r="T18" i="7" s="1"/>
  <c r="U101" i="5"/>
  <c r="U8" i="5" s="1"/>
  <c r="U7" i="5" s="1"/>
  <c r="U12" i="7" s="1"/>
  <c r="U112" i="5"/>
  <c r="U20" i="6" s="1"/>
  <c r="U118" i="5"/>
  <c r="U119" i="5" s="1"/>
  <c r="V116" i="5" l="1"/>
  <c r="U27" i="6"/>
  <c r="U22" i="6"/>
  <c r="U21" i="6"/>
  <c r="U24" i="6"/>
  <c r="U26" i="6"/>
  <c r="U23" i="6"/>
  <c r="U5" i="5"/>
  <c r="U10" i="5" s="1"/>
  <c r="U14" i="5" s="1"/>
  <c r="U60" i="5" s="1"/>
  <c r="U61" i="5"/>
  <c r="V109" i="5"/>
  <c r="U120" i="5"/>
  <c r="U103" i="5" s="1"/>
  <c r="U19" i="6" s="1"/>
  <c r="U39" i="6" s="1"/>
  <c r="U78" i="6" s="1"/>
  <c r="U79" i="6" l="1"/>
  <c r="U14" i="7"/>
  <c r="U11" i="7"/>
  <c r="U17" i="5"/>
  <c r="U19" i="5" s="1"/>
  <c r="U10" i="7" s="1"/>
  <c r="U59" i="5"/>
  <c r="U102" i="5"/>
  <c r="V99" i="5"/>
  <c r="V111" i="5"/>
  <c r="V117" i="5"/>
  <c r="U15" i="7" l="1"/>
  <c r="U13" i="7"/>
  <c r="U18" i="7" s="1"/>
  <c r="V101" i="5"/>
  <c r="V8" i="5" s="1"/>
  <c r="V7" i="5" s="1"/>
  <c r="V12" i="7" s="1"/>
  <c r="V112" i="5"/>
  <c r="V20" i="6" s="1"/>
  <c r="V118" i="5"/>
  <c r="V119" i="5" s="1"/>
  <c r="V27" i="6" s="1"/>
  <c r="V26" i="6" l="1"/>
  <c r="V24" i="6"/>
  <c r="V22" i="6"/>
  <c r="V21" i="6"/>
  <c r="V23" i="6"/>
  <c r="V5" i="5"/>
  <c r="V10" i="5" s="1"/>
  <c r="V14" i="5" s="1"/>
  <c r="V60" i="5" s="1"/>
  <c r="V61" i="5"/>
  <c r="V120" i="5"/>
  <c r="V103" i="5" s="1"/>
  <c r="V102" i="5" l="1"/>
  <c r="V19" i="6"/>
  <c r="V39" i="6" s="1"/>
  <c r="V78" i="6" s="1"/>
  <c r="V17" i="5"/>
  <c r="V19" i="5" s="1"/>
  <c r="V10" i="7" s="1"/>
  <c r="V59" i="5"/>
  <c r="C139" i="5"/>
  <c r="D139" i="5" s="1"/>
  <c r="E139" i="5" s="1"/>
  <c r="F139" i="5" s="1"/>
  <c r="G139" i="5" s="1"/>
  <c r="H139" i="5" s="1"/>
  <c r="I139" i="5" s="1"/>
  <c r="J139" i="5" s="1"/>
  <c r="K139" i="5" s="1"/>
  <c r="L139" i="5" s="1"/>
  <c r="M139" i="5" s="1"/>
  <c r="W10" i="7" l="1"/>
  <c r="K19" i="7" s="1"/>
  <c r="K20" i="7" s="1"/>
  <c r="V11" i="7"/>
  <c r="V13" i="7" s="1"/>
  <c r="V18" i="7" s="1"/>
  <c r="V14" i="7"/>
  <c r="W11" i="7" s="1"/>
  <c r="W13" i="7" s="1"/>
  <c r="V79" i="6"/>
  <c r="V15" i="7" l="1"/>
  <c r="K22" i="7"/>
  <c r="K33" i="7" l="1"/>
  <c r="K36" i="7" s="1"/>
  <c r="O23" i="7" l="1"/>
  <c r="L4" i="6" l="1"/>
  <c r="M4" i="6"/>
  <c r="N4" i="6"/>
  <c r="O4" i="6"/>
  <c r="P4" i="6"/>
  <c r="Q4" i="6"/>
  <c r="R4" i="6"/>
  <c r="S4" i="6"/>
  <c r="T4" i="6"/>
  <c r="U4" i="6"/>
  <c r="V4" i="6"/>
  <c r="L5" i="6"/>
  <c r="M5" i="6"/>
  <c r="N5" i="6"/>
  <c r="O5" i="6"/>
  <c r="P5" i="6"/>
  <c r="Q5" i="6"/>
  <c r="R5" i="6"/>
  <c r="S5" i="6"/>
  <c r="T5" i="6"/>
  <c r="U5" i="6"/>
  <c r="V5" i="6"/>
  <c r="L6" i="6"/>
  <c r="M6" i="6"/>
  <c r="N6" i="6"/>
  <c r="O6" i="6"/>
  <c r="P6" i="6"/>
  <c r="Q6" i="6"/>
  <c r="R6" i="6"/>
  <c r="S6" i="6"/>
  <c r="T6" i="6"/>
  <c r="U6" i="6"/>
  <c r="V6" i="6"/>
  <c r="L38" i="6"/>
  <c r="M38" i="6"/>
  <c r="N38" i="6"/>
  <c r="O38" i="6"/>
  <c r="P38" i="6"/>
  <c r="Q38" i="6"/>
  <c r="R38" i="6"/>
  <c r="S38" i="6"/>
  <c r="T38" i="6"/>
  <c r="U38" i="6"/>
  <c r="V38" i="6"/>
  <c r="L61" i="6"/>
  <c r="M61" i="6"/>
  <c r="N61" i="6"/>
  <c r="O61" i="6"/>
  <c r="P61" i="6"/>
  <c r="Q61" i="6"/>
  <c r="R61" i="6"/>
  <c r="S61" i="6"/>
  <c r="T61" i="6"/>
  <c r="U61" i="6"/>
  <c r="V61" i="6"/>
  <c r="L64" i="6"/>
  <c r="M64" i="6"/>
  <c r="N64" i="6"/>
  <c r="O64" i="6"/>
  <c r="P64" i="6"/>
  <c r="Q64" i="6"/>
  <c r="R64" i="6"/>
  <c r="S64" i="6"/>
  <c r="T64" i="6"/>
  <c r="U64" i="6"/>
  <c r="V64" i="6"/>
  <c r="L68" i="6"/>
  <c r="M68" i="6"/>
  <c r="N68" i="6"/>
  <c r="O68" i="6"/>
  <c r="P68" i="6"/>
  <c r="Q68" i="6"/>
  <c r="R68" i="6"/>
  <c r="S68" i="6"/>
  <c r="T68" i="6"/>
  <c r="U68" i="6"/>
  <c r="V68" i="6"/>
  <c r="L70" i="6"/>
  <c r="M70" i="6"/>
  <c r="N70" i="6"/>
  <c r="O70" i="6"/>
  <c r="P70" i="6"/>
  <c r="Q70" i="6"/>
  <c r="R70" i="6"/>
  <c r="S70" i="6"/>
  <c r="T70" i="6"/>
  <c r="U70" i="6"/>
  <c r="V70" i="6"/>
  <c r="L71" i="6"/>
  <c r="M71" i="6"/>
  <c r="N71" i="6"/>
  <c r="O71" i="6"/>
  <c r="P71" i="6"/>
  <c r="Q71" i="6"/>
  <c r="R71" i="6"/>
  <c r="S71" i="6"/>
  <c r="T71" i="6"/>
  <c r="U71" i="6"/>
  <c r="V71" i="6"/>
  <c r="L76" i="6"/>
  <c r="M76" i="6"/>
  <c r="N76" i="6"/>
  <c r="O76" i="6"/>
  <c r="P76" i="6"/>
  <c r="Q76" i="6"/>
  <c r="R76" i="6"/>
  <c r="S76" i="6"/>
  <c r="T76" i="6"/>
  <c r="U76" i="6"/>
  <c r="V76" i="6"/>
  <c r="L21" i="5"/>
  <c r="M21" i="5"/>
  <c r="N21" i="5"/>
  <c r="O21" i="5"/>
  <c r="P21" i="5"/>
  <c r="Q21" i="5"/>
  <c r="R21" i="5"/>
  <c r="S21" i="5"/>
  <c r="T21" i="5"/>
  <c r="U21" i="5"/>
  <c r="V21" i="5"/>
  <c r="L22" i="5"/>
  <c r="M22" i="5"/>
  <c r="N22" i="5"/>
  <c r="O22" i="5"/>
  <c r="P22" i="5"/>
  <c r="Q22" i="5"/>
  <c r="R22" i="5"/>
  <c r="S22" i="5"/>
  <c r="T22" i="5"/>
  <c r="U22" i="5"/>
  <c r="V22" i="5"/>
  <c r="L37" i="5"/>
  <c r="M37" i="5"/>
  <c r="N37" i="5"/>
  <c r="O37" i="5"/>
  <c r="P37" i="5"/>
  <c r="Q37" i="5"/>
  <c r="R37" i="5"/>
  <c r="S37" i="5"/>
  <c r="T37" i="5"/>
  <c r="U37" i="5"/>
  <c r="V37" i="5"/>
  <c r="L38" i="5"/>
  <c r="M38" i="5"/>
  <c r="N38" i="5"/>
  <c r="O38" i="5"/>
  <c r="P38" i="5"/>
  <c r="Q38" i="5"/>
  <c r="R38" i="5"/>
  <c r="S38" i="5"/>
  <c r="T38" i="5"/>
  <c r="U38" i="5"/>
  <c r="V38" i="5"/>
  <c r="L44" i="5"/>
  <c r="M44" i="5"/>
  <c r="N44" i="5"/>
  <c r="O44" i="5"/>
  <c r="P44" i="5"/>
  <c r="Q44" i="5"/>
  <c r="R44" i="5"/>
  <c r="S44" i="5"/>
  <c r="T44" i="5"/>
  <c r="U44" i="5"/>
  <c r="V44" i="5"/>
  <c r="L46" i="5"/>
  <c r="M46" i="5"/>
  <c r="N46" i="5"/>
  <c r="O46" i="5"/>
  <c r="P46" i="5"/>
  <c r="Q46" i="5"/>
  <c r="R46" i="5"/>
  <c r="S46" i="5"/>
  <c r="T46" i="5"/>
  <c r="U46" i="5"/>
  <c r="V46" i="5"/>
  <c r="L48" i="5"/>
  <c r="M48" i="5"/>
  <c r="N48" i="5"/>
  <c r="O48" i="5"/>
  <c r="P48" i="5"/>
  <c r="Q48" i="5"/>
  <c r="R48" i="5"/>
  <c r="S48" i="5"/>
  <c r="T48" i="5"/>
  <c r="U48" i="5"/>
  <c r="V48" i="5"/>
  <c r="L50" i="5"/>
  <c r="M50" i="5"/>
  <c r="N50" i="5"/>
  <c r="O50" i="5"/>
  <c r="P50" i="5"/>
  <c r="Q50" i="5"/>
  <c r="R50" i="5"/>
  <c r="S50" i="5"/>
  <c r="T50" i="5"/>
  <c r="U50" i="5"/>
  <c r="V50" i="5"/>
  <c r="L53" i="5"/>
  <c r="M53" i="5"/>
  <c r="N53" i="5"/>
  <c r="O53" i="5"/>
  <c r="P53" i="5"/>
  <c r="Q53" i="5"/>
  <c r="R53" i="5"/>
  <c r="S53" i="5"/>
  <c r="T53" i="5"/>
  <c r="U53" i="5"/>
  <c r="V53" i="5"/>
  <c r="M56" i="5"/>
  <c r="N56" i="5"/>
  <c r="O56" i="5"/>
  <c r="P56" i="5"/>
  <c r="Q56" i="5"/>
  <c r="R56" i="5"/>
  <c r="S56" i="5"/>
  <c r="T56" i="5"/>
  <c r="U56" i="5"/>
  <c r="V56" i="5"/>
  <c r="L57" i="5"/>
  <c r="M57" i="5"/>
  <c r="N57" i="5"/>
  <c r="O57" i="5"/>
  <c r="P57" i="5"/>
  <c r="Q57" i="5"/>
  <c r="R57" i="5"/>
  <c r="S57" i="5"/>
  <c r="T57" i="5"/>
  <c r="U57" i="5"/>
  <c r="V57" i="5"/>
  <c r="L153" i="5"/>
  <c r="M153" i="5"/>
  <c r="N153" i="5"/>
  <c r="O153" i="5"/>
  <c r="P153" i="5"/>
  <c r="Q153" i="5"/>
  <c r="R153" i="5"/>
  <c r="S153" i="5"/>
  <c r="T153" i="5"/>
  <c r="U153" i="5"/>
  <c r="V153" i="5"/>
  <c r="L154" i="5"/>
  <c r="M154" i="5"/>
  <c r="N154" i="5"/>
  <c r="O154" i="5"/>
  <c r="P154" i="5"/>
  <c r="Q154" i="5"/>
  <c r="R154" i="5"/>
  <c r="S154" i="5"/>
  <c r="T154" i="5"/>
  <c r="U154" i="5"/>
  <c r="V15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tc={F6BAE617-C3C3-4800-884F-4E04A39F1A77}</author>
    <author>tc={80C2DCFF-28CE-426D-9579-F656149900B9}</author>
    <author>tc={F3F455E1-4F7D-4EC1-BE6E-991A300A2000}</author>
  </authors>
  <commentList>
    <comment ref="L52" authorId="0" shapeId="0" xr:uid="{F6BAE617-C3C3-4800-884F-4E04A39F1A77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Shares held flat (no buybacks modeled) — consistent with the unmodeled-capital-return cash note. No valuation impact: per-share value uses the current 530.3M count.</t>
      </text>
    </comment>
    <comment ref="I70" authorId="1" shapeId="0" xr:uid="{80C2DCFF-28CE-426D-9579-F6561499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Health Care is excluded from 2023 to match restated continuing-operations revenue.</t>
      </text>
    </comment>
    <comment ref="L100" authorId="2" shapeId="0" xr:uid="{F3F455E1-4F7D-4EC1-BE6E-991A300A2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Hardcoded</t>
      </text>
    </comment>
  </commentList>
</comments>
</file>

<file path=xl/sharedStrings.xml><?xml version="1.0" encoding="utf-8"?>
<sst xmlns="http://schemas.openxmlformats.org/spreadsheetml/2006/main" count="2587" uniqueCount="882">
  <si>
    <t>3M Company</t>
  </si>
  <si>
    <t xml:space="preserve">MMM   88579Y101   2595708   NYSE    Common stock    </t>
  </si>
  <si>
    <t>Source: FactSet Fundamentals</t>
  </si>
  <si>
    <t>DEC '25</t>
  </si>
  <si>
    <t>DEC '24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</si>
  <si>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</si>
  <si>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</si>
  <si>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</si>
  <si>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</si>
  <si>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</si>
  <si>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</si>
  <si>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</si>
  <si>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</si>
  <si>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Restate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</si>
  <si>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</si>
  <si>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</si>
  <si>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</si>
  <si>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</si>
  <si>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</si>
  <si>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</si>
  <si>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</si>
  <si>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</si>
  <si>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</si>
  <si>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</si>
  <si>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</si>
  <si>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</si>
  <si>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</si>
  <si>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</si>
  <si>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</si>
  <si>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</si>
  <si>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</si>
  <si>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</si>
  <si>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</si>
  <si>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Goodwill</t>
  </si>
  <si>
    <t>Restructuring Expense</t>
  </si>
  <si>
    <t>Legal Claim Expense</t>
  </si>
  <si>
    <t>Unrealized Valuation Gain/Loss</t>
  </si>
  <si>
    <t>Investments</t>
  </si>
  <si>
    <t>Hedges/Derivatives</t>
  </si>
  <si>
    <t>Excpl Chrgs - Others</t>
  </si>
  <si>
    <t>Restructuring of Debt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</si>
  <si>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</si>
  <si>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</si>
  <si>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</si>
  <si>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</si>
  <si>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</si>
  <si>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</si>
  <si>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Equity in Earnings of Affiliates</t>
  </si>
  <si>
    <t>Consolidated Net Income</t>
  </si>
  <si>
    <t>Minority Interest</t>
  </si>
  <si>
    <t>Net Income</t>
  </si>
  <si>
    <t>Discontinued Operations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</si>
  <si>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</si>
  <si>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</si>
  <si>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</si>
  <si>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</si>
  <si>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</si>
  <si>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</si>
  <si>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</si>
  <si>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</si>
  <si>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</si>
  <si>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</si>
  <si>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</si>
  <si>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EBITDA</t>
  </si>
  <si>
    <t>EBIT</t>
  </si>
  <si>
    <t>All figures in millions of U.S. Dollar except per share items.</t>
  </si>
  <si>
    <t>3M Company (MMM)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</si>
  <si>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</si>
  <si>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</si>
  <si>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</si>
  <si>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</si>
  <si>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</si>
  <si>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</si>
  <si>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</si>
  <si>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</si>
  <si>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</si>
  <si>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</si>
  <si>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</si>
  <si>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Inventories</t>
  </si>
  <si>
    <t>Accounts Payable</t>
  </si>
  <si>
    <t>Income Taxes Payable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</si>
  <si>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</si>
  <si>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</si>
  <si>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</si>
  <si>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</si>
  <si>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</si>
  <si>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</si>
  <si>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</si>
  <si>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</si>
  <si>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</si>
  <si>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</si>
  <si>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</si>
  <si>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</si>
  <si>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</si>
  <si>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</si>
  <si>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</si>
  <si>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</si>
  <si>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</si>
  <si>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</si>
  <si>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</si>
  <si>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Stock Options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</si>
  <si>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</si>
  <si>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</si>
  <si>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</si>
  <si>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</si>
  <si>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</si>
  <si>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</si>
  <si>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</si>
  <si>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</si>
  <si>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</si>
  <si>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</si>
  <si>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</si>
  <si>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</si>
  <si>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Assets</t>
  </si>
  <si>
    <t>Cash &amp; Short-Term Investments</t>
  </si>
  <si>
    <t>Cash Only</t>
  </si>
  <si>
    <t>Total Short Term Investments</t>
  </si>
  <si>
    <t>Short-Term Receivables</t>
  </si>
  <si>
    <t>Accounts Receivables, Net</t>
  </si>
  <si>
    <t>Accounts Receivables, Gross</t>
  </si>
  <si>
    <t>Bad Debt/Doubtful Accounts</t>
  </si>
  <si>
    <t>Finished Goods</t>
  </si>
  <si>
    <t>Work in Progress</t>
  </si>
  <si>
    <t>Raw Materials</t>
  </si>
  <si>
    <t>Other Current Assets</t>
  </si>
  <si>
    <t>Prepaid Expenses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</si>
  <si>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</si>
  <si>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</si>
  <si>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</si>
  <si>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</si>
  <si>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</si>
  <si>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</si>
  <si>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</si>
  <si>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</si>
  <si>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Leases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</si>
  <si>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</si>
  <si>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</si>
  <si>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</si>
  <si>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</si>
  <si>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</si>
  <si>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Intangible Assets</t>
  </si>
  <si>
    <t>Other Intangible Assets</t>
  </si>
  <si>
    <t>Deferred Tax Assets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</si>
  <si>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</si>
  <si>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</si>
  <si>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</si>
  <si>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</si>
  <si>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</si>
  <si>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</si>
  <si>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ST Debt &amp; Curr. Portion LT Debt</t>
  </si>
  <si>
    <t>Income Tax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</si>
  <si>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</si>
  <si>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</si>
  <si>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</si>
  <si>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</si>
  <si>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</si>
  <si>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</si>
  <si>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</si>
  <si>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</si>
  <si>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</si>
  <si>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</si>
  <si>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</si>
  <si>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</si>
  <si>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</si>
  <si>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</si>
  <si>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</si>
  <si>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</si>
  <si>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</si>
  <si>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</si>
  <si>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</si>
  <si>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</si>
  <si>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Other Appropriated Reserves</t>
  </si>
  <si>
    <t>Treasury Stock</t>
  </si>
  <si>
    <t>Total Shareholders' Equity</t>
  </si>
  <si>
    <t>Accumulated Minority Interest</t>
  </si>
  <si>
    <t>Total Equity</t>
  </si>
  <si>
    <t>Total Liabilities &amp; Shareholders' Equity</t>
  </si>
  <si>
    <t>Book Value per Share</t>
  </si>
  <si>
    <t>Tangible Book Value per Share</t>
  </si>
  <si>
    <t>Operating Items</t>
  </si>
  <si>
    <t>Operating Taxes</t>
  </si>
  <si>
    <t>Tax rate</t>
  </si>
  <si>
    <t>NOPAT</t>
  </si>
  <si>
    <t>Total Operating Assets</t>
  </si>
  <si>
    <t>Total Operating Liabilities</t>
  </si>
  <si>
    <t>Invested Capital</t>
  </si>
  <si>
    <t>Less: Investments in Invested Capital</t>
  </si>
  <si>
    <t>Add: Non-cash operating Expenses</t>
  </si>
  <si>
    <t>ROIC</t>
  </si>
  <si>
    <t>Invested Capital (D+E-Cash)</t>
  </si>
  <si>
    <t>Difference</t>
  </si>
  <si>
    <t>All figures in millions of U.S. Dollar</t>
  </si>
  <si>
    <t>Invested Capital (OA-OL)</t>
  </si>
  <si>
    <t>Invested Capital with Goodwill</t>
  </si>
  <si>
    <t>Invested Capital without Goodwill</t>
  </si>
  <si>
    <t>Revenue/Sales</t>
  </si>
  <si>
    <t>Explicit forecast period</t>
  </si>
  <si>
    <t>Terminal Year</t>
  </si>
  <si>
    <t>Historical Period</t>
  </si>
  <si>
    <t>Segment wise</t>
  </si>
  <si>
    <t>MMM-US</t>
  </si>
  <si>
    <t>366 Days</t>
  </si>
  <si>
    <t>365 Days</t>
  </si>
  <si>
    <t>Total</t>
  </si>
  <si>
    <t>Safety &amp; Industrial</t>
  </si>
  <si>
    <t>-</t>
  </si>
  <si>
    <t>Transportation &amp; Electronics</t>
  </si>
  <si>
    <t>Consumer</t>
  </si>
  <si>
    <t>Historical Segments</t>
  </si>
  <si>
    <t>Other</t>
  </si>
  <si>
    <t>Health Care</t>
  </si>
  <si>
    <t>Industrial</t>
  </si>
  <si>
    <t>Safety &amp; Graphics</t>
  </si>
  <si>
    <t>Electronics &amp; Energy</t>
  </si>
  <si>
    <t>Percent of Total (%)</t>
  </si>
  <si>
    <t>Growth (%)</t>
  </si>
  <si>
    <t>Segments Table</t>
  </si>
  <si>
    <t>Growth rate</t>
  </si>
  <si>
    <t>Corporate &amp; Other</t>
  </si>
  <si>
    <t>EBITDA margin</t>
  </si>
  <si>
    <t>NIM</t>
  </si>
  <si>
    <t>EBT Margin</t>
  </si>
  <si>
    <t>EBIT Margin</t>
  </si>
  <si>
    <t>D&amp;A</t>
  </si>
  <si>
    <t>COGS w/o D&amp;A</t>
  </si>
  <si>
    <t>COGS w/ D&amp;A</t>
  </si>
  <si>
    <t>Revenue</t>
  </si>
  <si>
    <t>NOPAT Margin</t>
  </si>
  <si>
    <t>GIM</t>
  </si>
  <si>
    <t>SG&amp;A %</t>
  </si>
  <si>
    <t>Common size base 2025</t>
  </si>
  <si>
    <t>COGS analysis</t>
  </si>
  <si>
    <t>% of revenue</t>
  </si>
  <si>
    <t>Operating margin target</t>
  </si>
  <si>
    <t xml:space="preserve">SG&amp;A </t>
  </si>
  <si>
    <t>Operating income margin</t>
  </si>
  <si>
    <t>Property Plant and Equipment Schedule</t>
  </si>
  <si>
    <t>Opening PPE</t>
  </si>
  <si>
    <t>Add: Capex</t>
  </si>
  <si>
    <t>Less: Depreciation</t>
  </si>
  <si>
    <t>Ending Net PP&amp;E</t>
  </si>
  <si>
    <t>FX Disposals</t>
  </si>
  <si>
    <t>Capex/Sales ratio</t>
  </si>
  <si>
    <t>Depreciation rate</t>
  </si>
  <si>
    <t>Depreciation calculation</t>
  </si>
  <si>
    <t>Opening PPE, Gross</t>
  </si>
  <si>
    <t>Ending Gross PPE</t>
  </si>
  <si>
    <t>Date</t>
  </si>
  <si>
    <t>Rf</t>
  </si>
  <si>
    <t>Re</t>
  </si>
  <si>
    <t>Rm</t>
  </si>
  <si>
    <t>Rm-Rf</t>
  </si>
  <si>
    <t>Re-Rf</t>
  </si>
  <si>
    <t>Rm monthly return %</t>
  </si>
  <si>
    <t>Re monthly return %</t>
  </si>
  <si>
    <t>Monthly Rf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</si>
  <si>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</si>
  <si>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</si>
  <si>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</si>
  <si>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</si>
  <si>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</si>
  <si>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</si>
  <si>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</si>
  <si>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</si>
  <si>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</si>
  <si>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</si>
  <si>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</si>
  <si>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</si>
  <si>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</si>
  <si>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</si>
  <si>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</si>
  <si>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</si>
  <si>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</si>
  <si>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</si>
  <si>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</si>
  <si>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</si>
  <si>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</si>
  <si>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</si>
  <si>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</si>
  <si>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</si>
  <si>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</t>
  </si>
  <si>
    <t>Adjusted beta after beta smoothing</t>
  </si>
  <si>
    <t>Adj Beta</t>
  </si>
  <si>
    <t>Capex projected to be $1.1 billion for 2026</t>
  </si>
  <si>
    <t>Capex</t>
  </si>
  <si>
    <t>For the purposes of uniformity, revenues from healthcare have been excluded to arrive at a growth rate.</t>
  </si>
  <si>
    <t>Less: Asset retirement</t>
  </si>
  <si>
    <t>Opening Accumulated Depreciation</t>
  </si>
  <si>
    <t>Add: Depreciation (5% * Opening gross PPE)</t>
  </si>
  <si>
    <t>Less: Accumulated Depreciation on retired assets</t>
  </si>
  <si>
    <t>Closing Depreciation accumulated</t>
  </si>
  <si>
    <t>Closing Net PPE = (Closing Gross - Closing Acc Dep)</t>
  </si>
  <si>
    <t>Asset retirement rate</t>
  </si>
  <si>
    <t>Average</t>
  </si>
  <si>
    <t>Accumulated depreciation on retired assets</t>
  </si>
  <si>
    <t>Rate used for asset retirement</t>
  </si>
  <si>
    <t>SG&amp;A forecated</t>
  </si>
  <si>
    <t>Amortization Schedule</t>
  </si>
  <si>
    <t>Opening balance of intangibles</t>
  </si>
  <si>
    <t>Amortization rate</t>
  </si>
  <si>
    <t>Add: Acquisitions</t>
  </si>
  <si>
    <t>Less: Amortozation from IS</t>
  </si>
  <si>
    <t>FX plug</t>
  </si>
  <si>
    <t>Ending balance</t>
  </si>
  <si>
    <t>R&amp;D costs</t>
  </si>
  <si>
    <t>% of sales</t>
  </si>
  <si>
    <t xml:space="preserve">Average </t>
  </si>
  <si>
    <t>Hardcoded</t>
  </si>
  <si>
    <t>SG&amp;A for 2026</t>
  </si>
  <si>
    <t>Debt schedule</t>
  </si>
  <si>
    <t>Interest rate</t>
  </si>
  <si>
    <t>USD Floating</t>
  </si>
  <si>
    <t>USD Fixed</t>
  </si>
  <si>
    <t>Euro Fixed</t>
  </si>
  <si>
    <t>in $ millions</t>
  </si>
  <si>
    <t>WACC</t>
  </si>
  <si>
    <t>Debt</t>
  </si>
  <si>
    <t>Cost of Equity</t>
  </si>
  <si>
    <t>Adjusted beta</t>
  </si>
  <si>
    <t>Implied equity risk premium</t>
  </si>
  <si>
    <t>Source: Damodaran</t>
  </si>
  <si>
    <t>Cost of equity</t>
  </si>
  <si>
    <t>3M stock price</t>
  </si>
  <si>
    <t>Shares outstanding</t>
  </si>
  <si>
    <t>Mature industrial company with moderate debt.</t>
  </si>
  <si>
    <t>SG&amp;A for 2027 and beyond</t>
  </si>
  <si>
    <t>As per the guidance given by the company for 2026, this is adjusted number and not GAAP. For our calculations, we are calculating GAAP numbers.</t>
  </si>
  <si>
    <t>Opening debt</t>
  </si>
  <si>
    <t>Interest expense</t>
  </si>
  <si>
    <t>Interest income</t>
  </si>
  <si>
    <t>Cash &amp; ST investments</t>
  </si>
  <si>
    <t>Average interest income</t>
  </si>
  <si>
    <t>Add: Refinancing assuming $500 million/year reduction in debt</t>
  </si>
  <si>
    <t>Total closing debt</t>
  </si>
  <si>
    <t>Average debt</t>
  </si>
  <si>
    <t>Imputed interest as per IS</t>
  </si>
  <si>
    <t>Two settlements currently in progress</t>
  </si>
  <si>
    <t>1. PWS settlement with annual payments expected to be completed by 2036</t>
  </si>
  <si>
    <t>Risk free rate in 2023</t>
  </si>
  <si>
    <t>PV of amount</t>
  </si>
  <si>
    <t>billion</t>
  </si>
  <si>
    <t xml:space="preserve">Amount </t>
  </si>
  <si>
    <t>Imputed interest payments</t>
  </si>
  <si>
    <t>Year</t>
  </si>
  <si>
    <t>Opening Liability</t>
  </si>
  <si>
    <t>Imputed Interest
(Rate × Opening)</t>
  </si>
  <si>
    <t>Cash Paid
(Operating CF)</t>
  </si>
  <si>
    <t>Closing Liability</t>
  </si>
  <si>
    <t>TOTALS</t>
  </si>
  <si>
    <t>Total imputed interest expense</t>
  </si>
  <si>
    <t>Total Interest</t>
  </si>
  <si>
    <t>Interest rate earned</t>
  </si>
  <si>
    <t>Check</t>
  </si>
  <si>
    <t>Inventory</t>
  </si>
  <si>
    <t>Number of Days Per Period</t>
  </si>
  <si>
    <t>Revenues</t>
  </si>
  <si>
    <t>Cost of Goods Sold</t>
  </si>
  <si>
    <t>Number of Days for WC</t>
  </si>
  <si>
    <t>Accounts Receivable</t>
  </si>
  <si>
    <t>Total Amounts for WC Items</t>
  </si>
  <si>
    <t>Net Working Capital</t>
  </si>
  <si>
    <t>Current Assets</t>
  </si>
  <si>
    <t>Current Liabilities</t>
  </si>
  <si>
    <t>Scheduled repayments/Current portion</t>
  </si>
  <si>
    <t>Current portion of LT debt</t>
  </si>
  <si>
    <t>Litigation and other interest charges</t>
  </si>
  <si>
    <t>Terminal growth rate</t>
  </si>
  <si>
    <t>Discount factor</t>
  </si>
  <si>
    <t>Present value of FCF</t>
  </si>
  <si>
    <t>Terminal value</t>
  </si>
  <si>
    <t>Present value of TV</t>
  </si>
  <si>
    <t>Enterprise value</t>
  </si>
  <si>
    <t>Less: Net Debt</t>
  </si>
  <si>
    <t>Less: Minority Interest</t>
  </si>
  <si>
    <t>Less: Provisions</t>
  </si>
  <si>
    <t>Add: Deferred Tax Asset (net)</t>
  </si>
  <si>
    <t>Equity Value</t>
  </si>
  <si>
    <t>Intrinsic Value per share</t>
  </si>
  <si>
    <t>Calculated in the WACC Sheet</t>
  </si>
  <si>
    <t>Beta has been adjusted using smoothing techniques</t>
  </si>
  <si>
    <t>Litigation related assumptions</t>
  </si>
  <si>
    <t>1. PFAS/PWS</t>
  </si>
  <si>
    <t>2. Combat Arms Earplugs</t>
  </si>
  <si>
    <t>3M is going thorugh 2 major litigation settlements</t>
  </si>
  <si>
    <t>3M official settlement documents with PWS have been used for the payment liability assumptions</t>
  </si>
  <si>
    <t>The Company filed an 8K form in June 2023 that explains the litigations payments and their schedules</t>
  </si>
  <si>
    <t xml:space="preserve">  Gross Margin</t>
  </si>
  <si>
    <t xml:space="preserve">  EBIT Margin</t>
  </si>
  <si>
    <t xml:space="preserve">  EBITDA Margin</t>
  </si>
  <si>
    <t xml:space="preserve">  Net Profit Margin</t>
  </si>
  <si>
    <t xml:space="preserve">  NOPAT Margin</t>
  </si>
  <si>
    <t xml:space="preserve">  Return on Assets (ROA)</t>
  </si>
  <si>
    <t xml:space="preserve">  Return on Equity (ROE)</t>
  </si>
  <si>
    <t xml:space="preserve">  Return on Invested Capital (ROIC)</t>
  </si>
  <si>
    <t xml:space="preserve">  Debt / Equity</t>
  </si>
  <si>
    <t xml:space="preserve">  Debt / Total Assets</t>
  </si>
  <si>
    <t xml:space="preserve">  Net Debt / EBITDA</t>
  </si>
  <si>
    <t xml:space="preserve">  Interest Coverage (EBIT / Interest)</t>
  </si>
  <si>
    <t xml:space="preserve">  Interest Coverage (EBITDA / Interest)</t>
  </si>
  <si>
    <t xml:space="preserve">  Current Ratio</t>
  </si>
  <si>
    <t xml:space="preserve">  Quick Ratio</t>
  </si>
  <si>
    <t xml:space="preserve">  Cash Ratio</t>
  </si>
  <si>
    <t xml:space="preserve">  Asset Turnover</t>
  </si>
  <si>
    <t xml:space="preserve">  Days Sales Outstanding (DSO)</t>
  </si>
  <si>
    <t xml:space="preserve">  Days Inventory Outstanding (DIO)</t>
  </si>
  <si>
    <t xml:space="preserve">  Days Payable Outstanding (DPO)</t>
  </si>
  <si>
    <t xml:space="preserve">  Cash Conversion Cycle (CCC)</t>
  </si>
  <si>
    <t xml:space="preserve">  Operating Cash Flow Margin</t>
  </si>
  <si>
    <t xml:space="preserve">  Free Cash Flow Margin</t>
  </si>
  <si>
    <t xml:space="preserve">  CapEx as % of Revenue</t>
  </si>
  <si>
    <t>Profitabilty ratios</t>
  </si>
  <si>
    <t>Formula</t>
  </si>
  <si>
    <t>Analysis</t>
  </si>
  <si>
    <t>gross income / revenue</t>
  </si>
  <si>
    <t>ebit / revenue</t>
  </si>
  <si>
    <t>ebitda / revenue</t>
  </si>
  <si>
    <t>net income / revenue</t>
  </si>
  <si>
    <t>nopat / revenue</t>
  </si>
  <si>
    <t>net income / total assets</t>
  </si>
  <si>
    <t>net income / common equity</t>
  </si>
  <si>
    <t>nopat / avg ic with goodwill</t>
  </si>
  <si>
    <t>Leverage and Solvency ratios</t>
  </si>
  <si>
    <t>(st debt + lt debt) / total equity</t>
  </si>
  <si>
    <t>(st debt + lt debt) / total assets</t>
  </si>
  <si>
    <t>ebit / interest expense</t>
  </si>
  <si>
    <t>ebitda / interest expense</t>
  </si>
  <si>
    <t>Liquidity Ratios</t>
  </si>
  <si>
    <t>Effiecinecy and Activity Ratios</t>
  </si>
  <si>
    <t>revenue / total assets</t>
  </si>
  <si>
    <t>accounts receivable / revenue × 365</t>
  </si>
  <si>
    <t>inventory / cogs excl d&amp;a × 365</t>
  </si>
  <si>
    <t>accounts payable / cogs excl d&amp;a × 365</t>
  </si>
  <si>
    <t>dso + dio − DPO</t>
  </si>
  <si>
    <t>(cash+ar+inventory) / (st debt+ap+other curr liab)</t>
  </si>
  <si>
    <t>(cash + ar) / (st debt+ap+other curr liab)</t>
  </si>
  <si>
    <t>cash &amp; st investments / (st debt+ap+other curr liab)</t>
  </si>
  <si>
    <t>Cashflow ratios</t>
  </si>
  <si>
    <t>The source of this information is the 8K filed by 3M on its offical website which has schedules of payment.</t>
  </si>
  <si>
    <t>2. Combat Arms Earplugs settlement</t>
  </si>
  <si>
    <t>operating cf / revenue</t>
  </si>
  <si>
    <t>fcf / revenue</t>
  </si>
  <si>
    <t>capex / revenue</t>
  </si>
  <si>
    <t>N/M in 2023 due to $14.5B PFAS/CAE litigation charge; the 13.0% in 2025 understates recurring earnings as settlement payments are now cash outflows, not IS charges.</t>
  </si>
  <si>
    <t>The cleanest profitability measure; declined from 18.2% in 2018 to 10.8% in 2022, recovering to 14.4% in 2025, reflecting structural improvement in core operating efficiency.</t>
  </si>
  <si>
    <t>Declined from 15.3% in 2016 to 8.6% in 2025, partly from goodwill/intangible inflation; N/M in 2023 is entirely from the litigation-driven net loss.</t>
  </si>
  <si>
    <t>Averaged ~23% pre-litigation, fell to 10.1% in 2023 as IC was inflated by settlement liabilities, normalized to 30.6% in 2025 confirming strong capital returns on a clean base.</t>
  </si>
  <si>
    <t>Unreliable due to near-zero equity from buybacks; peaked at 3.4x in 2023 as litigation losses wiped equity; Debt/Assets is more informative given denominator distortion.</t>
  </si>
  <si>
    <t>Rose from 35.5% in 2016 to 47.7% in 2019 from acquisitions, then declined to 34.8% by 2025 reflecting deleveraging and transfer of $8.4B Solventum debt.</t>
  </si>
  <si>
    <t>Declined from 86x in 2017 to 5.0x in 2025 as debt and interest rates rose; remains above the 3.0x EBITDA/interest covenant floor in 3M's $4.25B revolving credit facility.</t>
  </si>
  <si>
    <t>EBITDA coverage declined from 104x in 2017 to 6.4x in 2025; still healthy confirming 3M's ability to service its $12.6B debt load comfortably.</t>
  </si>
  <si>
    <t>Mirrors current ratio; the 2023 dip to 0.63x was driven entirely by litigation liability reclassification rather than actual short-term cash stress.</t>
  </si>
  <si>
    <t>Declined from 0.92x in 2016 to 0.49x in 2023 as assets were inflated by goodwill, DTA, and intangibles; modest recovery to 0.66x in 2025 post-Solventum reflects a leaner asset base.</t>
  </si>
  <si>
    <t>Rose from 90 days in 2016 to 112 days in 2022 during supply chain disruptions, normalizing to 97 days by 2025; reflects deliberate inventory buffering during material shortage periods.</t>
  </si>
  <si>
    <t>Steadily extended from 48 days in 2016 to 72 days in 2025, indicating improving supplier payment terms leveraged from 3M's scale and changed business mix post-Solventum.</t>
  </si>
  <si>
    <t>Improved from 109 days in 2017 to 77 days in 2025, driven by DPO extension and Solventum removing longer-cycle healthcare inventory; genuine working capital efficiency gains.</t>
  </si>
  <si>
    <t>Declined from ~50% in 2016-2018 to ~40% by 2025, driven by the Solventum spinoff removing the higher-margin Health Care segment.</t>
  </si>
  <si>
    <t>Compressed to 11.9% in 2022 from ~22-24% pre-2022 as litigation charges surged; partial recovery to 19.0% in 2025 as one-time charges recede.</t>
  </si>
  <si>
    <t>Tracked EBIT margin with a 4-5% D&amp;A premium; the 2022-2023 trough at 17-22% followed by recovery to 24.2% in 2025 confirms intact underlying profitability.</t>
  </si>
  <si>
    <t>Economically distorted due to treasury buybacks depleting book equity toward zero; N/M from 2023-2025 reflects the near-zero denominator problem making ROE unreliable.</t>
  </si>
  <si>
    <t>Rose to 2.2x in 2022 but improved to 1.2x in 2025 as EBITDA recovered and gross debt declined; within the 2.0-2.5x investment-grade industrial range.</t>
  </si>
  <si>
    <t>Generally healthy at 1.5-1.8x from 2016-2022; fell to 0.89x in 2023 as accrued litigation liabilities were classified as current — a technical reclassification, not a genuine cash issue.</t>
  </si>
  <si>
    <t>Ranged 0.32-0.71x, reflecting healthy treasury cash balances; the 0.62x in 2025 confirms substantial liquidity buffer well above operational requirements.</t>
  </si>
  <si>
    <t>Remarkably stable at 47-57 days throughout the decade confirming consistent receivables management and stable customer credit terms across 3M's diversified customer base.</t>
  </si>
  <si>
    <t>Solid at 19-25% from 2016-2021; declining to 7-9% in 2024-2025 directly from PFAS and CAE litigation cash payments classified as operating outflows under GAAP.</t>
  </si>
  <si>
    <t>Healthy at 14-21% for most years; compressed to 2.6% in 2024 by litigation payments; natural FCF recovery as settlements wind down through 2029 is embedded in the forecast.</t>
  </si>
  <si>
    <t>Consistently 4.3-5.3% throughout, declining to 3.6% in 2025; reflects 3M's relatively asset-light model where IP and innovation drive competitive advantage over physical capital.</t>
  </si>
  <si>
    <t>Company guidance: Planning to become asset light and keep the capex investments amount constant.</t>
  </si>
  <si>
    <t>Instrument ID</t>
  </si>
  <si>
    <t>Description</t>
  </si>
  <si>
    <t>Balance Sheet Amt Out (USD)</t>
  </si>
  <si>
    <t>Current Amt Out (USD)</t>
  </si>
  <si>
    <t>Coupon Rate</t>
  </si>
  <si>
    <t>Coupon Type</t>
  </si>
  <si>
    <t>Issue Date</t>
  </si>
  <si>
    <t>Maturity Date</t>
  </si>
  <si>
    <t>Issue Curr</t>
  </si>
  <si>
    <t>Seniority</t>
  </si>
  <si>
    <t>Price</t>
  </si>
  <si>
    <t>YTW</t>
  </si>
  <si>
    <t>OAS (LIBOR)</t>
  </si>
  <si>
    <t>ST Debt</t>
  </si>
  <si>
    <t>Commercial Paper</t>
  </si>
  <si>
    <t>Variable</t>
  </si>
  <si>
    <t>USD</t>
  </si>
  <si>
    <t>SNR Unsec</t>
  </si>
  <si>
    <t>Current Portion Of LTD</t>
  </si>
  <si>
    <t>88580DN8</t>
  </si>
  <si>
    <t>3M Company 0.000% 08-JAN-2027</t>
  </si>
  <si>
    <t>Zero</t>
  </si>
  <si>
    <t>04/26</t>
  </si>
  <si>
    <t>01/27</t>
  </si>
  <si>
    <t>88580DN7</t>
  </si>
  <si>
    <t>3M Company 0.000% 07-JAN-2027</t>
  </si>
  <si>
    <t>60406BN8</t>
  </si>
  <si>
    <t>60406BN7</t>
  </si>
  <si>
    <t>88580DMX</t>
  </si>
  <si>
    <t>3M Company 0.000% 31-DEC-2026</t>
  </si>
  <si>
    <t>12/26</t>
  </si>
  <si>
    <t>88580DMW</t>
  </si>
  <si>
    <t>3M Company 0.000% 30-DEC-2026</t>
  </si>
  <si>
    <t>60406BMX</t>
  </si>
  <si>
    <t>60406BMW</t>
  </si>
  <si>
    <t>88580DMV</t>
  </si>
  <si>
    <t>3M Company 0.000% 29-DEC-2026</t>
  </si>
  <si>
    <t>60406BMV</t>
  </si>
  <si>
    <t>88580DMU</t>
  </si>
  <si>
    <t>3M Company 0.000% 28-DEC-2026</t>
  </si>
  <si>
    <t>60406BMU</t>
  </si>
  <si>
    <t>88580DMQ</t>
  </si>
  <si>
    <t>3M Company 0.000% 24-DEC-2026</t>
  </si>
  <si>
    <t>03/26</t>
  </si>
  <si>
    <t>88580DMP</t>
  </si>
  <si>
    <t>3M Company 0.000% 23-DEC-2026</t>
  </si>
  <si>
    <t>60406BMQ</t>
  </si>
  <si>
    <t>60406BMP</t>
  </si>
  <si>
    <t>88580DMN</t>
  </si>
  <si>
    <t>3M Company 0.000% 22-DEC-2026</t>
  </si>
  <si>
    <t>60406BMN</t>
  </si>
  <si>
    <t>88580DMM</t>
  </si>
  <si>
    <t>3M Company 0.000% 21-DEC-2026</t>
  </si>
  <si>
    <t>60406BMM</t>
  </si>
  <si>
    <t>88580DMJ</t>
  </si>
  <si>
    <t>3M Company 0.000% 18-DEC-2026</t>
  </si>
  <si>
    <t>88580DMH</t>
  </si>
  <si>
    <t>3M Company 0.000% 17-DEC-2026</t>
  </si>
  <si>
    <t>88580DMG</t>
  </si>
  <si>
    <t>3M Company 0.000% 16-DEC-2026</t>
  </si>
  <si>
    <t>60406BMJ</t>
  </si>
  <si>
    <t>60406BMH</t>
  </si>
  <si>
    <t>60406BMG</t>
  </si>
  <si>
    <t>88580DMF</t>
  </si>
  <si>
    <t>3M Company 0.000% 15-DEC-2026</t>
  </si>
  <si>
    <t>60406BMF</t>
  </si>
  <si>
    <t>88580DME</t>
  </si>
  <si>
    <t>3M Company 0.000% 14-DEC-2026</t>
  </si>
  <si>
    <t>60406BME</t>
  </si>
  <si>
    <t>88580DMB</t>
  </si>
  <si>
    <t>3M Company 0.000% 11-DEC-2026</t>
  </si>
  <si>
    <t>88580DMA</t>
  </si>
  <si>
    <t>3M Company 0.000% 10-DEC-2026</t>
  </si>
  <si>
    <t>88580DM9</t>
  </si>
  <si>
    <t>3M Company 0.000% 09-DEC-2026</t>
  </si>
  <si>
    <t>60406BMB</t>
  </si>
  <si>
    <t>60406BMA</t>
  </si>
  <si>
    <t>60406BM9</t>
  </si>
  <si>
    <t>88580DM8</t>
  </si>
  <si>
    <t>3M Company 0.000% 08-DEC-2026</t>
  </si>
  <si>
    <t>60406BM8</t>
  </si>
  <si>
    <t>88580DM7</t>
  </si>
  <si>
    <t>3M Company 0.000% 07-DEC-2026</t>
  </si>
  <si>
    <t>60406BM7</t>
  </si>
  <si>
    <t>88580DM4</t>
  </si>
  <si>
    <t>3M Company 0.000% 04-DEC-2026</t>
  </si>
  <si>
    <t>88580DM3</t>
  </si>
  <si>
    <t>3M Company 0.000% 03-DEC-2026</t>
  </si>
  <si>
    <t>88580DM2</t>
  </si>
  <si>
    <t>3M Company 0.000% 02-DEC-2026</t>
  </si>
  <si>
    <t>60406BM4</t>
  </si>
  <si>
    <t>60406BM3</t>
  </si>
  <si>
    <t>60406BM2</t>
  </si>
  <si>
    <t>88580DM1</t>
  </si>
  <si>
    <t>3M Company 0.000% 01-DEC-2026</t>
  </si>
  <si>
    <t>60406BM1</t>
  </si>
  <si>
    <t>88580DLW</t>
  </si>
  <si>
    <t>3M Company 0.000% 30-NOV-2026</t>
  </si>
  <si>
    <t>11/26</t>
  </si>
  <si>
    <t>60406BLW</t>
  </si>
  <si>
    <t>88580DLT</t>
  </si>
  <si>
    <t>3M Company 0.000% 27-NOV-2026</t>
  </si>
  <si>
    <t>02/26</t>
  </si>
  <si>
    <t>88580DLR</t>
  </si>
  <si>
    <t>3M Company 0.000% 25-NOV-2026</t>
  </si>
  <si>
    <t>60406BLT</t>
  </si>
  <si>
    <t>60406BLR</t>
  </si>
  <si>
    <t>88580DLQ</t>
  </si>
  <si>
    <t>3M Company 0.000% 24-NOV-2026</t>
  </si>
  <si>
    <t>60406BLQ</t>
  </si>
  <si>
    <t>88580DLP</t>
  </si>
  <si>
    <t>3M Company 0.000% 23-NOV-2026</t>
  </si>
  <si>
    <t>60406BLP</t>
  </si>
  <si>
    <t>88580DLL</t>
  </si>
  <si>
    <t>3M Company 0.000% 20-NOV-2026</t>
  </si>
  <si>
    <t>88580DLK</t>
  </si>
  <si>
    <t>3M Company 0.000% 19-NOV-2026</t>
  </si>
  <si>
    <t>88580DLJ</t>
  </si>
  <si>
    <t>3M Company 0.000% 18-NOV-2026</t>
  </si>
  <si>
    <t>60406BLL</t>
  </si>
  <si>
    <t>60406BLK</t>
  </si>
  <si>
    <t>60406BLJ</t>
  </si>
  <si>
    <t>88580DLH</t>
  </si>
  <si>
    <t>3M Company 0.000% 17-NOV-2026</t>
  </si>
  <si>
    <t>88580DLG</t>
  </si>
  <si>
    <t>3M Company 0.000% 16-NOV-2026</t>
  </si>
  <si>
    <t>60406BLG</t>
  </si>
  <si>
    <t>88580DLD</t>
  </si>
  <si>
    <t>3M Company 0.000% 13-NOV-2026</t>
  </si>
  <si>
    <t>88580DLC</t>
  </si>
  <si>
    <t>3M Company 0.000% 12-NOV-2026</t>
  </si>
  <si>
    <t>88580DLB</t>
  </si>
  <si>
    <t>3M Company 0.000% 11-NOV-2026</t>
  </si>
  <si>
    <t>60406BLD</t>
  </si>
  <si>
    <t>60406BLC</t>
  </si>
  <si>
    <t>60406BLB</t>
  </si>
  <si>
    <t>60406BLA</t>
  </si>
  <si>
    <t>3M Company 0.000% 10-NOV-2026</t>
  </si>
  <si>
    <t>88580DL9</t>
  </si>
  <si>
    <t>3M Company 0.000% 09-NOV-2026</t>
  </si>
  <si>
    <t>60406BL9</t>
  </si>
  <si>
    <t>88580DL6</t>
  </si>
  <si>
    <t>3M Company 0.000% 06-NOV-2026</t>
  </si>
  <si>
    <t>88580DL5</t>
  </si>
  <si>
    <t>3M Company 0.000% 05-NOV-2026</t>
  </si>
  <si>
    <t>60406BL6</t>
  </si>
  <si>
    <t>60406BL5</t>
  </si>
  <si>
    <t>88580DL3</t>
  </si>
  <si>
    <t>3M Company 0.000% 03-NOV-2026</t>
  </si>
  <si>
    <t>60406BL2</t>
  </si>
  <si>
    <t>3M Company 0.000% 02-NOV-2026</t>
  </si>
  <si>
    <t>88580DKW</t>
  </si>
  <si>
    <t>3M Company 0.000% 30-OCT-2026</t>
  </si>
  <si>
    <t>01/26</t>
  </si>
  <si>
    <t>10/26</t>
  </si>
  <si>
    <t>88580DKV</t>
  </si>
  <si>
    <t>3M Company 0.000% 29-OCT-2026</t>
  </si>
  <si>
    <t>88580DKU</t>
  </si>
  <si>
    <t>3M Company 0.000% 28-OCT-2026</t>
  </si>
  <si>
    <t>60406BKW</t>
  </si>
  <si>
    <t>60406BKV</t>
  </si>
  <si>
    <t>60406BKU</t>
  </si>
  <si>
    <t>88580DKS</t>
  </si>
  <si>
    <t>3M Company 0.000% 26-OCT-2026</t>
  </si>
  <si>
    <t>60406BKS</t>
  </si>
  <si>
    <t>88580DKP</t>
  </si>
  <si>
    <t>3M Company 0.000% 23-OCT-2026</t>
  </si>
  <si>
    <t>88580DKN</t>
  </si>
  <si>
    <t>3M Company 0.000% 22-OCT-2026</t>
  </si>
  <si>
    <t>88580DKM</t>
  </si>
  <si>
    <t>3M Company 0.000% 21-OCT-2026</t>
  </si>
  <si>
    <t>60406BKP</t>
  </si>
  <si>
    <t>60406BKN</t>
  </si>
  <si>
    <t>88580DKL</t>
  </si>
  <si>
    <t>3M Company 0.000% 20-OCT-2026</t>
  </si>
  <si>
    <t>60406BKL</t>
  </si>
  <si>
    <t>88580DKK</t>
  </si>
  <si>
    <t>3M Company 0.000% 19-OCT-2026</t>
  </si>
  <si>
    <t>60406BKK</t>
  </si>
  <si>
    <t>88580DKG</t>
  </si>
  <si>
    <t>3M Company 0.000% 16-OCT-2026</t>
  </si>
  <si>
    <t>88580DKF</t>
  </si>
  <si>
    <t>3M Company 0.000% 15-OCT-2026</t>
  </si>
  <si>
    <t>60406BKG</t>
  </si>
  <si>
    <t>60406BKF</t>
  </si>
  <si>
    <t>88580DKD</t>
  </si>
  <si>
    <t>3M Company 0.000% 13-OCT-2026</t>
  </si>
  <si>
    <t>60406BKD</t>
  </si>
  <si>
    <t>88580DKC</t>
  </si>
  <si>
    <t>3M Company 0.000% 12-OCT-2026</t>
  </si>
  <si>
    <t>60406BKC</t>
  </si>
  <si>
    <t>88580DK9</t>
  </si>
  <si>
    <t>3M Company 0.000% 09-OCT-2026</t>
  </si>
  <si>
    <t>88580DK8</t>
  </si>
  <si>
    <t>3M Company 0.000% 08-OCT-2026</t>
  </si>
  <si>
    <t>60406BK9</t>
  </si>
  <si>
    <t>60406BK8</t>
  </si>
  <si>
    <t>88580DK6</t>
  </si>
  <si>
    <t>3M Company 0.000% 06-OCT-2026</t>
  </si>
  <si>
    <t>60406BK6</t>
  </si>
  <si>
    <t>88580DK5</t>
  </si>
  <si>
    <t>3M Company 0.000% 05-OCT-2026</t>
  </si>
  <si>
    <t>60406BK5</t>
  </si>
  <si>
    <t>88580DK2</t>
  </si>
  <si>
    <t>3M Company 0.000% 02-OCT-2026</t>
  </si>
  <si>
    <t>88580DK1</t>
  </si>
  <si>
    <t>3M Company 0.000% 01-OCT-2026</t>
  </si>
  <si>
    <t>88580DJW</t>
  </si>
  <si>
    <t>3M Company 0.000% 30-SEP-2026</t>
  </si>
  <si>
    <t>09/26</t>
  </si>
  <si>
    <t>60406BK2</t>
  </si>
  <si>
    <t>60406BK1</t>
  </si>
  <si>
    <t>60406BJW</t>
  </si>
  <si>
    <t>Revolving Credit</t>
  </si>
  <si>
    <t>FDSZ08J69</t>
  </si>
  <si>
    <t>Senior Unsec. Revolving Credit Facility</t>
  </si>
  <si>
    <t>05/23</t>
  </si>
  <si>
    <t>05/28</t>
  </si>
  <si>
    <t>_</t>
  </si>
  <si>
    <t>Notes/Bonds</t>
  </si>
  <si>
    <t>88579YAV3</t>
  </si>
  <si>
    <t>3M Co - MTN - Series F</t>
  </si>
  <si>
    <t>Fixed</t>
  </si>
  <si>
    <t>09/16</t>
  </si>
  <si>
    <t>88579YAK7</t>
  </si>
  <si>
    <t>3M Co - MTN - Series F - 750M EUR</t>
  </si>
  <si>
    <t>11/14</t>
  </si>
  <si>
    <t>EUR</t>
  </si>
  <si>
    <t>60406CAP2</t>
  </si>
  <si>
    <t>3M Co - FRN</t>
  </si>
  <si>
    <t>09/97</t>
  </si>
  <si>
    <t>09/27</t>
  </si>
  <si>
    <t>88579YAY7</t>
  </si>
  <si>
    <t>10/17</t>
  </si>
  <si>
    <t>10/27</t>
  </si>
  <si>
    <t>604059AE5</t>
  </si>
  <si>
    <t>3M Co</t>
  </si>
  <si>
    <t>02/98</t>
  </si>
  <si>
    <t>02/28</t>
  </si>
  <si>
    <t>88579YBC4</t>
  </si>
  <si>
    <t>09/18</t>
  </si>
  <si>
    <t>09/28</t>
  </si>
  <si>
    <t>88579YBG5</t>
  </si>
  <si>
    <t>02/19</t>
  </si>
  <si>
    <t>03/29</t>
  </si>
  <si>
    <t>88579YBJ9</t>
  </si>
  <si>
    <t xml:space="preserve">3M Co </t>
  </si>
  <si>
    <t>08/19</t>
  </si>
  <si>
    <t>08/29</t>
  </si>
  <si>
    <t>88579YBQ3</t>
  </si>
  <si>
    <t>03/25</t>
  </si>
  <si>
    <t>03/30</t>
  </si>
  <si>
    <t>88579YAN1</t>
  </si>
  <si>
    <t>3M Co - MTN - Series F - 500M EUR</t>
  </si>
  <si>
    <t>05/15</t>
  </si>
  <si>
    <t>05/30</t>
  </si>
  <si>
    <t>88579YBN0</t>
  </si>
  <si>
    <t>03/20</t>
  </si>
  <si>
    <t>04/30</t>
  </si>
  <si>
    <t>88579YAT8</t>
  </si>
  <si>
    <t>05/16</t>
  </si>
  <si>
    <t>06/31</t>
  </si>
  <si>
    <t>88579YBR1</t>
  </si>
  <si>
    <t>03/35</t>
  </si>
  <si>
    <t>88579EAC9</t>
  </si>
  <si>
    <t>3M Co - MTN - Series D</t>
  </si>
  <si>
    <t>03/07</t>
  </si>
  <si>
    <t>03/37</t>
  </si>
  <si>
    <t>604059AG0</t>
  </si>
  <si>
    <t>02/01</t>
  </si>
  <si>
    <t>12/40</t>
  </si>
  <si>
    <t>60406CAT4</t>
  </si>
  <si>
    <t>3M Co - MTN - Series C - FRN</t>
  </si>
  <si>
    <t>11/01</t>
  </si>
  <si>
    <t>12/41</t>
  </si>
  <si>
    <t>88579EAA3</t>
  </si>
  <si>
    <t>3M Co - MTN - Series D - FRN</t>
  </si>
  <si>
    <t>12/04</t>
  </si>
  <si>
    <t>12/44</t>
  </si>
  <si>
    <t>88579YAH4</t>
  </si>
  <si>
    <t>06/14</t>
  </si>
  <si>
    <t>06/44</t>
  </si>
  <si>
    <t>88579YAW1</t>
  </si>
  <si>
    <t>09/46</t>
  </si>
  <si>
    <t>88579YAZ4</t>
  </si>
  <si>
    <t>10/47</t>
  </si>
  <si>
    <t>88579YBD2</t>
  </si>
  <si>
    <t>09/48</t>
  </si>
  <si>
    <t>88579YBK6</t>
  </si>
  <si>
    <t>08/49</t>
  </si>
  <si>
    <t>88579YBP5</t>
  </si>
  <si>
    <t>04/50</t>
  </si>
  <si>
    <t>Adjustment - Bonds</t>
  </si>
  <si>
    <t>LT Debt Total</t>
  </si>
  <si>
    <t>Current Portion of LTD</t>
  </si>
  <si>
    <t>Net LT Debt Total</t>
  </si>
  <si>
    <t>ST Debt Total</t>
  </si>
  <si>
    <t>Total Debt</t>
  </si>
  <si>
    <t>Data as of 17 Apr '26</t>
  </si>
  <si>
    <t xml:space="preserve"> Amount Outstanding in millions of USD</t>
  </si>
  <si>
    <t>Source: FactSet DCS and FactSet Fixed Income</t>
  </si>
  <si>
    <t>* The current total debt outstanding value is not considered a reconciled amount.  Activity is determined on a transactional basis and there can be events that may affect amounts that are not disclosed until the next filing date.</t>
  </si>
  <si>
    <t>Book value of debt</t>
  </si>
  <si>
    <t>Market value of debt</t>
  </si>
  <si>
    <t>Bond Description</t>
  </si>
  <si>
    <t>Coupon (%)</t>
  </si>
  <si>
    <t>TRACE Price
(% of par)</t>
  </si>
  <si>
    <t>YTM / YTW (%)</t>
  </si>
  <si>
    <t>Face Value
($M)</t>
  </si>
  <si>
    <t>Market Value
($M)</t>
  </si>
  <si>
    <t>Weight
(%)</t>
  </si>
  <si>
    <t>Wtd YTM
(bps contrib)</t>
  </si>
  <si>
    <t>2.250% Notes due Sep 2026</t>
  </si>
  <si>
    <t>Sep-26</t>
  </si>
  <si>
    <t>6.375% Notes due Feb 2028</t>
  </si>
  <si>
    <t>Feb-28</t>
  </si>
  <si>
    <t>3.625% Notes due Sep 2028</t>
  </si>
  <si>
    <t>Sep-28</t>
  </si>
  <si>
    <t>3.375% Notes due Mar 2029</t>
  </si>
  <si>
    <t>Mar-29</t>
  </si>
  <si>
    <t>2.375% Notes due Aug 2029</t>
  </si>
  <si>
    <t>Aug-29</t>
  </si>
  <si>
    <t>3.050% Notes due Apr 2030</t>
  </si>
  <si>
    <t>Apr-30</t>
  </si>
  <si>
    <t>4.800% Notes due Mar 2030</t>
  </si>
  <si>
    <t>Mar-30</t>
  </si>
  <si>
    <t>5.150% Notes due Mar 2035</t>
  </si>
  <si>
    <t>Mar-35</t>
  </si>
  <si>
    <t>5.700% Notes due Mar 2037</t>
  </si>
  <si>
    <t>Mar-37</t>
  </si>
  <si>
    <t>3.875% Notes due Jun 2044</t>
  </si>
  <si>
    <t>Jun-44</t>
  </si>
  <si>
    <t>3.125% Notes due Sep 2046</t>
  </si>
  <si>
    <t>Sep-46</t>
  </si>
  <si>
    <t>3.625% Notes due Oct 2047</t>
  </si>
  <si>
    <t>Oct-47</t>
  </si>
  <si>
    <t>4.000% Notes due Sep 2048</t>
  </si>
  <si>
    <t>Sep-48</t>
  </si>
  <si>
    <t>3.250% Notes due Aug 2049</t>
  </si>
  <si>
    <t>Aug-49</t>
  </si>
  <si>
    <t>3.700% Notes due Apr 2050</t>
  </si>
  <si>
    <t>Apr-50</t>
  </si>
  <si>
    <t>TOTAL / WACD (Pre-Tax)</t>
  </si>
  <si>
    <t>100.0%</t>
  </si>
  <si>
    <t>Summary</t>
  </si>
  <si>
    <t>Total Face Value ($M)</t>
  </si>
  <si>
    <t>Total Market Value ($M)</t>
  </si>
  <si>
    <t>Avg Price (% of Par)</t>
  </si>
  <si>
    <t>Pre-Tax WACD</t>
  </si>
  <si>
    <t>After-Tax WACD</t>
  </si>
  <si>
    <t>Book vs Market Gap ($M)</t>
  </si>
  <si>
    <t xml:space="preserve">USD </t>
  </si>
  <si>
    <t>After tax Weighted average cost of debt</t>
  </si>
  <si>
    <t>Euro</t>
  </si>
  <si>
    <t>Total debt</t>
  </si>
  <si>
    <t>From TRACE bond details sheet</t>
  </si>
  <si>
    <t>1.500% Notes due Nov 2026</t>
  </si>
  <si>
    <t>1.750% Notes due Mar 2030</t>
  </si>
  <si>
    <t>1.500% Notes due Mar 2031</t>
  </si>
  <si>
    <t>Euro bonds</t>
  </si>
  <si>
    <t>Mkt Value
(USD M)</t>
  </si>
  <si>
    <t>Nov-26</t>
  </si>
  <si>
    <t>Mar-31</t>
  </si>
  <si>
    <t xml:space="preserve">EUR YTM (%)
</t>
  </si>
  <si>
    <t>Total Face Value (EUR M)</t>
  </si>
  <si>
    <t>Total Market Value (EUR M)</t>
  </si>
  <si>
    <t>Total Market Value (USD M)</t>
  </si>
  <si>
    <t>EUR/USD Spot</t>
  </si>
  <si>
    <t>Pre-Tax WACD (EUR bonds, USD-weighted)</t>
  </si>
  <si>
    <t>After-Tax WACD (EUR bonds)</t>
  </si>
  <si>
    <t>This contains ST debt as well</t>
  </si>
  <si>
    <t>Less: Employee stock options/RSUs</t>
  </si>
  <si>
    <t>Current share price</t>
  </si>
  <si>
    <t>Number of stock options/RSUs</t>
  </si>
  <si>
    <t>Undiluted Shares Outstanding</t>
  </si>
  <si>
    <t>Add: LT Investments</t>
  </si>
  <si>
    <t>Less: Debt</t>
  </si>
  <si>
    <t>Add: Excess Cash</t>
  </si>
  <si>
    <t>Note: Pension liabilities appear to have been fully funded and therefore this has not been included in the final calulation for equity value.</t>
  </si>
  <si>
    <t>Face Value (EUR M)</t>
  </si>
  <si>
    <t>Price (% of par)</t>
  </si>
  <si>
    <t>Mkt Value (EUR M)</t>
  </si>
  <si>
    <t>12-month target price</t>
  </si>
  <si>
    <t>(total debt - Cash) / EBITDA)</t>
  </si>
  <si>
    <t>Growth rate as per the guidance by the company for explicit forecast period</t>
  </si>
  <si>
    <t>Sensitity Analysis</t>
  </si>
  <si>
    <t>Terminal year growth rate assumed to be 2.5% as the company is a mature company and is assumed to grow in-line with long-term GDP growth rate</t>
  </si>
  <si>
    <t>Statutory tax rate</t>
  </si>
  <si>
    <t>Amount (In million$)</t>
  </si>
  <si>
    <t>Rate</t>
  </si>
  <si>
    <t>Weights</t>
  </si>
  <si>
    <t>For simplicity purposes, no corporate amd other income assumed in future years</t>
  </si>
  <si>
    <t>2026 (3%): In line with management's low-single-digit organic-growth guidance. 3M is absorbing the heaviest litigation cash outflows (PFAS/PWS and Combat Arms) and completing</t>
  </si>
  <si>
    <t>The Solventum separation, both of which limit growth reinvestment and management bandwidth.</t>
  </si>
  <si>
    <t>2027–2030 (4%): A modest re-acceleration as the peak settlement payments taper, the streamlined post-spinoff portfolio stabilizes, and reinvestment capacity is restored.</t>
  </si>
  <si>
    <t>2031–2036 (3% → 2.5%): Normalization toward the long-run terminal rate as the company matures into a stable, GDP-paced industrial.</t>
  </si>
  <si>
    <t>Opening PV: ~$5,700M  ,  Nominal: $6,000M  , Effective imputation rate: 1.56%  ,  Payments: 2024 - 2029</t>
  </si>
  <si>
    <t>Rate that amortizes the disclosed $10.3B present-value liability to zero over 3M's scheduled 2024–2036 payments (per 8-K dated</t>
  </si>
  <si>
    <t>22-Jun-2023 and Q2-2023 10-Q). Held at the 2023 recognition-date rate per ASC 835-30 (long-term obligations are not remeasured for later rate changes).</t>
  </si>
  <si>
    <t>Amortizes the disclosed ~$5.7B PV liability to zero over the 2024–2029 schedule (FY2023 10-K). Lower than the PWS rate because of the</t>
  </si>
  <si>
    <t>smaller PV-to-nominal gap over a shorter term.</t>
  </si>
  <si>
    <t>Announced maximum payment</t>
  </si>
  <si>
    <t xml:space="preserve"> 3M 8-K 22-Jun-2023</t>
  </si>
  <si>
    <t>PV Accrual: $10,300M ,Total scheduled payments: $11,380M  ,  Effective imputation rate: 2.34%  ,  Payments: 2024 - 2036</t>
  </si>
  <si>
    <t>Cash is a plug, excluded from invested capital; valuation uses 2025 cash only (Valuation!K25).</t>
  </si>
  <si>
    <t xml:space="preserve"> Unmodeled capital return inflates the projected balance but does not affect intrinsic value.</t>
  </si>
  <si>
    <t>operating cash assumed to be 2% of revenue each year, as of end date 2025</t>
  </si>
  <si>
    <t>Revenue from the above 3 segments</t>
  </si>
  <si>
    <t>Total Company Revenue</t>
  </si>
  <si>
    <t xml:space="preserve"> U.S. federal statutory rate; used as the normalized forward rate since 3M's effective rate (10–35%) is distorted by one-time litigation/tax items.</t>
  </si>
  <si>
    <t xml:space="preserve"> 2026 DPS anchored to 3M's Q1 2026 declared dividend ($0.78/qtr × 4 = $3.12); thereafter the implied ~47% payout ratio is held constant, so DPS grows with forecast net income.</t>
  </si>
  <si>
    <t>Less: Litigation liabilities + Other Liabilities</t>
  </si>
  <si>
    <t>Based on amnagement guidance on Cost Rationalization.</t>
  </si>
  <si>
    <t>Yahoo Finance reports a beta of 1.09 for MMM (5-yr monthly vs S&amp;P 500, as of May 2026), closely corroborating this model's raw regression beta (1.07)</t>
  </si>
  <si>
    <t>and adjusted beta (1.05).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</si>
</sst>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"/>
    <numFmt numFmtId="167" formatCode="yyyy\-mm\-dd"/>
    <numFmt numFmtId="168" formatCode="0.000"/>
    <numFmt numFmtId="169" formatCode="0.0"/>
    <numFmt numFmtId="170" formatCode="\$#,##0;&quot;($&quot;#,##0\);\-"/>
    <numFmt numFmtId="171" formatCode="_(* #,##0.0_);_(* \(#,##0.0\);_(* &quot;-&quot;??_);_(@_)"/>
    <numFmt numFmtId="172" formatCode="0.0000"/>
    <numFmt numFmtId="173" formatCode="##"/>
    <numFmt numFmtId="174" formatCode="0.000%"/>
    <numFmt numFmtId="175" formatCode="##,###.#"/>
    <numFmt numFmtId="176" formatCode="##0.0"/>
    <numFmt numFmtId="177" formatCode="#.##0%"/>
    <numFmt numFmtId="178" formatCode="##.##"/>
    <numFmt numFmtId="179" formatCode="#.0#"/>
    <numFmt numFmtId="180" formatCode="##0.#"/>
    <numFmt numFmtId="181" formatCode="#.#00%"/>
    <numFmt numFmtId="182" formatCode="#.##"/>
    <numFmt numFmtId="183" formatCode="##.0"/>
    <numFmt numFmtId="184" formatCode="##.#0"/>
    <numFmt numFmtId="185" formatCode="###.##"/>
    <numFmt numFmtId="186" formatCode="#.###%"/>
    <numFmt numFmtId="187" formatCode="###.#"/>
    <numFmt numFmtId="188" formatCode="#0#.##"/>
    <numFmt numFmtId="189" formatCode="#00.0"/>
    <numFmt numFmtId="190" formatCode="##.0#"/>
    <numFmt numFmtId="191" formatCode="#,000.0"/>
    <numFmt numFmtId="192" formatCode="#.#0"/>
    <numFmt numFmtId="193" formatCode="#.0#0%"/>
    <numFmt numFmtId="194" formatCode="#0.##"/>
    <numFmt numFmtId="195" formatCode="###.0#"/>
    <numFmt numFmtId="196" formatCode="##.#"/>
    <numFmt numFmtId="197" formatCode="###.0"/>
    <numFmt numFmtId="198" formatCode="#.000%"/>
    <numFmt numFmtId="199" formatCode="###.#0"/>
    <numFmt numFmtId="200" formatCode="##,#0#.0"/>
    <numFmt numFmtId="201" formatCode="#0,###.0"/>
    <numFmt numFmtId="202" formatCode="0.0000%"/>
    <numFmt numFmtId="203" formatCode="\+#,##0.00;\-#,##0.00;\-"/>
  </numFmts>
  <fonts count="2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3366"/>
      <name val="Times New Roman"/>
      <family val="1"/>
    </font>
    <font>
      <sz val="10"/>
      <color rgb="FFFF0000"/>
      <name val="Times New Roman"/>
      <family val="1"/>
    </font>
    <font>
      <sz val="10"/>
      <color rgb="FF646464"/>
      <name val="Times New Roman"/>
      <family val="1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color theme="1"/>
      <name val="Arial"/>
      <family val="2"/>
      <charset val="1"/>
    </font>
    <font>
      <u/>
      <sz val="10"/>
      <color theme="10"/>
      <name val="Arial"/>
      <family val="2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0" fontId="18" fillId="0" borderId="0" applyNumberFormat="0" applyFill="0" applyBorder="0" applyAlignment="0" applyProtection="0"/>
  </cellStyleXfs>
  <cellXfs count="307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4" fillId="3" borderId="0" xfId="0" applyFont="1" applyFill="1" applyAlignment="1">
      <alignment horizontal="left" indent="4"/>
    </xf>
    <xf numFmtId="0" fontId="4" fillId="0" borderId="0" xfId="0" applyFont="1"/>
    <xf numFmtId="0" fontId="4" fillId="3" borderId="0" xfId="0" applyFont="1" applyFill="1" applyAlignment="1">
      <alignment horizontal="left" indent="7"/>
    </xf>
    <xf numFmtId="0" fontId="5" fillId="2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3" fontId="6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 indent="3"/>
    </xf>
    <xf numFmtId="3" fontId="6" fillId="0" borderId="0" xfId="0" applyNumberFormat="1" applyFont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 indent="6"/>
    </xf>
    <xf numFmtId="0" fontId="4" fillId="0" borderId="0" xfId="0" applyFont="1" applyAlignment="1">
      <alignment horizontal="left" indent="7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indent="4"/>
    </xf>
    <xf numFmtId="3" fontId="7" fillId="0" borderId="0" xfId="0" applyNumberFormat="1" applyFont="1" applyAlignment="1">
      <alignment horizontal="right"/>
    </xf>
    <xf numFmtId="0" fontId="6" fillId="3" borderId="0" xfId="0" applyFont="1" applyFill="1" applyAlignment="1">
      <alignment horizontal="left" indent="3"/>
    </xf>
    <xf numFmtId="0" fontId="6" fillId="3" borderId="0" xfId="0" applyFont="1" applyFill="1" applyAlignment="1">
      <alignment horizontal="left" indent="6"/>
    </xf>
    <xf numFmtId="0" fontId="4" fillId="0" borderId="0" xfId="0" applyFont="1" applyAlignment="1">
      <alignment horizontal="left"/>
    </xf>
    <xf numFmtId="3" fontId="7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 indent="1"/>
    </xf>
    <xf numFmtId="0" fontId="4" fillId="3" borderId="0" xfId="0" applyFont="1" applyFill="1" applyAlignment="1">
      <alignment horizontal="left" indent="1"/>
    </xf>
    <xf numFmtId="4" fontId="4" fillId="3" borderId="0" xfId="0" applyNumberFormat="1" applyFont="1" applyFill="1" applyAlignment="1">
      <alignment horizontal="righ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6" fillId="3" borderId="0" xfId="0" applyNumberFormat="1" applyFont="1" applyFill="1" applyAlignment="1">
      <alignment horizontal="right"/>
    </xf>
    <xf numFmtId="0" fontId="8" fillId="0" borderId="0" xfId="0" applyFont="1" applyAlignment="1">
      <alignment horizontal="left"/>
    </xf>
    <xf numFmtId="164" fontId="5" fillId="4" borderId="4" xfId="1" applyNumberFormat="1" applyFont="1" applyFill="1" applyBorder="1"/>
    <xf numFmtId="164" fontId="4" fillId="0" borderId="5" xfId="1" applyNumberFormat="1" applyFont="1" applyFill="1" applyBorder="1"/>
    <xf numFmtId="164" fontId="4" fillId="0" borderId="0" xfId="1" applyNumberFormat="1" applyFont="1"/>
    <xf numFmtId="0" fontId="5" fillId="4" borderId="4" xfId="0" applyFont="1" applyFill="1" applyBorder="1"/>
    <xf numFmtId="165" fontId="5" fillId="4" borderId="4" xfId="2" applyNumberFormat="1" applyFont="1" applyFill="1" applyBorder="1"/>
    <xf numFmtId="0" fontId="4" fillId="0" borderId="4" xfId="0" applyFont="1" applyBorder="1"/>
    <xf numFmtId="164" fontId="4" fillId="0" borderId="4" xfId="1" applyNumberFormat="1" applyFont="1" applyBorder="1"/>
    <xf numFmtId="0" fontId="5" fillId="0" borderId="4" xfId="0" applyFont="1" applyBorder="1"/>
    <xf numFmtId="164" fontId="5" fillId="0" borderId="4" xfId="1" applyNumberFormat="1" applyFont="1" applyBorder="1"/>
    <xf numFmtId="0" fontId="4" fillId="4" borderId="4" xfId="0" applyFont="1" applyFill="1" applyBorder="1"/>
    <xf numFmtId="3" fontId="4" fillId="0" borderId="0" xfId="0" applyNumberFormat="1" applyFont="1"/>
    <xf numFmtId="3" fontId="6" fillId="3" borderId="0" xfId="0" applyNumberFormat="1" applyFont="1" applyFill="1" applyAlignment="1">
      <alignment horizontal="left"/>
    </xf>
    <xf numFmtId="3" fontId="6" fillId="0" borderId="0" xfId="0" applyNumberFormat="1" applyFont="1" applyAlignment="1">
      <alignment horizontal="left"/>
    </xf>
    <xf numFmtId="9" fontId="4" fillId="0" borderId="4" xfId="2" applyFont="1" applyBorder="1"/>
    <xf numFmtId="43" fontId="4" fillId="0" borderId="4" xfId="0" applyNumberFormat="1" applyFont="1" applyBorder="1"/>
    <xf numFmtId="0" fontId="5" fillId="4" borderId="3" xfId="0" applyFont="1" applyFill="1" applyBorder="1"/>
    <xf numFmtId="43" fontId="5" fillId="4" borderId="3" xfId="0" applyNumberFormat="1" applyFont="1" applyFill="1" applyBorder="1"/>
    <xf numFmtId="0" fontId="5" fillId="0" borderId="4" xfId="0" applyFont="1" applyBorder="1" applyAlignment="1">
      <alignment horizontal="center"/>
    </xf>
    <xf numFmtId="0" fontId="5" fillId="0" borderId="0" xfId="0" applyFont="1"/>
    <xf numFmtId="0" fontId="4" fillId="0" borderId="2" xfId="0" applyFont="1" applyBorder="1"/>
    <xf numFmtId="0" fontId="4" fillId="0" borderId="1" xfId="0" applyFont="1" applyBorder="1"/>
    <xf numFmtId="4" fontId="7" fillId="0" borderId="0" xfId="0" applyNumberFormat="1" applyFont="1" applyAlignment="1">
      <alignment horizontal="right"/>
    </xf>
    <xf numFmtId="3" fontId="5" fillId="4" borderId="4" xfId="0" applyNumberFormat="1" applyFont="1" applyFill="1" applyBorder="1"/>
    <xf numFmtId="3" fontId="4" fillId="4" borderId="4" xfId="0" applyNumberFormat="1" applyFont="1" applyFill="1" applyBorder="1" applyAlignment="1">
      <alignment horizontal="center"/>
    </xf>
    <xf numFmtId="165" fontId="4" fillId="0" borderId="0" xfId="0" applyNumberFormat="1" applyFont="1"/>
    <xf numFmtId="165" fontId="5" fillId="0" borderId="0" xfId="2" applyNumberFormat="1" applyFont="1"/>
    <xf numFmtId="0" fontId="5" fillId="0" borderId="6" xfId="0" applyFont="1" applyBorder="1" applyAlignment="1">
      <alignment horizontal="center"/>
    </xf>
    <xf numFmtId="0" fontId="4" fillId="0" borderId="6" xfId="0" applyFont="1" applyBorder="1"/>
    <xf numFmtId="164" fontId="4" fillId="0" borderId="6" xfId="1" applyNumberFormat="1" applyFont="1" applyBorder="1"/>
    <xf numFmtId="9" fontId="4" fillId="0" borderId="6" xfId="2" applyFont="1" applyBorder="1"/>
    <xf numFmtId="43" fontId="4" fillId="0" borderId="6" xfId="0" applyNumberFormat="1" applyFont="1" applyBorder="1"/>
    <xf numFmtId="164" fontId="5" fillId="0" borderId="6" xfId="1" applyNumberFormat="1" applyFont="1" applyBorder="1"/>
    <xf numFmtId="12" fontId="5" fillId="0" borderId="4" xfId="0" applyNumberFormat="1" applyFont="1" applyBorder="1"/>
    <xf numFmtId="12" fontId="5" fillId="0" borderId="6" xfId="0" applyNumberFormat="1" applyFont="1" applyBorder="1"/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right"/>
    </xf>
    <xf numFmtId="0" fontId="0" fillId="3" borderId="0" xfId="0" applyFill="1" applyAlignment="1">
      <alignment horizontal="left" indent="1"/>
    </xf>
    <xf numFmtId="0" fontId="0" fillId="0" borderId="0" xfId="0" applyAlignment="1">
      <alignment horizontal="left" indent="1"/>
    </xf>
    <xf numFmtId="166" fontId="0" fillId="3" borderId="0" xfId="0" applyNumberFormat="1" applyFill="1" applyAlignment="1">
      <alignment horizontal="right"/>
    </xf>
    <xf numFmtId="166" fontId="0" fillId="0" borderId="0" xfId="0" applyNumberFormat="1" applyAlignment="1">
      <alignment horizontal="right"/>
    </xf>
    <xf numFmtId="0" fontId="9" fillId="3" borderId="0" xfId="0" applyFont="1" applyFill="1" applyAlignment="1">
      <alignment horizontal="left"/>
    </xf>
    <xf numFmtId="166" fontId="9" fillId="3" borderId="0" xfId="0" applyNumberFormat="1" applyFont="1" applyFill="1" applyAlignment="1">
      <alignment horizontal="right"/>
    </xf>
    <xf numFmtId="166" fontId="10" fillId="3" borderId="0" xfId="0" applyNumberFormat="1" applyFont="1" applyFill="1" applyAlignment="1">
      <alignment horizontal="right"/>
    </xf>
    <xf numFmtId="166" fontId="10" fillId="0" borderId="0" xfId="0" applyNumberFormat="1" applyFont="1" applyAlignment="1">
      <alignment horizontal="right"/>
    </xf>
    <xf numFmtId="0" fontId="8" fillId="0" borderId="4" xfId="0" applyFont="1" applyBorder="1" applyAlignment="1">
      <alignment horizontal="left"/>
    </xf>
    <xf numFmtId="0" fontId="5" fillId="0" borderId="8" xfId="0" applyFont="1" applyBorder="1"/>
    <xf numFmtId="0" fontId="4" fillId="0" borderId="8" xfId="0" applyFont="1" applyBorder="1"/>
    <xf numFmtId="165" fontId="4" fillId="0" borderId="4" xfId="2" applyNumberFormat="1" applyFont="1" applyBorder="1"/>
    <xf numFmtId="165" fontId="4" fillId="0" borderId="4" xfId="0" applyNumberFormat="1" applyFont="1" applyBorder="1"/>
    <xf numFmtId="9" fontId="4" fillId="0" borderId="4" xfId="0" applyNumberFormat="1" applyFont="1" applyBorder="1"/>
    <xf numFmtId="1" fontId="4" fillId="0" borderId="4" xfId="0" applyNumberFormat="1" applyFont="1" applyBorder="1"/>
    <xf numFmtId="9" fontId="4" fillId="0" borderId="0" xfId="2" applyFont="1"/>
    <xf numFmtId="9" fontId="5" fillId="0" borderId="0" xfId="2" applyFont="1"/>
    <xf numFmtId="164" fontId="4" fillId="0" borderId="4" xfId="0" applyNumberFormat="1" applyFont="1" applyBorder="1"/>
    <xf numFmtId="3" fontId="4" fillId="0" borderId="4" xfId="0" applyNumberFormat="1" applyFont="1" applyBorder="1"/>
    <xf numFmtId="167" fontId="4" fillId="0" borderId="4" xfId="0" applyNumberFormat="1" applyFont="1" applyBorder="1"/>
    <xf numFmtId="2" fontId="4" fillId="0" borderId="4" xfId="0" applyNumberFormat="1" applyFont="1" applyBorder="1"/>
    <xf numFmtId="4" fontId="4" fillId="0" borderId="4" xfId="0" applyNumberFormat="1" applyFont="1" applyBorder="1" applyAlignment="1">
      <alignment horizontal="right"/>
    </xf>
    <xf numFmtId="9" fontId="5" fillId="0" borderId="4" xfId="2" applyFont="1" applyFill="1" applyBorder="1" applyAlignment="1">
      <alignment horizontal="center"/>
    </xf>
    <xf numFmtId="9" fontId="4" fillId="0" borderId="4" xfId="2" applyFont="1" applyFill="1" applyBorder="1" applyAlignment="1">
      <alignment horizontal="right"/>
    </xf>
    <xf numFmtId="0" fontId="5" fillId="0" borderId="4" xfId="0" applyFont="1" applyBorder="1" applyAlignment="1">
      <alignment horizontal="center" vertical="top"/>
    </xf>
    <xf numFmtId="10" fontId="4" fillId="0" borderId="0" xfId="0" applyNumberFormat="1" applyFont="1"/>
    <xf numFmtId="165" fontId="4" fillId="0" borderId="4" xfId="2" applyNumberFormat="1" applyFont="1" applyFill="1" applyBorder="1"/>
    <xf numFmtId="2" fontId="4" fillId="0" borderId="4" xfId="2" applyNumberFormat="1" applyFont="1" applyFill="1" applyBorder="1"/>
    <xf numFmtId="9" fontId="4" fillId="0" borderId="0" xfId="0" applyNumberFormat="1" applyFont="1"/>
    <xf numFmtId="0" fontId="11" fillId="0" borderId="11" xfId="0" applyFont="1" applyBorder="1" applyAlignment="1">
      <alignment horizontal="centerContinuous"/>
    </xf>
    <xf numFmtId="0" fontId="4" fillId="0" borderId="10" xfId="0" applyFont="1" applyBorder="1"/>
    <xf numFmtId="0" fontId="11" fillId="0" borderId="11" xfId="0" applyFont="1" applyBorder="1" applyAlignment="1">
      <alignment horizontal="center"/>
    </xf>
    <xf numFmtId="168" fontId="4" fillId="0" borderId="4" xfId="0" applyNumberFormat="1" applyFont="1" applyBorder="1"/>
    <xf numFmtId="10" fontId="4" fillId="0" borderId="4" xfId="0" applyNumberFormat="1" applyFont="1" applyBorder="1"/>
    <xf numFmtId="169" fontId="4" fillId="0" borderId="4" xfId="0" applyNumberFormat="1" applyFont="1" applyBorder="1"/>
    <xf numFmtId="1" fontId="4" fillId="0" borderId="0" xfId="0" applyNumberFormat="1" applyFont="1"/>
    <xf numFmtId="164" fontId="4" fillId="0" borderId="6" xfId="0" applyNumberFormat="1" applyFont="1" applyBorder="1"/>
    <xf numFmtId="10" fontId="4" fillId="6" borderId="4" xfId="0" applyNumberFormat="1" applyFont="1" applyFill="1" applyBorder="1"/>
    <xf numFmtId="0" fontId="4" fillId="6" borderId="4" xfId="0" applyFont="1" applyFill="1" applyBorder="1"/>
    <xf numFmtId="0" fontId="4" fillId="5" borderId="4" xfId="0" applyFont="1" applyFill="1" applyBorder="1"/>
    <xf numFmtId="0" fontId="5" fillId="0" borderId="0" xfId="0" applyFont="1" applyAlignment="1">
      <alignment horizontal="center"/>
    </xf>
    <xf numFmtId="0" fontId="4" fillId="5" borderId="0" xfId="0" applyFont="1" applyFill="1" applyAlignment="1">
      <alignment horizontal="left" indent="4"/>
    </xf>
    <xf numFmtId="0" fontId="6" fillId="5" borderId="0" xfId="0" applyFont="1" applyFill="1" applyAlignment="1">
      <alignment horizontal="left" indent="6"/>
    </xf>
    <xf numFmtId="0" fontId="4" fillId="5" borderId="0" xfId="0" applyFont="1" applyFill="1" applyAlignment="1">
      <alignment horizontal="left" indent="7"/>
    </xf>
    <xf numFmtId="0" fontId="6" fillId="5" borderId="0" xfId="0" applyFont="1" applyFill="1" applyAlignment="1">
      <alignment horizontal="left" indent="3"/>
    </xf>
    <xf numFmtId="0" fontId="4" fillId="5" borderId="0" xfId="0" applyFont="1" applyFill="1" applyAlignment="1">
      <alignment horizontal="left" indent="1"/>
    </xf>
    <xf numFmtId="49" fontId="12" fillId="0" borderId="4" xfId="0" applyNumberFormat="1" applyFont="1" applyBorder="1" applyAlignment="1">
      <alignment horizontal="center" vertical="center"/>
    </xf>
    <xf numFmtId="170" fontId="13" fillId="0" borderId="4" xfId="0" applyNumberFormat="1" applyFont="1" applyBorder="1" applyAlignment="1">
      <alignment horizontal="right" vertical="center"/>
    </xf>
    <xf numFmtId="0" fontId="12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right" vertical="center"/>
    </xf>
    <xf numFmtId="0" fontId="14" fillId="0" borderId="4" xfId="0" applyFont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right" vertical="center"/>
    </xf>
    <xf numFmtId="0" fontId="15" fillId="0" borderId="12" xfId="0" applyFont="1" applyBorder="1" applyAlignment="1">
      <alignment horizontal="right" vertical="center"/>
    </xf>
    <xf numFmtId="170" fontId="14" fillId="0" borderId="12" xfId="0" applyNumberFormat="1" applyFont="1" applyBorder="1" applyAlignment="1">
      <alignment horizontal="right" vertical="center"/>
    </xf>
    <xf numFmtId="49" fontId="14" fillId="0" borderId="4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164" fontId="5" fillId="0" borderId="4" xfId="0" applyNumberFormat="1" applyFont="1" applyBorder="1"/>
    <xf numFmtId="10" fontId="5" fillId="0" borderId="0" xfId="0" applyNumberFormat="1" applyFont="1"/>
    <xf numFmtId="0" fontId="5" fillId="0" borderId="8" xfId="0" applyFont="1" applyBorder="1" applyAlignment="1">
      <alignment horizontal="center"/>
    </xf>
    <xf numFmtId="0" fontId="14" fillId="0" borderId="4" xfId="0" applyFont="1" applyBorder="1"/>
    <xf numFmtId="0" fontId="15" fillId="0" borderId="4" xfId="0" applyFont="1" applyBorder="1"/>
    <xf numFmtId="164" fontId="5" fillId="4" borderId="6" xfId="1" applyNumberFormat="1" applyFont="1" applyFill="1" applyBorder="1"/>
    <xf numFmtId="0" fontId="15" fillId="0" borderId="0" xfId="0" applyFont="1"/>
    <xf numFmtId="0" fontId="15" fillId="0" borderId="0" xfId="0" applyFont="1" applyAlignment="1">
      <alignment horizontal="left"/>
    </xf>
    <xf numFmtId="0" fontId="14" fillId="0" borderId="4" xfId="0" applyFont="1" applyBorder="1" applyAlignment="1">
      <alignment horizontal="center"/>
    </xf>
    <xf numFmtId="12" fontId="14" fillId="0" borderId="4" xfId="0" applyNumberFormat="1" applyFont="1" applyBorder="1"/>
    <xf numFmtId="12" fontId="14" fillId="0" borderId="6" xfId="0" applyNumberFormat="1" applyFont="1" applyBorder="1"/>
    <xf numFmtId="0" fontId="14" fillId="4" borderId="4" xfId="0" applyFont="1" applyFill="1" applyBorder="1"/>
    <xf numFmtId="0" fontId="15" fillId="4" borderId="4" xfId="0" applyFont="1" applyFill="1" applyBorder="1"/>
    <xf numFmtId="0" fontId="15" fillId="4" borderId="6" xfId="0" applyFont="1" applyFill="1" applyBorder="1"/>
    <xf numFmtId="0" fontId="14" fillId="0" borderId="6" xfId="0" applyFont="1" applyBorder="1"/>
    <xf numFmtId="0" fontId="15" fillId="0" borderId="6" xfId="0" applyFont="1" applyBorder="1"/>
    <xf numFmtId="164" fontId="14" fillId="0" borderId="4" xfId="1" applyNumberFormat="1" applyFont="1" applyBorder="1"/>
    <xf numFmtId="164" fontId="14" fillId="0" borderId="6" xfId="1" applyNumberFormat="1" applyFont="1" applyBorder="1"/>
    <xf numFmtId="164" fontId="15" fillId="0" borderId="4" xfId="1" applyNumberFormat="1" applyFont="1" applyBorder="1"/>
    <xf numFmtId="164" fontId="15" fillId="0" borderId="6" xfId="1" applyNumberFormat="1" applyFont="1" applyBorder="1"/>
    <xf numFmtId="164" fontId="14" fillId="0" borderId="4" xfId="1" applyNumberFormat="1" applyFont="1" applyFill="1" applyBorder="1"/>
    <xf numFmtId="164" fontId="14" fillId="0" borderId="6" xfId="1" applyNumberFormat="1" applyFont="1" applyFill="1" applyBorder="1"/>
    <xf numFmtId="164" fontId="14" fillId="4" borderId="4" xfId="1" applyNumberFormat="1" applyFont="1" applyFill="1" applyBorder="1"/>
    <xf numFmtId="164" fontId="14" fillId="4" borderId="6" xfId="1" applyNumberFormat="1" applyFont="1" applyFill="1" applyBorder="1"/>
    <xf numFmtId="0" fontId="14" fillId="0" borderId="0" xfId="0" applyFont="1"/>
    <xf numFmtId="0" fontId="15" fillId="0" borderId="0" xfId="0" applyFont="1" applyAlignment="1">
      <alignment horizontal="left" indent="7"/>
    </xf>
    <xf numFmtId="164" fontId="15" fillId="0" borderId="4" xfId="0" applyNumberFormat="1" applyFont="1" applyBorder="1"/>
    <xf numFmtId="164" fontId="15" fillId="0" borderId="6" xfId="0" applyNumberFormat="1" applyFont="1" applyBorder="1"/>
    <xf numFmtId="164" fontId="14" fillId="0" borderId="4" xfId="0" applyNumberFormat="1" applyFont="1" applyBorder="1"/>
    <xf numFmtId="164" fontId="14" fillId="0" borderId="6" xfId="0" applyNumberFormat="1" applyFont="1" applyBorder="1"/>
    <xf numFmtId="169" fontId="15" fillId="0" borderId="4" xfId="0" applyNumberFormat="1" applyFont="1" applyBorder="1"/>
    <xf numFmtId="169" fontId="15" fillId="0" borderId="6" xfId="0" applyNumberFormat="1" applyFont="1" applyBorder="1"/>
    <xf numFmtId="0" fontId="16" fillId="0" borderId="4" xfId="0" applyFont="1" applyBorder="1"/>
    <xf numFmtId="164" fontId="16" fillId="0" borderId="4" xfId="0" applyNumberFormat="1" applyFont="1" applyBorder="1"/>
    <xf numFmtId="164" fontId="16" fillId="0" borderId="6" xfId="0" applyNumberFormat="1" applyFont="1" applyBorder="1"/>
    <xf numFmtId="0" fontId="15" fillId="0" borderId="0" xfId="0" applyFont="1" applyAlignment="1">
      <alignment horizontal="left" indent="1"/>
    </xf>
    <xf numFmtId="0" fontId="14" fillId="0" borderId="0" xfId="0" applyFont="1" applyAlignment="1">
      <alignment horizontal="left"/>
    </xf>
    <xf numFmtId="1" fontId="15" fillId="0" borderId="4" xfId="0" applyNumberFormat="1" applyFont="1" applyBorder="1"/>
    <xf numFmtId="1" fontId="14" fillId="0" borderId="4" xfId="0" applyNumberFormat="1" applyFont="1" applyBorder="1"/>
    <xf numFmtId="0" fontId="15" fillId="0" borderId="4" xfId="0" applyFont="1" applyBorder="1" applyAlignment="1">
      <alignment horizontal="left"/>
    </xf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left" indent="1"/>
    </xf>
    <xf numFmtId="0" fontId="14" fillId="0" borderId="4" xfId="0" applyFont="1" applyBorder="1" applyAlignment="1">
      <alignment horizontal="left"/>
    </xf>
    <xf numFmtId="3" fontId="15" fillId="0" borderId="4" xfId="0" applyNumberFormat="1" applyFont="1" applyBorder="1"/>
    <xf numFmtId="164" fontId="14" fillId="0" borderId="4" xfId="1" applyNumberFormat="1" applyFont="1" applyBorder="1" applyAlignment="1"/>
    <xf numFmtId="1" fontId="5" fillId="0" borderId="4" xfId="0" applyNumberFormat="1" applyFont="1" applyBorder="1"/>
    <xf numFmtId="171" fontId="4" fillId="0" borderId="4" xfId="0" applyNumberFormat="1" applyFont="1" applyBorder="1"/>
    <xf numFmtId="43" fontId="4" fillId="0" borderId="0" xfId="1" applyFont="1"/>
    <xf numFmtId="1" fontId="4" fillId="0" borderId="6" xfId="0" applyNumberFormat="1" applyFont="1" applyBorder="1"/>
    <xf numFmtId="165" fontId="5" fillId="4" borderId="6" xfId="2" applyNumberFormat="1" applyFont="1" applyFill="1" applyBorder="1"/>
    <xf numFmtId="43" fontId="4" fillId="0" borderId="4" xfId="1" applyFont="1" applyBorder="1"/>
    <xf numFmtId="12" fontId="5" fillId="0" borderId="9" xfId="0" applyNumberFormat="1" applyFont="1" applyBorder="1" applyAlignment="1">
      <alignment horizontal="center"/>
    </xf>
    <xf numFmtId="170" fontId="4" fillId="0" borderId="4" xfId="0" applyNumberFormat="1" applyFont="1" applyBorder="1"/>
    <xf numFmtId="0" fontId="4" fillId="0" borderId="4" xfId="0" applyFont="1" applyBorder="1" applyAlignment="1">
      <alignment horizontal="left"/>
    </xf>
    <xf numFmtId="0" fontId="5" fillId="0" borderId="9" xfId="0" applyFont="1" applyBorder="1"/>
    <xf numFmtId="0" fontId="4" fillId="0" borderId="9" xfId="0" applyFont="1" applyBorder="1"/>
    <xf numFmtId="2" fontId="5" fillId="0" borderId="4" xfId="0" applyNumberFormat="1" applyFont="1" applyBorder="1"/>
    <xf numFmtId="1" fontId="5" fillId="0" borderId="6" xfId="0" applyNumberFormat="1" applyFont="1" applyBorder="1"/>
    <xf numFmtId="9" fontId="4" fillId="0" borderId="6" xfId="0" applyNumberFormat="1" applyFont="1" applyBorder="1"/>
    <xf numFmtId="2" fontId="4" fillId="0" borderId="6" xfId="0" applyNumberFormat="1" applyFont="1" applyBorder="1"/>
    <xf numFmtId="43" fontId="4" fillId="0" borderId="6" xfId="1" applyFont="1" applyBorder="1"/>
    <xf numFmtId="169" fontId="4" fillId="0" borderId="6" xfId="0" applyNumberFormat="1" applyFont="1" applyBorder="1"/>
    <xf numFmtId="164" fontId="5" fillId="0" borderId="6" xfId="0" applyNumberFormat="1" applyFont="1" applyBorder="1"/>
    <xf numFmtId="0" fontId="5" fillId="0" borderId="6" xfId="0" applyFont="1" applyBorder="1"/>
    <xf numFmtId="165" fontId="4" fillId="0" borderId="6" xfId="0" applyNumberFormat="1" applyFont="1" applyBorder="1"/>
    <xf numFmtId="3" fontId="4" fillId="0" borderId="6" xfId="0" applyNumberFormat="1" applyFont="1" applyBorder="1"/>
    <xf numFmtId="0" fontId="5" fillId="0" borderId="9" xfId="0" applyFont="1" applyBorder="1" applyAlignment="1">
      <alignment horizontal="center"/>
    </xf>
    <xf numFmtId="1" fontId="4" fillId="0" borderId="9" xfId="0" applyNumberFormat="1" applyFont="1" applyBorder="1"/>
    <xf numFmtId="165" fontId="4" fillId="0" borderId="9" xfId="0" applyNumberFormat="1" applyFont="1" applyBorder="1"/>
    <xf numFmtId="0" fontId="18" fillId="0" borderId="0" xfId="4"/>
    <xf numFmtId="173" fontId="0" fillId="0" borderId="0" xfId="0" applyNumberFormat="1" applyAlignment="1">
      <alignment horizontal="right"/>
    </xf>
    <xf numFmtId="0" fontId="9" fillId="3" borderId="0" xfId="0" applyFont="1" applyFill="1" applyAlignment="1">
      <alignment horizontal="right"/>
    </xf>
    <xf numFmtId="169" fontId="0" fillId="0" borderId="0" xfId="0" applyNumberFormat="1" applyAlignment="1">
      <alignment horizontal="right"/>
    </xf>
    <xf numFmtId="173" fontId="0" fillId="3" borderId="0" xfId="0" applyNumberFormat="1" applyFill="1" applyAlignment="1">
      <alignment horizontal="right"/>
    </xf>
    <xf numFmtId="174" fontId="0" fillId="0" borderId="0" xfId="0" applyNumberFormat="1" applyAlignment="1">
      <alignment horizontal="right"/>
    </xf>
    <xf numFmtId="174" fontId="0" fillId="3" borderId="0" xfId="0" applyNumberFormat="1" applyFill="1" applyAlignment="1">
      <alignment horizontal="right"/>
    </xf>
    <xf numFmtId="169" fontId="9" fillId="3" borderId="0" xfId="0" applyNumberFormat="1" applyFont="1" applyFill="1" applyAlignment="1">
      <alignment horizontal="right"/>
    </xf>
    <xf numFmtId="175" fontId="9" fillId="3" borderId="0" xfId="0" applyNumberFormat="1" applyFont="1" applyFill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80" fontId="0" fillId="3" borderId="0" xfId="0" applyNumberFormat="1" applyFill="1" applyAlignment="1">
      <alignment horizontal="right"/>
    </xf>
    <xf numFmtId="181" fontId="0" fillId="3" borderId="0" xfId="0" applyNumberFormat="1" applyFill="1" applyAlignment="1">
      <alignment horizontal="right"/>
    </xf>
    <xf numFmtId="178" fontId="0" fillId="3" borderId="0" xfId="0" applyNumberFormat="1" applyFill="1" applyAlignment="1">
      <alignment horizontal="right"/>
    </xf>
    <xf numFmtId="182" fontId="0" fillId="3" borderId="0" xfId="0" applyNumberFormat="1" applyFill="1" applyAlignment="1">
      <alignment horizontal="right"/>
    </xf>
    <xf numFmtId="182" fontId="10" fillId="3" borderId="0" xfId="0" applyNumberFormat="1" applyFont="1" applyFill="1" applyAlignment="1">
      <alignment horizontal="right"/>
    </xf>
    <xf numFmtId="183" fontId="0" fillId="0" borderId="0" xfId="0" applyNumberFormat="1" applyAlignment="1">
      <alignment horizontal="right"/>
    </xf>
    <xf numFmtId="184" fontId="0" fillId="0" borderId="0" xfId="0" applyNumberFormat="1" applyAlignment="1">
      <alignment horizontal="right"/>
    </xf>
    <xf numFmtId="182" fontId="0" fillId="0" borderId="0" xfId="0" applyNumberFormat="1" applyAlignment="1">
      <alignment horizontal="right"/>
    </xf>
    <xf numFmtId="185" fontId="0" fillId="0" borderId="0" xfId="0" applyNumberFormat="1" applyAlignment="1">
      <alignment horizontal="right"/>
    </xf>
    <xf numFmtId="176" fontId="0" fillId="3" borderId="0" xfId="0" applyNumberFormat="1" applyFill="1" applyAlignment="1">
      <alignment horizontal="right"/>
    </xf>
    <xf numFmtId="186" fontId="0" fillId="3" borderId="0" xfId="0" applyNumberFormat="1" applyFill="1" applyAlignment="1">
      <alignment horizontal="right"/>
    </xf>
    <xf numFmtId="179" fontId="0" fillId="3" borderId="0" xfId="0" applyNumberFormat="1" applyFill="1" applyAlignment="1">
      <alignment horizontal="right"/>
    </xf>
    <xf numFmtId="187" fontId="0" fillId="0" borderId="0" xfId="0" applyNumberFormat="1" applyAlignment="1">
      <alignment horizontal="right"/>
    </xf>
    <xf numFmtId="186" fontId="0" fillId="0" borderId="0" xfId="0" applyNumberFormat="1" applyAlignment="1">
      <alignment horizontal="right"/>
    </xf>
    <xf numFmtId="188" fontId="0" fillId="0" borderId="0" xfId="0" applyNumberFormat="1" applyAlignment="1">
      <alignment horizontal="right"/>
    </xf>
    <xf numFmtId="189" fontId="0" fillId="3" borderId="0" xfId="0" applyNumberFormat="1" applyFill="1" applyAlignment="1">
      <alignment horizontal="right"/>
    </xf>
    <xf numFmtId="190" fontId="0" fillId="3" borderId="0" xfId="0" applyNumberFormat="1" applyFill="1" applyAlignment="1">
      <alignment horizontal="right"/>
    </xf>
    <xf numFmtId="189" fontId="0" fillId="0" borderId="0" xfId="0" applyNumberFormat="1" applyAlignment="1">
      <alignment horizontal="right"/>
    </xf>
    <xf numFmtId="191" fontId="0" fillId="3" borderId="0" xfId="0" applyNumberFormat="1" applyFill="1" applyAlignment="1">
      <alignment horizontal="right"/>
    </xf>
    <xf numFmtId="192" fontId="0" fillId="3" borderId="0" xfId="0" applyNumberFormat="1" applyFill="1" applyAlignment="1">
      <alignment horizontal="right"/>
    </xf>
    <xf numFmtId="181" fontId="0" fillId="0" borderId="0" xfId="0" applyNumberFormat="1" applyAlignment="1">
      <alignment horizontal="right"/>
    </xf>
    <xf numFmtId="190" fontId="0" fillId="0" borderId="0" xfId="0" applyNumberFormat="1" applyAlignment="1">
      <alignment horizontal="right"/>
    </xf>
    <xf numFmtId="187" fontId="0" fillId="3" borderId="0" xfId="0" applyNumberFormat="1" applyFill="1" applyAlignment="1">
      <alignment horizontal="right"/>
    </xf>
    <xf numFmtId="177" fontId="0" fillId="3" borderId="0" xfId="0" applyNumberFormat="1" applyFill="1" applyAlignment="1">
      <alignment horizontal="right"/>
    </xf>
    <xf numFmtId="193" fontId="0" fillId="0" borderId="0" xfId="0" applyNumberFormat="1" applyAlignment="1">
      <alignment horizontal="right"/>
    </xf>
    <xf numFmtId="194" fontId="0" fillId="0" borderId="0" xfId="0" applyNumberFormat="1" applyAlignment="1">
      <alignment horizontal="right"/>
    </xf>
    <xf numFmtId="188" fontId="0" fillId="3" borderId="0" xfId="0" applyNumberFormat="1" applyFill="1" applyAlignment="1">
      <alignment horizontal="right"/>
    </xf>
    <xf numFmtId="195" fontId="0" fillId="3" borderId="0" xfId="0" applyNumberFormat="1" applyFill="1" applyAlignment="1">
      <alignment horizontal="right"/>
    </xf>
    <xf numFmtId="196" fontId="0" fillId="0" borderId="0" xfId="0" applyNumberFormat="1" applyAlignment="1">
      <alignment horizontal="right"/>
    </xf>
    <xf numFmtId="192" fontId="0" fillId="0" borderId="0" xfId="0" applyNumberFormat="1" applyAlignment="1">
      <alignment horizontal="right"/>
    </xf>
    <xf numFmtId="184" fontId="0" fillId="3" borderId="0" xfId="0" applyNumberFormat="1" applyFill="1" applyAlignment="1">
      <alignment horizontal="right"/>
    </xf>
    <xf numFmtId="197" fontId="0" fillId="3" borderId="0" xfId="0" applyNumberFormat="1" applyFill="1" applyAlignment="1">
      <alignment horizontal="right"/>
    </xf>
    <xf numFmtId="185" fontId="0" fillId="3" borderId="0" xfId="0" applyNumberFormat="1" applyFill="1" applyAlignment="1">
      <alignment horizontal="right"/>
    </xf>
    <xf numFmtId="198" fontId="0" fillId="0" borderId="0" xfId="0" applyNumberFormat="1" applyAlignment="1">
      <alignment horizontal="right"/>
    </xf>
    <xf numFmtId="199" fontId="0" fillId="0" borderId="0" xfId="0" applyNumberFormat="1" applyAlignment="1">
      <alignment horizontal="right"/>
    </xf>
    <xf numFmtId="187" fontId="9" fillId="3" borderId="0" xfId="0" applyNumberFormat="1" applyFont="1" applyFill="1" applyAlignment="1">
      <alignment horizontal="right"/>
    </xf>
    <xf numFmtId="187" fontId="10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00" fontId="0" fillId="0" borderId="0" xfId="0" applyNumberFormat="1" applyAlignment="1">
      <alignment horizontal="right"/>
    </xf>
    <xf numFmtId="0" fontId="0" fillId="3" borderId="0" xfId="0" applyFill="1" applyAlignment="1">
      <alignment horizontal="right"/>
    </xf>
    <xf numFmtId="201" fontId="0" fillId="0" borderId="0" xfId="0" applyNumberFormat="1" applyAlignment="1">
      <alignment horizontal="right"/>
    </xf>
    <xf numFmtId="177" fontId="5" fillId="0" borderId="0" xfId="0" applyNumberFormat="1" applyFont="1"/>
    <xf numFmtId="0" fontId="19" fillId="0" borderId="14" xfId="0" applyFont="1" applyBorder="1" applyAlignment="1">
      <alignment horizontal="left"/>
    </xf>
    <xf numFmtId="4" fontId="19" fillId="0" borderId="14" xfId="0" applyNumberFormat="1" applyFont="1" applyBorder="1"/>
    <xf numFmtId="174" fontId="19" fillId="0" borderId="14" xfId="0" applyNumberFormat="1" applyFont="1" applyBorder="1"/>
    <xf numFmtId="0" fontId="20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/>
    </xf>
    <xf numFmtId="0" fontId="21" fillId="0" borderId="14" xfId="0" applyFont="1" applyBorder="1"/>
    <xf numFmtId="174" fontId="21" fillId="0" borderId="14" xfId="0" applyNumberFormat="1" applyFont="1" applyBorder="1"/>
    <xf numFmtId="4" fontId="21" fillId="0" borderId="14" xfId="0" applyNumberFormat="1" applyFont="1" applyBorder="1"/>
    <xf numFmtId="202" fontId="21" fillId="0" borderId="14" xfId="0" applyNumberFormat="1" applyFont="1" applyBorder="1"/>
    <xf numFmtId="0" fontId="20" fillId="0" borderId="14" xfId="0" applyFont="1" applyBorder="1"/>
    <xf numFmtId="174" fontId="20" fillId="0" borderId="14" xfId="0" applyNumberFormat="1" applyFont="1" applyBorder="1"/>
    <xf numFmtId="203" fontId="21" fillId="0" borderId="14" xfId="0" applyNumberFormat="1" applyFont="1" applyBorder="1"/>
    <xf numFmtId="0" fontId="20" fillId="0" borderId="13" xfId="0" applyFont="1" applyBorder="1" applyAlignment="1">
      <alignment horizontal="center" vertical="center"/>
    </xf>
    <xf numFmtId="9" fontId="15" fillId="0" borderId="0" xfId="0" applyNumberFormat="1" applyFont="1"/>
    <xf numFmtId="10" fontId="4" fillId="0" borderId="6" xfId="0" applyNumberFormat="1" applyFont="1" applyBorder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9" fontId="4" fillId="0" borderId="9" xfId="2" applyFont="1" applyFill="1" applyBorder="1"/>
    <xf numFmtId="4" fontId="4" fillId="0" borderId="4" xfId="0" applyNumberFormat="1" applyFont="1" applyBorder="1"/>
    <xf numFmtId="10" fontId="4" fillId="0" borderId="4" xfId="2" applyNumberFormat="1" applyFont="1" applyBorder="1"/>
    <xf numFmtId="165" fontId="15" fillId="0" borderId="4" xfId="2" applyNumberFormat="1" applyFont="1" applyBorder="1"/>
    <xf numFmtId="9" fontId="15" fillId="0" borderId="4" xfId="2" applyFont="1" applyBorder="1"/>
    <xf numFmtId="172" fontId="19" fillId="0" borderId="14" xfId="0" applyNumberFormat="1" applyFont="1" applyBorder="1"/>
    <xf numFmtId="0" fontId="9" fillId="0" borderId="0" xfId="0" applyFont="1" applyAlignment="1">
      <alignment horizontal="right"/>
    </xf>
    <xf numFmtId="175" fontId="9" fillId="0" borderId="0" xfId="0" applyNumberFormat="1" applyFont="1" applyAlignment="1">
      <alignment horizontal="right"/>
    </xf>
    <xf numFmtId="180" fontId="0" fillId="0" borderId="0" xfId="0" applyNumberFormat="1" applyAlignment="1">
      <alignment horizontal="right"/>
    </xf>
    <xf numFmtId="182" fontId="10" fillId="0" borderId="0" xfId="0" applyNumberFormat="1" applyFont="1" applyAlignment="1">
      <alignment horizontal="right"/>
    </xf>
    <xf numFmtId="191" fontId="0" fillId="0" borderId="0" xfId="0" applyNumberFormat="1" applyAlignment="1">
      <alignment horizontal="right"/>
    </xf>
    <xf numFmtId="195" fontId="0" fillId="0" borderId="0" xfId="0" applyNumberFormat="1" applyAlignment="1">
      <alignment horizontal="right"/>
    </xf>
    <xf numFmtId="197" fontId="0" fillId="0" borderId="0" xfId="0" applyNumberFormat="1" applyAlignment="1">
      <alignment horizontal="right"/>
    </xf>
    <xf numFmtId="187" fontId="9" fillId="0" borderId="0" xfId="0" applyNumberFormat="1" applyFont="1" applyAlignment="1">
      <alignment horizontal="right"/>
    </xf>
    <xf numFmtId="165" fontId="4" fillId="0" borderId="0" xfId="2" applyNumberFormat="1" applyFont="1" applyBorder="1"/>
    <xf numFmtId="171" fontId="4" fillId="0" borderId="0" xfId="0" applyNumberFormat="1" applyFont="1"/>
    <xf numFmtId="164" fontId="5" fillId="0" borderId="4" xfId="1" applyNumberFormat="1" applyFont="1" applyBorder="1" applyAlignment="1">
      <alignment horizontal="left" vertical="top"/>
    </xf>
    <xf numFmtId="10" fontId="4" fillId="0" borderId="0" xfId="2" applyNumberFormat="1" applyFont="1"/>
    <xf numFmtId="172" fontId="4" fillId="0" borderId="4" xfId="0" applyNumberFormat="1" applyFont="1" applyBorder="1"/>
    <xf numFmtId="165" fontId="5" fillId="0" borderId="0" xfId="0" applyNumberFormat="1" applyFont="1"/>
    <xf numFmtId="0" fontId="5" fillId="0" borderId="15" xfId="0" applyFont="1" applyBorder="1"/>
    <xf numFmtId="165" fontId="5" fillId="0" borderId="4" xfId="0" applyNumberFormat="1" applyFont="1" applyBorder="1"/>
    <xf numFmtId="10" fontId="5" fillId="6" borderId="4" xfId="2" applyNumberFormat="1" applyFont="1" applyFill="1" applyBorder="1"/>
    <xf numFmtId="164" fontId="4" fillId="0" borderId="15" xfId="1" applyNumberFormat="1" applyFont="1" applyBorder="1"/>
    <xf numFmtId="171" fontId="5" fillId="0" borderId="4" xfId="0" applyNumberFormat="1" applyFont="1" applyBorder="1"/>
    <xf numFmtId="171" fontId="5" fillId="7" borderId="4" xfId="0" applyNumberFormat="1" applyFont="1" applyFill="1" applyBorder="1"/>
    <xf numFmtId="0" fontId="15" fillId="0" borderId="0" xfId="0" applyFont="1" applyAlignment="1">
      <alignment horizontal="right" vertical="center"/>
    </xf>
    <xf numFmtId="170" fontId="1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6" fillId="0" borderId="0" xfId="0" applyFont="1"/>
    <xf numFmtId="0" fontId="5" fillId="0" borderId="7" xfId="0" applyFont="1" applyBorder="1" applyAlignment="1">
      <alignment horizontal="center"/>
    </xf>
    <xf numFmtId="12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7" xfId="0" applyFont="1" applyBorder="1" applyAlignment="1">
      <alignment horizontal="center"/>
    </xf>
    <xf numFmtId="0" fontId="14" fillId="0" borderId="0" xfId="0" applyFont="1"/>
  </cellXfs>
  <cellStyles count="5">
    <cellStyle name="Comma" xfId="1" builtinId="3"/>
    <cellStyle name="Hyperlink" xfId="4" builtinId="8"/>
    <cellStyle name="Normal" xfId="0" builtinId="0"/>
    <cellStyle name="Normal 2" xfId="3" xr:uid="{FCBBF7D3-1170-4D56-8010-77DF2C4ACD22}"/>
    <cellStyle name="Percent" xfId="2" builtinId="5"/>
  </cellStyles>
  <dxfs count="1">
    <dxf>
      <font>
        <color theme="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11</xdr:row>
      <xdr:rowOff>0</xdr:rowOff>
    </xdr:from>
    <xdr:to>
      <xdr:col>14</xdr:col>
      <xdr:colOff>0</xdr:colOff>
      <xdr:row>16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69DEE5-3392-104F-A8BB-4E8A487C5172}"/>
            </a:ext>
          </a:extLst>
        </xdr:cNvPr>
        <xdr:cNvSpPr txBox="1"/>
      </xdr:nvSpPr>
      <xdr:spPr>
        <a:xfrm>
          <a:off x="6924675" y="1962150"/>
          <a:ext cx="4638675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The US Treasury yield prevailing in June 2023 at the time the settlement was legally finalised, used as the risk-free discount rate to present-value the $12.5 billion nominal payment stream because the obligation is legally certain and carries no business risk premium.</a:t>
          </a:r>
        </a:p>
      </xdr:txBody>
    </xdr:sp>
    <xdr:clientData/>
  </xdr:twoCellAnchor>
  <xdr:twoCellAnchor>
    <xdr:from>
      <xdr:col>6</xdr:col>
      <xdr:colOff>9525</xdr:colOff>
      <xdr:row>30</xdr:row>
      <xdr:rowOff>9525</xdr:rowOff>
    </xdr:from>
    <xdr:to>
      <xdr:col>13</xdr:col>
      <xdr:colOff>561975</xdr:colOff>
      <xdr:row>34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7A7F50-EFB9-AF8A-C184-EE04FFC64CBA}"/>
            </a:ext>
          </a:extLst>
        </xdr:cNvPr>
        <xdr:cNvSpPr txBox="1"/>
      </xdr:nvSpPr>
      <xdr:spPr>
        <a:xfrm>
          <a:off x="6924675" y="5067300"/>
          <a:ext cx="4619625" cy="904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The US Treasury yield matching the shorter 2023–2029 payment horizon at the time the $6 billion settlement was struck in August 2023, reflecting the lower risk-free rate applicable to the nearer-term, shorter-duration payment schedule.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rth" id="{322F3B40-9975-4A3D-86AB-AD70907AD039}" userId="Parth" providerId="None"/>
  <person displayName="Purva Bhatia" id="{BD5232C6-EEC1-4A18-80CB-F3724CDF5505}" userId="S::purva.bhatia@sjsu.edu::60caa5cb-5e46-454a-8e42-0fccf47dec4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2" dT="2026-05-31T21:15:29.96" personId="{322F3B40-9975-4A3D-86AB-AD70907AD039}" id="{F6BAE617-C3C3-4800-884F-4E04A39F1A77}">
    <text>Shares held flat (no buybacks modeled) — consistent with the unmodeled-capital-return cash note. No valuation impact: per-share value uses the current 530.3M count.</text>
  </threadedComment>
  <threadedComment ref="I70" dT="2026-05-31T20:44:41.50" personId="{322F3B40-9975-4A3D-86AB-AD70907AD039}" id="{80C2DCFF-28CE-426D-9579-F656149900B9}">
    <text>Health Care is excluded from 2023 to match restated continuing-operations revenue.</text>
  </threadedComment>
  <threadedComment ref="L100" dT="2026-04-18T01:56:10.52" personId="{BD5232C6-EEC1-4A18-80CB-F3724CDF5505}" id="{F3F455E1-4F7D-4EC1-BE6E-991A300A2000}">
    <text>Hardcoded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nvestors.3m.com/financials/sec-filings/content/0000066740-23-000048/0000066740-23-00004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A8F4-6120-44C1-8229-909E20EF8812}">
  <dimension ref="A2:G14"/>
  <sheetViews>
    <sheetView workbookViewId="0">
      <selection activeCell="D21" sqref="D21"/>
    </sheetView>
  </sheetViews>
  <sheetFormatPr defaultColWidth="8.7109375" defaultRowHeight="12.75" x14ac:dyDescent="0.2"/>
  <cols>
    <col min="1" max="1" width="11.5703125" style="6" customWidth="1"/>
    <col min="2" max="2" width="25.140625" style="6" customWidth="1"/>
    <col min="3" max="16384" width="8.7109375" style="6"/>
  </cols>
  <sheetData>
    <row r="2" spans="1:7" x14ac:dyDescent="0.2">
      <c r="A2" s="50" t="s">
        <v>226</v>
      </c>
      <c r="B2" s="6" t="s">
        <v>851</v>
      </c>
      <c r="G2" s="289">
        <f>'IS-Reorg'!L75</f>
        <v>0.03</v>
      </c>
    </row>
    <row r="3" spans="1:7" x14ac:dyDescent="0.2">
      <c r="A3" s="6" t="s">
        <v>853</v>
      </c>
    </row>
    <row r="5" spans="1:7" x14ac:dyDescent="0.2">
      <c r="A5" s="50" t="s">
        <v>315</v>
      </c>
      <c r="B5" s="98">
        <f>WACC!D28</f>
        <v>8.0560348273465546E-2</v>
      </c>
      <c r="C5" s="6" t="s">
        <v>378</v>
      </c>
    </row>
    <row r="6" spans="1:7" x14ac:dyDescent="0.2">
      <c r="A6" s="6" t="s">
        <v>379</v>
      </c>
    </row>
    <row r="8" spans="1:7" x14ac:dyDescent="0.2">
      <c r="A8" s="50" t="s">
        <v>380</v>
      </c>
    </row>
    <row r="9" spans="1:7" x14ac:dyDescent="0.2">
      <c r="A9" s="6" t="s">
        <v>383</v>
      </c>
    </row>
    <row r="10" spans="1:7" x14ac:dyDescent="0.2">
      <c r="A10" s="6" t="s">
        <v>381</v>
      </c>
    </row>
    <row r="11" spans="1:7" x14ac:dyDescent="0.2">
      <c r="A11" s="6" t="s">
        <v>382</v>
      </c>
    </row>
    <row r="13" spans="1:7" x14ac:dyDescent="0.2">
      <c r="A13" s="6" t="s">
        <v>384</v>
      </c>
    </row>
    <row r="14" spans="1:7" x14ac:dyDescent="0.2">
      <c r="A14" s="6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CEDF-CBF7-451F-909D-8E96C7F93D26}">
  <dimension ref="A1:Y156"/>
  <sheetViews>
    <sheetView zoomScale="84" zoomScaleNormal="100" workbookViewId="0">
      <selection activeCell="A24" sqref="A24"/>
    </sheetView>
  </sheetViews>
  <sheetFormatPr defaultColWidth="8.7109375" defaultRowHeight="12.75" x14ac:dyDescent="0.2"/>
  <cols>
    <col min="1" max="1" width="45.5703125" style="6" customWidth="1"/>
    <col min="2" max="5" width="10.140625" style="6" customWidth="1"/>
    <col min="6" max="11" width="10.140625" style="6" bestFit="1" customWidth="1"/>
    <col min="12" max="12" width="10.140625" style="6" customWidth="1"/>
    <col min="13" max="13" width="10" style="6" customWidth="1"/>
    <col min="14" max="18" width="9.42578125" style="6" bestFit="1" customWidth="1"/>
    <col min="19" max="19" width="12.42578125" style="6" bestFit="1" customWidth="1"/>
    <col min="20" max="22" width="9.42578125" style="6" bestFit="1" customWidth="1"/>
    <col min="23" max="23" width="15" style="6" customWidth="1"/>
    <col min="24" max="24" width="18.140625" style="6" customWidth="1"/>
    <col min="25" max="25" width="14.5703125" style="6" customWidth="1"/>
    <col min="26" max="16384" width="8.7109375" style="6"/>
  </cols>
  <sheetData>
    <row r="1" spans="1:25" x14ac:dyDescent="0.2">
      <c r="B1" s="301" t="s">
        <v>198</v>
      </c>
      <c r="C1" s="301"/>
      <c r="D1" s="301"/>
      <c r="E1" s="301"/>
      <c r="F1" s="301"/>
      <c r="G1" s="301"/>
      <c r="H1" s="301"/>
      <c r="I1" s="301"/>
      <c r="J1" s="301"/>
      <c r="K1" s="301"/>
      <c r="L1" s="301" t="s">
        <v>196</v>
      </c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82"/>
    </row>
    <row r="2" spans="1:25" x14ac:dyDescent="0.2">
      <c r="A2" s="81" t="s">
        <v>191</v>
      </c>
      <c r="B2" s="49">
        <v>2016</v>
      </c>
      <c r="C2" s="49">
        <v>2017</v>
      </c>
      <c r="D2" s="49">
        <f>C2+1</f>
        <v>2018</v>
      </c>
      <c r="E2" s="49">
        <f t="shared" ref="E2:K2" si="0">D2+1</f>
        <v>2019</v>
      </c>
      <c r="F2" s="49">
        <f t="shared" si="0"/>
        <v>2020</v>
      </c>
      <c r="G2" s="49">
        <f t="shared" si="0"/>
        <v>2021</v>
      </c>
      <c r="H2" s="49">
        <f t="shared" si="0"/>
        <v>2022</v>
      </c>
      <c r="I2" s="49">
        <f t="shared" si="0"/>
        <v>2023</v>
      </c>
      <c r="J2" s="49">
        <f t="shared" si="0"/>
        <v>2024</v>
      </c>
      <c r="K2" s="58">
        <f t="shared" si="0"/>
        <v>2025</v>
      </c>
      <c r="L2" s="64">
        <v>2026</v>
      </c>
      <c r="M2" s="64">
        <f>L2+1</f>
        <v>2027</v>
      </c>
      <c r="N2" s="64">
        <f t="shared" ref="N2:V2" si="1">M2+1</f>
        <v>2028</v>
      </c>
      <c r="O2" s="64">
        <f t="shared" si="1"/>
        <v>2029</v>
      </c>
      <c r="P2" s="64">
        <f t="shared" si="1"/>
        <v>2030</v>
      </c>
      <c r="Q2" s="64">
        <f t="shared" si="1"/>
        <v>2031</v>
      </c>
      <c r="R2" s="64">
        <f t="shared" si="1"/>
        <v>2032</v>
      </c>
      <c r="S2" s="64">
        <f t="shared" si="1"/>
        <v>2033</v>
      </c>
      <c r="T2" s="64">
        <f t="shared" si="1"/>
        <v>2034</v>
      </c>
      <c r="U2" s="64">
        <f t="shared" si="1"/>
        <v>2035</v>
      </c>
      <c r="V2" s="65">
        <f t="shared" si="1"/>
        <v>2036</v>
      </c>
      <c r="W2" s="180"/>
      <c r="X2" s="302" t="s">
        <v>230</v>
      </c>
      <c r="Y2" s="302"/>
    </row>
    <row r="3" spans="1:25" x14ac:dyDescent="0.2">
      <c r="A3" s="39" t="s">
        <v>179</v>
      </c>
      <c r="B3" s="37"/>
      <c r="C3" s="37"/>
      <c r="D3" s="37"/>
      <c r="E3" s="37"/>
      <c r="F3" s="37"/>
      <c r="G3" s="37"/>
      <c r="H3" s="37"/>
      <c r="I3" s="37"/>
      <c r="J3" s="37"/>
      <c r="K3" s="109"/>
      <c r="L3" s="37"/>
      <c r="M3" s="37"/>
      <c r="N3" s="37"/>
      <c r="O3" s="37"/>
      <c r="P3" s="37"/>
      <c r="Q3" s="37"/>
      <c r="R3" s="37"/>
      <c r="S3" s="37"/>
      <c r="T3" s="37"/>
      <c r="U3" s="37"/>
      <c r="V3" s="59"/>
      <c r="W3" s="184"/>
    </row>
    <row r="4" spans="1:25" x14ac:dyDescent="0.2">
      <c r="A4" s="39" t="str">
        <f>'3M-IS'!A8</f>
        <v>Sales</v>
      </c>
      <c r="B4" s="40">
        <f>VLOOKUP($A4,'3M-IS'!$A$8:$K$61,11,FALSE)</f>
        <v>30109</v>
      </c>
      <c r="C4" s="40">
        <f>VLOOKUP($A4,'3M-IS'!$A$8:$K$61,10,FALSE)</f>
        <v>31657</v>
      </c>
      <c r="D4" s="40">
        <f>VLOOKUP($A4,'3M-IS'!$A$8:$K$61,9,FALSE)</f>
        <v>32765</v>
      </c>
      <c r="E4" s="40">
        <f>VLOOKUP($A4,'3M-IS'!$A$8:$K$61,8,FALSE)</f>
        <v>32136</v>
      </c>
      <c r="F4" s="40">
        <f>VLOOKUP($A4,'3M-IS'!$A$8:$K$61,7,FALSE)</f>
        <v>32184</v>
      </c>
      <c r="G4" s="40">
        <f>VLOOKUP($A4,'3M-IS'!$A$8:$K$61,6,FALSE)</f>
        <v>35355</v>
      </c>
      <c r="H4" s="40">
        <f>VLOOKUP($A4,'3M-IS'!$A$8:$K$61,5,FALSE)</f>
        <v>34229</v>
      </c>
      <c r="I4" s="40">
        <f>VLOOKUP($A4,'3M-IS'!$A$8:$K$61,4,FALSE)</f>
        <v>24610</v>
      </c>
      <c r="J4" s="40">
        <f>VLOOKUP($A4,'3M-IS'!$A$8:$K$61,3,FALSE)</f>
        <v>24575</v>
      </c>
      <c r="K4" s="63">
        <f>VLOOKUP($A4,'3M-IS'!$A$8:$K$61,2,FALSE)</f>
        <v>24948</v>
      </c>
      <c r="L4" s="87">
        <f>L72</f>
        <v>25313.279999999999</v>
      </c>
      <c r="M4" s="87">
        <f t="shared" ref="M4:V4" si="2">M72</f>
        <v>26325.8112</v>
      </c>
      <c r="N4" s="87">
        <f t="shared" si="2"/>
        <v>27378.843648000002</v>
      </c>
      <c r="O4" s="87">
        <f t="shared" si="2"/>
        <v>28473.997393919999</v>
      </c>
      <c r="P4" s="87">
        <f t="shared" si="2"/>
        <v>29612.9572896768</v>
      </c>
      <c r="Q4" s="87">
        <f t="shared" si="2"/>
        <v>30501.346008367109</v>
      </c>
      <c r="R4" s="87">
        <f t="shared" si="2"/>
        <v>31416.386388618121</v>
      </c>
      <c r="S4" s="87">
        <f t="shared" si="2"/>
        <v>32358.877980276669</v>
      </c>
      <c r="T4" s="87">
        <f t="shared" si="2"/>
        <v>33329.644319684972</v>
      </c>
      <c r="U4" s="87">
        <f t="shared" si="2"/>
        <v>34329.533649275516</v>
      </c>
      <c r="V4" s="87">
        <f t="shared" si="2"/>
        <v>35359.419658753788</v>
      </c>
      <c r="W4" s="184"/>
      <c r="X4" s="89">
        <f>K4/$K$4</f>
        <v>1</v>
      </c>
      <c r="Y4" s="50" t="s">
        <v>226</v>
      </c>
    </row>
    <row r="5" spans="1:25" x14ac:dyDescent="0.2">
      <c r="A5" s="39" t="str">
        <f>'3M-IS'!A9</f>
        <v>Cost of Goods Sold (COGS) incl. D&amp;A</v>
      </c>
      <c r="B5" s="40">
        <f>VLOOKUP($A5,'3M-IS'!$A$8:$K$61,11,FALSE)</f>
        <v>15133</v>
      </c>
      <c r="C5" s="40">
        <f>VLOOKUP($A5,'3M-IS'!$A$8:$K$61,10,FALSE)</f>
        <v>15995</v>
      </c>
      <c r="D5" s="40">
        <f>VLOOKUP($A5,'3M-IS'!$A$8:$K$61,9,FALSE)</f>
        <v>16575</v>
      </c>
      <c r="E5" s="40">
        <f>VLOOKUP($A5,'3M-IS'!$A$8:$K$61,8,FALSE)</f>
        <v>16830</v>
      </c>
      <c r="F5" s="40">
        <f>VLOOKUP($A5,'3M-IS'!$A$8:$K$61,7,FALSE)</f>
        <v>16581</v>
      </c>
      <c r="G5" s="40">
        <f>VLOOKUP($A5,'3M-IS'!$A$8:$K$61,6,FALSE)</f>
        <v>18743</v>
      </c>
      <c r="H5" s="40">
        <f>VLOOKUP($A5,'3M-IS'!$A$8:$K$61,5,FALSE)</f>
        <v>19263</v>
      </c>
      <c r="I5" s="40">
        <f>VLOOKUP($A5,'3M-IS'!$A$8:$K$61,4,FALSE)</f>
        <v>15037</v>
      </c>
      <c r="J5" s="40">
        <f>VLOOKUP($A5,'3M-IS'!$A$8:$K$61,3,FALSE)</f>
        <v>14495</v>
      </c>
      <c r="K5" s="63">
        <f>VLOOKUP($A5,'3M-IS'!$A$8:$K$61,2,FALSE)</f>
        <v>15072</v>
      </c>
      <c r="L5" s="87">
        <f>L6+L7</f>
        <v>15276.658018006241</v>
      </c>
      <c r="M5" s="87">
        <f t="shared" ref="M5:V5" si="3">M6+M7</f>
        <v>15701.471330027367</v>
      </c>
      <c r="N5" s="87">
        <f t="shared" si="3"/>
        <v>16140.760401899166</v>
      </c>
      <c r="O5" s="87">
        <f t="shared" si="3"/>
        <v>16594.734931053961</v>
      </c>
      <c r="P5" s="87">
        <f t="shared" si="3"/>
        <v>17063.615152714076</v>
      </c>
      <c r="Q5" s="87">
        <f t="shared" si="3"/>
        <v>17391.657453262305</v>
      </c>
      <c r="R5" s="87">
        <f t="shared" si="3"/>
        <v>17726.581405174275</v>
      </c>
      <c r="S5" s="87">
        <f t="shared" si="3"/>
        <v>18068.360299474611</v>
      </c>
      <c r="T5" s="87">
        <f t="shared" si="3"/>
        <v>18416.969052977845</v>
      </c>
      <c r="U5" s="87">
        <f t="shared" si="3"/>
        <v>18772.383637184597</v>
      </c>
      <c r="V5" s="177">
        <f t="shared" si="3"/>
        <v>19134.580526504269</v>
      </c>
      <c r="W5" s="184"/>
      <c r="X5" s="89">
        <f t="shared" ref="X5:X59" si="4">K5/$K$4</f>
        <v>0.60413660413660408</v>
      </c>
      <c r="Y5" s="50" t="s">
        <v>225</v>
      </c>
    </row>
    <row r="6" spans="1:25" x14ac:dyDescent="0.2">
      <c r="A6" s="39" t="str">
        <f>'3M-IS'!A10</f>
        <v>COGS excluding D&amp;A</v>
      </c>
      <c r="B6" s="40">
        <f>VLOOKUP($A6,'3M-IS'!$A$8:$K$61,11,FALSE)</f>
        <v>13659</v>
      </c>
      <c r="C6" s="40">
        <f>VLOOKUP($A6,'3M-IS'!$A$8:$K$61,10,FALSE)</f>
        <v>14451</v>
      </c>
      <c r="D6" s="40">
        <f>VLOOKUP($A6,'3M-IS'!$A$8:$K$61,9,FALSE)</f>
        <v>15087</v>
      </c>
      <c r="E6" s="40">
        <f>VLOOKUP($A6,'3M-IS'!$A$8:$K$61,8,FALSE)</f>
        <v>15237</v>
      </c>
      <c r="F6" s="40">
        <f>VLOOKUP($A6,'3M-IS'!$A$8:$K$61,7,FALSE)</f>
        <v>14670</v>
      </c>
      <c r="G6" s="40">
        <f>VLOOKUP($A6,'3M-IS'!$A$8:$K$61,6,FALSE)</f>
        <v>16828</v>
      </c>
      <c r="H6" s="40">
        <f>VLOOKUP($A6,'3M-IS'!$A$8:$K$61,5,FALSE)</f>
        <v>17432</v>
      </c>
      <c r="I6" s="40">
        <f>VLOOKUP($A6,'3M-IS'!$A$8:$K$61,4,FALSE)</f>
        <v>13604</v>
      </c>
      <c r="J6" s="40">
        <f>VLOOKUP($A6,'3M-IS'!$A$8:$K$61,3,FALSE)</f>
        <v>13271</v>
      </c>
      <c r="K6" s="63">
        <f>VLOOKUP($A6,'3M-IS'!$A$8:$K$61,2,FALSE)</f>
        <v>13764</v>
      </c>
      <c r="L6" s="87">
        <f>L83</f>
        <v>13965.527734487734</v>
      </c>
      <c r="M6" s="87">
        <f t="shared" ref="M6:V6" si="5">M83</f>
        <v>14392.519787867244</v>
      </c>
      <c r="N6" s="87">
        <f t="shared" si="5"/>
        <v>14831.326361141933</v>
      </c>
      <c r="O6" s="87">
        <f t="shared" si="5"/>
        <v>15282.209428618009</v>
      </c>
      <c r="P6" s="87">
        <f t="shared" si="5"/>
        <v>15745.433019314347</v>
      </c>
      <c r="Q6" s="87">
        <f t="shared" si="5"/>
        <v>16065.289279851944</v>
      </c>
      <c r="R6" s="87">
        <f t="shared" si="5"/>
        <v>16390.16602630441</v>
      </c>
      <c r="S6" s="87">
        <f t="shared" si="5"/>
        <v>16720.076617192164</v>
      </c>
      <c r="T6" s="87">
        <f t="shared" si="5"/>
        <v>17055.030694109504</v>
      </c>
      <c r="U6" s="87">
        <f t="shared" si="5"/>
        <v>17395.03394668641</v>
      </c>
      <c r="V6" s="177">
        <f t="shared" si="5"/>
        <v>17740.087866793234</v>
      </c>
      <c r="W6" s="184"/>
      <c r="X6" s="89">
        <f t="shared" si="4"/>
        <v>0.5517075517075517</v>
      </c>
      <c r="Y6" s="50" t="s">
        <v>224</v>
      </c>
    </row>
    <row r="7" spans="1:25" x14ac:dyDescent="0.2">
      <c r="A7" s="39" t="str">
        <f>'3M-IS'!A11</f>
        <v>Depreciation &amp; Amortization Expense</v>
      </c>
      <c r="B7" s="40">
        <f>VLOOKUP($A7,'3M-IS'!$A$8:$K$61,11,FALSE)</f>
        <v>1474</v>
      </c>
      <c r="C7" s="40">
        <f>VLOOKUP($A7,'3M-IS'!$A$8:$K$61,10,FALSE)</f>
        <v>1544</v>
      </c>
      <c r="D7" s="40">
        <f>VLOOKUP($A7,'3M-IS'!$A$8:$K$61,9,FALSE)</f>
        <v>1488</v>
      </c>
      <c r="E7" s="40">
        <f>VLOOKUP($A7,'3M-IS'!$A$8:$K$61,8,FALSE)</f>
        <v>1593</v>
      </c>
      <c r="F7" s="40">
        <f>VLOOKUP($A7,'3M-IS'!$A$8:$K$61,7,FALSE)</f>
        <v>1911</v>
      </c>
      <c r="G7" s="40">
        <f>VLOOKUP($A7,'3M-IS'!$A$8:$K$61,6,FALSE)</f>
        <v>1915</v>
      </c>
      <c r="H7" s="40">
        <f>VLOOKUP($A7,'3M-IS'!$A$8:$K$61,5,FALSE)</f>
        <v>1831</v>
      </c>
      <c r="I7" s="40">
        <f>VLOOKUP($A7,'3M-IS'!$A$8:$K$61,4,FALSE)</f>
        <v>1433</v>
      </c>
      <c r="J7" s="40">
        <f>VLOOKUP($A7,'3M-IS'!$A$8:$K$61,3,FALSE)</f>
        <v>1224</v>
      </c>
      <c r="K7" s="63">
        <f>VLOOKUP($A7,'3M-IS'!$A$8:$K$61,2,FALSE)</f>
        <v>1308</v>
      </c>
      <c r="L7" s="87">
        <f>L8+L9</f>
        <v>1311.1302835185077</v>
      </c>
      <c r="M7" s="87">
        <f t="shared" ref="M7:V7" si="6">M8+M9</f>
        <v>1308.951542160122</v>
      </c>
      <c r="N7" s="87">
        <f t="shared" si="6"/>
        <v>1309.4340407572331</v>
      </c>
      <c r="O7" s="87">
        <f t="shared" si="6"/>
        <v>1312.5255024359531</v>
      </c>
      <c r="P7" s="87">
        <f t="shared" si="6"/>
        <v>1318.18213339973</v>
      </c>
      <c r="Q7" s="87">
        <f t="shared" si="6"/>
        <v>1326.3681734103607</v>
      </c>
      <c r="R7" s="87">
        <f t="shared" si="6"/>
        <v>1336.4153788698657</v>
      </c>
      <c r="S7" s="87">
        <f t="shared" si="6"/>
        <v>1348.2836822824459</v>
      </c>
      <c r="T7" s="87">
        <f t="shared" si="6"/>
        <v>1361.9383588683399</v>
      </c>
      <c r="U7" s="87">
        <f t="shared" si="6"/>
        <v>1377.3496904981873</v>
      </c>
      <c r="V7" s="177">
        <f t="shared" si="6"/>
        <v>1394.4926597110359</v>
      </c>
      <c r="W7" s="184"/>
      <c r="X7" s="89">
        <f t="shared" si="4"/>
        <v>5.2429052429052429E-2</v>
      </c>
      <c r="Y7" s="50" t="s">
        <v>223</v>
      </c>
    </row>
    <row r="8" spans="1:25" x14ac:dyDescent="0.2">
      <c r="A8" s="37" t="str">
        <f>'3M-IS'!A12</f>
        <v>Depreciation</v>
      </c>
      <c r="B8" s="38">
        <f>VLOOKUP($A8,'3M-IS'!$A$8:$K$61,11,FALSE)</f>
        <v>1212</v>
      </c>
      <c r="C8" s="38">
        <f>VLOOKUP($A8,'3M-IS'!$A$8:$K$61,10,FALSE)</f>
        <v>1306</v>
      </c>
      <c r="D8" s="38">
        <f>VLOOKUP($A8,'3M-IS'!$A$8:$K$61,9,FALSE)</f>
        <v>1239</v>
      </c>
      <c r="E8" s="38">
        <f>VLOOKUP($A8,'3M-IS'!$A$8:$K$61,8,FALSE)</f>
        <v>1252</v>
      </c>
      <c r="F8" s="38">
        <f>VLOOKUP($A8,'3M-IS'!$A$8:$K$61,7,FALSE)</f>
        <v>1374</v>
      </c>
      <c r="G8" s="38">
        <f>VLOOKUP($A8,'3M-IS'!$A$8:$K$61,6,FALSE)</f>
        <v>1386</v>
      </c>
      <c r="H8" s="38">
        <f>VLOOKUP($A8,'3M-IS'!$A$8:$K$61,5,FALSE)</f>
        <v>1333</v>
      </c>
      <c r="I8" s="38">
        <f>VLOOKUP($A8,'3M-IS'!$A$8:$K$61,4,FALSE)</f>
        <v>1306</v>
      </c>
      <c r="J8" s="38">
        <f>VLOOKUP($A8,'3M-IS'!$A$8:$K$61,3,FALSE)</f>
        <v>1116</v>
      </c>
      <c r="K8" s="60">
        <f>VLOOKUP($A8,'3M-IS'!$A$8:$K$61,2,FALSE)</f>
        <v>1204</v>
      </c>
      <c r="L8" s="87">
        <f>-L101</f>
        <v>1215.6149476337046</v>
      </c>
      <c r="M8" s="87">
        <f t="shared" ref="M8:V8" si="7">-M101</f>
        <v>1221.7074477886342</v>
      </c>
      <c r="N8" s="87">
        <f t="shared" si="7"/>
        <v>1229.744931859778</v>
      </c>
      <c r="O8" s="87">
        <f t="shared" si="7"/>
        <v>1239.7371478473838</v>
      </c>
      <c r="P8" s="87">
        <f t="shared" si="7"/>
        <v>1251.6969557259652</v>
      </c>
      <c r="Q8" s="87">
        <f t="shared" si="7"/>
        <v>1265.6403430411021</v>
      </c>
      <c r="R8" s="87">
        <f t="shared" si="7"/>
        <v>1280.9463328299589</v>
      </c>
      <c r="S8" s="87">
        <f t="shared" si="7"/>
        <v>1297.6180311325766</v>
      </c>
      <c r="T8" s="87">
        <f t="shared" si="7"/>
        <v>1315.6601480515642</v>
      </c>
      <c r="U8" s="87">
        <f t="shared" si="7"/>
        <v>1335.0789854387208</v>
      </c>
      <c r="V8" s="177">
        <f t="shared" si="7"/>
        <v>1355.8824266296676</v>
      </c>
      <c r="W8" s="184"/>
      <c r="X8" s="88"/>
    </row>
    <row r="9" spans="1:25" x14ac:dyDescent="0.2">
      <c r="A9" s="37" t="str">
        <f>'3M-IS'!A13</f>
        <v>Amortization of Intangibles</v>
      </c>
      <c r="B9" s="38">
        <f>VLOOKUP($A9,'3M-IS'!$A$8:$K$61,11,FALSE)</f>
        <v>262</v>
      </c>
      <c r="C9" s="38">
        <f>VLOOKUP($A9,'3M-IS'!$A$8:$K$61,10,FALSE)</f>
        <v>238</v>
      </c>
      <c r="D9" s="38">
        <f>VLOOKUP($A9,'3M-IS'!$A$8:$K$61,9,FALSE)</f>
        <v>249</v>
      </c>
      <c r="E9" s="38">
        <f>VLOOKUP($A9,'3M-IS'!$A$8:$K$61,8,FALSE)</f>
        <v>341</v>
      </c>
      <c r="F9" s="38">
        <f>VLOOKUP($A9,'3M-IS'!$A$8:$K$61,7,FALSE)</f>
        <v>537</v>
      </c>
      <c r="G9" s="38">
        <f>VLOOKUP($A9,'3M-IS'!$A$8:$K$61,6,FALSE)</f>
        <v>529</v>
      </c>
      <c r="H9" s="38">
        <f>VLOOKUP($A9,'3M-IS'!$A$8:$K$61,5,FALSE)</f>
        <v>498</v>
      </c>
      <c r="I9" s="38">
        <f>VLOOKUP($A9,'3M-IS'!$A$8:$K$61,4,FALSE)</f>
        <v>127</v>
      </c>
      <c r="J9" s="38">
        <f>VLOOKUP($A9,'3M-IS'!$A$8:$K$61,3,FALSE)</f>
        <v>108</v>
      </c>
      <c r="K9" s="60">
        <f>VLOOKUP($A9,'3M-IS'!$A$8:$K$61,2,FALSE)</f>
        <v>104</v>
      </c>
      <c r="L9" s="87">
        <f>-L131</f>
        <v>95.515335884803122</v>
      </c>
      <c r="M9" s="87">
        <f t="shared" ref="M9:V9" si="8">-M131</f>
        <v>87.244094371487847</v>
      </c>
      <c r="N9" s="87">
        <f t="shared" si="8"/>
        <v>79.6891088974551</v>
      </c>
      <c r="O9" s="87">
        <f t="shared" si="8"/>
        <v>72.788354588569263</v>
      </c>
      <c r="P9" s="87">
        <f t="shared" si="8"/>
        <v>66.485177673764781</v>
      </c>
      <c r="Q9" s="87">
        <f t="shared" si="8"/>
        <v>60.727830369258463</v>
      </c>
      <c r="R9" s="87">
        <f t="shared" si="8"/>
        <v>55.469046039906637</v>
      </c>
      <c r="S9" s="87">
        <f t="shared" si="8"/>
        <v>50.665651149869205</v>
      </c>
      <c r="T9" s="87">
        <f t="shared" si="8"/>
        <v>46.278210816775811</v>
      </c>
      <c r="U9" s="87">
        <f t="shared" si="8"/>
        <v>42.270705059466586</v>
      </c>
      <c r="V9" s="177">
        <f t="shared" si="8"/>
        <v>38.610233081368314</v>
      </c>
      <c r="W9" s="184"/>
      <c r="X9" s="88"/>
    </row>
    <row r="10" spans="1:25" x14ac:dyDescent="0.2">
      <c r="A10" s="39" t="str">
        <f>'3M-IS'!A14</f>
        <v>Gross Income</v>
      </c>
      <c r="B10" s="40">
        <f>VLOOKUP($A10,'3M-IS'!$A$8:$K$61,11,FALSE)</f>
        <v>14976</v>
      </c>
      <c r="C10" s="40">
        <f>VLOOKUP($A10,'3M-IS'!$A$8:$K$61,10,FALSE)</f>
        <v>15662</v>
      </c>
      <c r="D10" s="40">
        <f>VLOOKUP($A10,'3M-IS'!$A$8:$K$61,9,FALSE)</f>
        <v>16190</v>
      </c>
      <c r="E10" s="40">
        <f>VLOOKUP($A10,'3M-IS'!$A$8:$K$61,8,FALSE)</f>
        <v>15306</v>
      </c>
      <c r="F10" s="40">
        <f>VLOOKUP($A10,'3M-IS'!$A$8:$K$61,7,FALSE)</f>
        <v>15603</v>
      </c>
      <c r="G10" s="40">
        <f>VLOOKUP($A10,'3M-IS'!$A$8:$K$61,6,FALSE)</f>
        <v>16612</v>
      </c>
      <c r="H10" s="40">
        <f>VLOOKUP($A10,'3M-IS'!$A$8:$K$61,5,FALSE)</f>
        <v>14966</v>
      </c>
      <c r="I10" s="40">
        <f>VLOOKUP($A10,'3M-IS'!$A$8:$K$61,4,FALSE)</f>
        <v>9573</v>
      </c>
      <c r="J10" s="40">
        <f>VLOOKUP($A10,'3M-IS'!$A$8:$K$61,3,FALSE)</f>
        <v>10080</v>
      </c>
      <c r="K10" s="63">
        <f>VLOOKUP($A10,'3M-IS'!$A$8:$K$61,2,FALSE)</f>
        <v>9876</v>
      </c>
      <c r="L10" s="87">
        <f>L4-L5</f>
        <v>10036.621981993758</v>
      </c>
      <c r="M10" s="87">
        <f t="shared" ref="M10:V10" si="9">M4-M5</f>
        <v>10624.339869972633</v>
      </c>
      <c r="N10" s="87">
        <f t="shared" si="9"/>
        <v>11238.083246100836</v>
      </c>
      <c r="O10" s="87">
        <f t="shared" si="9"/>
        <v>11879.262462866038</v>
      </c>
      <c r="P10" s="87">
        <f t="shared" si="9"/>
        <v>12549.342136962725</v>
      </c>
      <c r="Q10" s="87">
        <f t="shared" si="9"/>
        <v>13109.688555104804</v>
      </c>
      <c r="R10" s="87">
        <f t="shared" si="9"/>
        <v>13689.804983443846</v>
      </c>
      <c r="S10" s="87">
        <f t="shared" si="9"/>
        <v>14290.517680802059</v>
      </c>
      <c r="T10" s="87">
        <f t="shared" si="9"/>
        <v>14912.675266707127</v>
      </c>
      <c r="U10" s="87">
        <f t="shared" si="9"/>
        <v>15557.150012090919</v>
      </c>
      <c r="V10" s="177">
        <f t="shared" si="9"/>
        <v>16224.839132249519</v>
      </c>
      <c r="W10" s="184"/>
      <c r="X10" s="89">
        <f t="shared" si="4"/>
        <v>0.39586339586339586</v>
      </c>
      <c r="Y10" s="50" t="s">
        <v>228</v>
      </c>
    </row>
    <row r="11" spans="1:25" x14ac:dyDescent="0.2">
      <c r="A11" s="39" t="str">
        <f>'3M-IS'!A15</f>
        <v>SG&amp;A Expense</v>
      </c>
      <c r="B11" s="40">
        <f>VLOOKUP($A11,'3M-IS'!$A$8:$K$61,11,FALSE)</f>
        <v>7957</v>
      </c>
      <c r="C11" s="40">
        <f>VLOOKUP($A11,'3M-IS'!$A$8:$K$61,10,FALSE)</f>
        <v>8436</v>
      </c>
      <c r="D11" s="40">
        <f>VLOOKUP($A11,'3M-IS'!$A$8:$K$61,9,FALSE)</f>
        <v>8416</v>
      </c>
      <c r="E11" s="40">
        <f>VLOOKUP($A11,'3M-IS'!$A$8:$K$61,8,FALSE)</f>
        <v>8332</v>
      </c>
      <c r="F11" s="40">
        <f>VLOOKUP($A11,'3M-IS'!$A$8:$K$61,7,FALSE)</f>
        <v>8646</v>
      </c>
      <c r="G11" s="40">
        <f>VLOOKUP($A11,'3M-IS'!$A$8:$K$61,6,FALSE)</f>
        <v>9086</v>
      </c>
      <c r="H11" s="40">
        <f>VLOOKUP($A11,'3M-IS'!$A$8:$K$61,5,FALSE)</f>
        <v>10893</v>
      </c>
      <c r="I11" s="40">
        <f>VLOOKUP($A11,'3M-IS'!$A$8:$K$61,4,FALSE)</f>
        <v>5526</v>
      </c>
      <c r="J11" s="40">
        <f>VLOOKUP($A11,'3M-IS'!$A$8:$K$61,3,FALSE)</f>
        <v>5149</v>
      </c>
      <c r="K11" s="63">
        <f>VLOOKUP($A11,'3M-IS'!$A$8:$K$61,2,FALSE)</f>
        <v>5146</v>
      </c>
      <c r="L11" s="87">
        <f>L89</f>
        <v>5221.3459547859547</v>
      </c>
      <c r="M11" s="87">
        <f t="shared" ref="M11:V11" si="10">M89</f>
        <v>5298.5707369773927</v>
      </c>
      <c r="N11" s="87">
        <f t="shared" si="10"/>
        <v>5373.619348216489</v>
      </c>
      <c r="O11" s="87">
        <f t="shared" si="10"/>
        <v>5446.1941351755477</v>
      </c>
      <c r="P11" s="87">
        <f t="shared" si="10"/>
        <v>5515.9771141341862</v>
      </c>
      <c r="Q11" s="87">
        <f t="shared" si="10"/>
        <v>5528.9496975163765</v>
      </c>
      <c r="R11" s="87">
        <f t="shared" si="10"/>
        <v>5537.736256498777</v>
      </c>
      <c r="S11" s="87">
        <f t="shared" si="10"/>
        <v>5542.0739542923575</v>
      </c>
      <c r="T11" s="87">
        <f t="shared" si="10"/>
        <v>5541.6879513227041</v>
      </c>
      <c r="U11" s="87">
        <f t="shared" si="10"/>
        <v>5536.290921616006</v>
      </c>
      <c r="V11" s="177">
        <f t="shared" si="10"/>
        <v>5525.5825509707183</v>
      </c>
      <c r="W11" s="184"/>
      <c r="X11" s="89">
        <f t="shared" si="4"/>
        <v>0.20626903960237294</v>
      </c>
      <c r="Y11" s="50" t="s">
        <v>229</v>
      </c>
    </row>
    <row r="12" spans="1:25" x14ac:dyDescent="0.2">
      <c r="A12" s="37" t="str">
        <f>'3M-IS'!A16</f>
        <v>Research &amp; Development</v>
      </c>
      <c r="B12" s="38">
        <f>VLOOKUP($A12,'3M-IS'!$A$8:$K$61,11,FALSE)</f>
        <v>1735</v>
      </c>
      <c r="C12" s="38">
        <f>VLOOKUP($A12,'3M-IS'!$A$8:$K$61,10,FALSE)</f>
        <v>1862</v>
      </c>
      <c r="D12" s="38">
        <f>VLOOKUP($A12,'3M-IS'!$A$8:$K$61,9,FALSE)</f>
        <v>1816</v>
      </c>
      <c r="E12" s="38">
        <f>VLOOKUP($A12,'3M-IS'!$A$8:$K$61,8,FALSE)</f>
        <v>1874</v>
      </c>
      <c r="F12" s="38">
        <f>VLOOKUP($A12,'3M-IS'!$A$8:$K$61,7,FALSE)</f>
        <v>1862</v>
      </c>
      <c r="G12" s="38">
        <f>VLOOKUP($A12,'3M-IS'!$A$8:$K$61,6,FALSE)</f>
        <v>1977</v>
      </c>
      <c r="H12" s="38">
        <f>VLOOKUP($A12,'3M-IS'!$A$8:$K$61,5,FALSE)</f>
        <v>1856</v>
      </c>
      <c r="I12" s="38">
        <f>VLOOKUP($A12,'3M-IS'!$A$8:$K$61,4,FALSE)</f>
        <v>1123</v>
      </c>
      <c r="J12" s="38">
        <f>VLOOKUP($A12,'3M-IS'!$A$8:$K$61,3,FALSE)</f>
        <v>1070</v>
      </c>
      <c r="K12" s="60">
        <f>VLOOKUP($A12,'3M-IS'!$A$8:$K$61,2,FALSE)</f>
        <v>1169</v>
      </c>
      <c r="L12" s="87">
        <f>L91</f>
        <v>1265.664</v>
      </c>
      <c r="M12" s="87">
        <f t="shared" ref="M12:V12" si="11">M91</f>
        <v>1316.2905600000001</v>
      </c>
      <c r="N12" s="87">
        <f t="shared" si="11"/>
        <v>1368.9421824000001</v>
      </c>
      <c r="O12" s="87">
        <f t="shared" si="11"/>
        <v>1423.699869696</v>
      </c>
      <c r="P12" s="87">
        <f t="shared" si="11"/>
        <v>1480.6478644838401</v>
      </c>
      <c r="Q12" s="87">
        <f t="shared" si="11"/>
        <v>1525.0673004183554</v>
      </c>
      <c r="R12" s="87">
        <f t="shared" si="11"/>
        <v>1570.819319430906</v>
      </c>
      <c r="S12" s="87">
        <f t="shared" si="11"/>
        <v>1617.9438990138335</v>
      </c>
      <c r="T12" s="87">
        <f t="shared" si="11"/>
        <v>1666.4822159842488</v>
      </c>
      <c r="U12" s="87">
        <f t="shared" si="11"/>
        <v>1716.4766824637759</v>
      </c>
      <c r="V12" s="177">
        <f t="shared" si="11"/>
        <v>1767.9709829376895</v>
      </c>
      <c r="W12" s="184"/>
      <c r="X12" s="88"/>
    </row>
    <row r="13" spans="1:25" x14ac:dyDescent="0.2">
      <c r="A13" s="37" t="str">
        <f>'3M-IS'!A17</f>
        <v>Other SG&amp;A</v>
      </c>
      <c r="B13" s="38">
        <f>VLOOKUP($A13,'3M-IS'!$A$8:$K$61,11,FALSE)</f>
        <v>6222</v>
      </c>
      <c r="C13" s="38">
        <f>VLOOKUP($A13,'3M-IS'!$A$8:$K$61,10,FALSE)</f>
        <v>6574</v>
      </c>
      <c r="D13" s="38">
        <f>VLOOKUP($A13,'3M-IS'!$A$8:$K$61,9,FALSE)</f>
        <v>6600</v>
      </c>
      <c r="E13" s="38">
        <f>VLOOKUP($A13,'3M-IS'!$A$8:$K$61,8,FALSE)</f>
        <v>6458</v>
      </c>
      <c r="F13" s="38">
        <f>VLOOKUP($A13,'3M-IS'!$A$8:$K$61,7,FALSE)</f>
        <v>6784</v>
      </c>
      <c r="G13" s="38">
        <f>VLOOKUP($A13,'3M-IS'!$A$8:$K$61,6,FALSE)</f>
        <v>7109</v>
      </c>
      <c r="H13" s="38">
        <f>VLOOKUP($A13,'3M-IS'!$A$8:$K$61,5,FALSE)</f>
        <v>9037</v>
      </c>
      <c r="I13" s="38">
        <f>VLOOKUP($A13,'3M-IS'!$A$8:$K$61,4,FALSE)</f>
        <v>4403</v>
      </c>
      <c r="J13" s="38">
        <f>VLOOKUP($A13,'3M-IS'!$A$8:$K$61,3,FALSE)</f>
        <v>4079</v>
      </c>
      <c r="K13" s="60">
        <f>VLOOKUP($A13,'3M-IS'!$A$8:$K$61,2,FALSE)</f>
        <v>3977</v>
      </c>
      <c r="L13" s="87">
        <f>L11-L12</f>
        <v>3955.681954785955</v>
      </c>
      <c r="M13" s="87">
        <f t="shared" ref="M13:V13" si="12">M11-M12</f>
        <v>3982.2801769773923</v>
      </c>
      <c r="N13" s="87">
        <f t="shared" si="12"/>
        <v>4004.6771658164889</v>
      </c>
      <c r="O13" s="87">
        <f t="shared" si="12"/>
        <v>4022.4942654795477</v>
      </c>
      <c r="P13" s="87">
        <f t="shared" si="12"/>
        <v>4035.3292496503464</v>
      </c>
      <c r="Q13" s="87">
        <f t="shared" si="12"/>
        <v>4003.8823970980211</v>
      </c>
      <c r="R13" s="87">
        <f t="shared" si="12"/>
        <v>3966.916937067871</v>
      </c>
      <c r="S13" s="87">
        <f t="shared" si="12"/>
        <v>3924.1300552785242</v>
      </c>
      <c r="T13" s="87">
        <f t="shared" si="12"/>
        <v>3875.2057353384553</v>
      </c>
      <c r="U13" s="87">
        <f t="shared" si="12"/>
        <v>3819.8142391522301</v>
      </c>
      <c r="V13" s="177">
        <f t="shared" si="12"/>
        <v>3757.6115680330286</v>
      </c>
      <c r="W13" s="184"/>
      <c r="X13" s="88"/>
    </row>
    <row r="14" spans="1:25" x14ac:dyDescent="0.2">
      <c r="A14" s="39" t="str">
        <f>'3M-IS'!A18</f>
        <v>EBIT (Operating Income)</v>
      </c>
      <c r="B14" s="40">
        <f>VLOOKUP($A14,'3M-IS'!$A$8:$K$61,11,FALSE)</f>
        <v>7019</v>
      </c>
      <c r="C14" s="40">
        <f>VLOOKUP($A14,'3M-IS'!$A$8:$K$61,10,FALSE)</f>
        <v>7226</v>
      </c>
      <c r="D14" s="40">
        <f>VLOOKUP($A14,'3M-IS'!$A$8:$K$61,9,FALSE)</f>
        <v>7774</v>
      </c>
      <c r="E14" s="40">
        <f>VLOOKUP($A14,'3M-IS'!$A$8:$K$61,8,FALSE)</f>
        <v>6974</v>
      </c>
      <c r="F14" s="40">
        <f>VLOOKUP($A14,'3M-IS'!$A$8:$K$61,7,FALSE)</f>
        <v>6957</v>
      </c>
      <c r="G14" s="40">
        <f>VLOOKUP($A14,'3M-IS'!$A$8:$K$61,6,FALSE)</f>
        <v>7526</v>
      </c>
      <c r="H14" s="40">
        <f>VLOOKUP($A14,'3M-IS'!$A$8:$K$61,5,FALSE)</f>
        <v>4073</v>
      </c>
      <c r="I14" s="40">
        <f>VLOOKUP($A14,'3M-IS'!$A$8:$K$61,4,FALSE)</f>
        <v>4047</v>
      </c>
      <c r="J14" s="40">
        <f>VLOOKUP($A14,'3M-IS'!$A$8:$K$61,3,FALSE)</f>
        <v>4931</v>
      </c>
      <c r="K14" s="63">
        <f>VLOOKUP($A14,'3M-IS'!$A$8:$K$61,2,FALSE)</f>
        <v>4730</v>
      </c>
      <c r="L14" s="174">
        <f>L10-L11</f>
        <v>4815.2760272078031</v>
      </c>
      <c r="M14" s="174">
        <f t="shared" ref="M14:V14" si="13">M10-M11</f>
        <v>5325.7691329952404</v>
      </c>
      <c r="N14" s="174">
        <f t="shared" si="13"/>
        <v>5864.4638978843468</v>
      </c>
      <c r="O14" s="174">
        <f t="shared" si="13"/>
        <v>6433.0683276904902</v>
      </c>
      <c r="P14" s="174">
        <f t="shared" si="13"/>
        <v>7033.3650228285387</v>
      </c>
      <c r="Q14" s="174">
        <f t="shared" si="13"/>
        <v>7580.738857588427</v>
      </c>
      <c r="R14" s="174">
        <f t="shared" si="13"/>
        <v>8152.0687269450691</v>
      </c>
      <c r="S14" s="174">
        <f t="shared" si="13"/>
        <v>8748.4437265097004</v>
      </c>
      <c r="T14" s="174">
        <f t="shared" si="13"/>
        <v>9370.9873153844237</v>
      </c>
      <c r="U14" s="174">
        <f t="shared" si="13"/>
        <v>10020.859090474913</v>
      </c>
      <c r="V14" s="186">
        <f t="shared" si="13"/>
        <v>10699.256581278802</v>
      </c>
      <c r="W14" s="184"/>
      <c r="X14" s="89">
        <f t="shared" si="4"/>
        <v>0.18959435626102292</v>
      </c>
      <c r="Y14" s="50" t="s">
        <v>222</v>
      </c>
    </row>
    <row r="15" spans="1:25" x14ac:dyDescent="0.2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59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59"/>
      <c r="W15" s="184"/>
      <c r="X15" s="88"/>
    </row>
    <row r="16" spans="1:25" x14ac:dyDescent="0.2">
      <c r="A16" s="37" t="s">
        <v>181</v>
      </c>
      <c r="B16" s="45">
        <f>VLOOKUP($A16,'3M-IS'!$A$64:$K$64,11,FALSE)</f>
        <v>0.28285835814547</v>
      </c>
      <c r="C16" s="45">
        <f>VLOOKUP($A16,'3M-IS'!$A$64:$K$64,10,FALSE)</f>
        <v>0.35492845786963434</v>
      </c>
      <c r="D16" s="45">
        <f>VLOOKUP($A16,'3M-IS'!$A$64:$K$64,9,FALSE)</f>
        <v>0.23385714285714285</v>
      </c>
      <c r="E16" s="45">
        <f>VLOOKUP($A16,'3M-IS'!$A$64:$K$64,8,FALSE)</f>
        <v>0.19782913165266106</v>
      </c>
      <c r="F16" s="45">
        <f>VLOOKUP($A16,'3M-IS'!$A$64:$K$64,7,FALSE)</f>
        <v>0.19676232523914644</v>
      </c>
      <c r="G16" s="45">
        <f>VLOOKUP($A16,'3M-IS'!$A$64:$K$64,6,FALSE)</f>
        <v>0.17837312604108829</v>
      </c>
      <c r="H16" s="45">
        <f>VLOOKUP($A16,'3M-IS'!$A$64:$K$64,5,FALSE)</f>
        <v>9.5744680851063829E-2</v>
      </c>
      <c r="I16" s="45">
        <f>VLOOKUP($A16,'3M-IS'!$A$64:$K$64,4,FALSE)</f>
        <v>0.25436962115162809</v>
      </c>
      <c r="J16" s="45">
        <f>VLOOKUP($A16,'3M-IS'!$A$64:$K$64,3,FALSE)</f>
        <v>0.16683959327661341</v>
      </c>
      <c r="K16" s="61">
        <f>VLOOKUP($A16,'3M-IS'!$A$64:$K$64,2,FALSE)</f>
        <v>0.23807263232850701</v>
      </c>
      <c r="L16" s="86">
        <v>0.21</v>
      </c>
      <c r="M16" s="86">
        <f t="shared" ref="M16:V16" si="14">L16</f>
        <v>0.21</v>
      </c>
      <c r="N16" s="86">
        <f t="shared" si="14"/>
        <v>0.21</v>
      </c>
      <c r="O16" s="86">
        <f t="shared" si="14"/>
        <v>0.21</v>
      </c>
      <c r="P16" s="86">
        <f t="shared" si="14"/>
        <v>0.21</v>
      </c>
      <c r="Q16" s="86">
        <f t="shared" si="14"/>
        <v>0.21</v>
      </c>
      <c r="R16" s="86">
        <f t="shared" si="14"/>
        <v>0.21</v>
      </c>
      <c r="S16" s="86">
        <f t="shared" si="14"/>
        <v>0.21</v>
      </c>
      <c r="T16" s="86">
        <f t="shared" si="14"/>
        <v>0.21</v>
      </c>
      <c r="U16" s="86">
        <f t="shared" si="14"/>
        <v>0.21</v>
      </c>
      <c r="V16" s="187">
        <f t="shared" si="14"/>
        <v>0.21</v>
      </c>
      <c r="W16" s="184"/>
      <c r="X16" s="88"/>
      <c r="Y16" s="6" t="s">
        <v>876</v>
      </c>
    </row>
    <row r="17" spans="1:25" x14ac:dyDescent="0.2">
      <c r="A17" s="37" t="s">
        <v>180</v>
      </c>
      <c r="B17" s="46">
        <f>B16*B14</f>
        <v>1985.382815823054</v>
      </c>
      <c r="C17" s="46">
        <f t="shared" ref="C17:K17" si="15">C16*C14</f>
        <v>2564.7130365659777</v>
      </c>
      <c r="D17" s="46">
        <f t="shared" si="15"/>
        <v>1818.0054285714284</v>
      </c>
      <c r="E17" s="46">
        <f t="shared" si="15"/>
        <v>1379.6603641456581</v>
      </c>
      <c r="F17" s="46">
        <f t="shared" si="15"/>
        <v>1368.8754966887418</v>
      </c>
      <c r="G17" s="46">
        <f t="shared" si="15"/>
        <v>1342.4361465852305</v>
      </c>
      <c r="H17" s="46">
        <f t="shared" si="15"/>
        <v>389.968085106383</v>
      </c>
      <c r="I17" s="46">
        <f t="shared" si="15"/>
        <v>1029.433856800639</v>
      </c>
      <c r="J17" s="46">
        <f t="shared" si="15"/>
        <v>822.68603444698067</v>
      </c>
      <c r="K17" s="62">
        <f t="shared" si="15"/>
        <v>1126.0835509138381</v>
      </c>
      <c r="L17" s="93">
        <f>L16*L14</f>
        <v>1011.2079657136386</v>
      </c>
      <c r="M17" s="93">
        <f t="shared" ref="M17:V17" si="16">M16*M14</f>
        <v>1118.4115179290004</v>
      </c>
      <c r="N17" s="93">
        <f t="shared" si="16"/>
        <v>1231.5374185557127</v>
      </c>
      <c r="O17" s="93">
        <f t="shared" si="16"/>
        <v>1350.944348815003</v>
      </c>
      <c r="P17" s="93">
        <f t="shared" si="16"/>
        <v>1477.006654793993</v>
      </c>
      <c r="Q17" s="93">
        <f t="shared" si="16"/>
        <v>1591.9551600935697</v>
      </c>
      <c r="R17" s="93">
        <f t="shared" si="16"/>
        <v>1711.9344326584644</v>
      </c>
      <c r="S17" s="93">
        <f t="shared" si="16"/>
        <v>1837.173182567037</v>
      </c>
      <c r="T17" s="93">
        <f t="shared" si="16"/>
        <v>1967.907336230729</v>
      </c>
      <c r="U17" s="93">
        <f t="shared" si="16"/>
        <v>2104.3804089997316</v>
      </c>
      <c r="V17" s="188">
        <f t="shared" si="16"/>
        <v>2246.8438820685483</v>
      </c>
      <c r="W17" s="184"/>
      <c r="X17" s="88"/>
    </row>
    <row r="18" spans="1:25" x14ac:dyDescent="0.2"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59"/>
      <c r="W18" s="184"/>
      <c r="X18" s="88"/>
    </row>
    <row r="19" spans="1:25" x14ac:dyDescent="0.2">
      <c r="A19" s="47" t="s">
        <v>182</v>
      </c>
      <c r="B19" s="48">
        <f>B14-B17</f>
        <v>5033.6171841769465</v>
      </c>
      <c r="C19" s="48">
        <f t="shared" ref="C19:K19" si="17">C14-C17</f>
        <v>4661.2869634340223</v>
      </c>
      <c r="D19" s="48">
        <f t="shared" si="17"/>
        <v>5955.9945714285714</v>
      </c>
      <c r="E19" s="48">
        <f t="shared" si="17"/>
        <v>5594.3396358543414</v>
      </c>
      <c r="F19" s="48">
        <f t="shared" si="17"/>
        <v>5588.1245033112582</v>
      </c>
      <c r="G19" s="48">
        <f t="shared" si="17"/>
        <v>6183.5638534147693</v>
      </c>
      <c r="H19" s="48">
        <f t="shared" si="17"/>
        <v>3683.0319148936169</v>
      </c>
      <c r="I19" s="48">
        <f t="shared" si="17"/>
        <v>3017.5661431993612</v>
      </c>
      <c r="J19" s="48">
        <f t="shared" si="17"/>
        <v>4108.3139655530194</v>
      </c>
      <c r="K19" s="48">
        <f t="shared" si="17"/>
        <v>3603.9164490861622</v>
      </c>
      <c r="L19" s="48">
        <f>L14-L17</f>
        <v>3804.0680614941643</v>
      </c>
      <c r="M19" s="48">
        <f t="shared" ref="M19:V19" si="18">M14-M17</f>
        <v>4207.3576150662402</v>
      </c>
      <c r="N19" s="48">
        <f t="shared" si="18"/>
        <v>4632.9264793286338</v>
      </c>
      <c r="O19" s="48">
        <f t="shared" si="18"/>
        <v>5082.1239788754874</v>
      </c>
      <c r="P19" s="48">
        <f t="shared" si="18"/>
        <v>5556.3583680345455</v>
      </c>
      <c r="Q19" s="48">
        <f t="shared" si="18"/>
        <v>5988.7836974948568</v>
      </c>
      <c r="R19" s="48">
        <f t="shared" si="18"/>
        <v>6440.1342942866049</v>
      </c>
      <c r="S19" s="48">
        <f t="shared" si="18"/>
        <v>6911.2705439426636</v>
      </c>
      <c r="T19" s="48">
        <f t="shared" si="18"/>
        <v>7403.0799791536947</v>
      </c>
      <c r="U19" s="48">
        <f t="shared" si="18"/>
        <v>7916.4786814751806</v>
      </c>
      <c r="V19" s="48">
        <f t="shared" si="18"/>
        <v>8452.4126992102538</v>
      </c>
      <c r="W19" s="184"/>
      <c r="X19" s="89">
        <f t="shared" si="4"/>
        <v>0.14445712879133246</v>
      </c>
      <c r="Y19" s="50" t="s">
        <v>227</v>
      </c>
    </row>
    <row r="20" spans="1:25" x14ac:dyDescent="0.2"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59"/>
      <c r="W20" s="184"/>
      <c r="X20" s="88"/>
    </row>
    <row r="21" spans="1:25" x14ac:dyDescent="0.2">
      <c r="A21" s="39" t="str">
        <f>'3M-IS'!A19</f>
        <v>Nonoperating Income - Net</v>
      </c>
      <c r="B21" s="40">
        <f>VLOOKUP($A21,'3M-IS'!$A$8:$K$61,11,FALSE)</f>
        <v>249</v>
      </c>
      <c r="C21" s="40">
        <f>VLOOKUP($A21,'3M-IS'!$A$8:$K$61,10,FALSE)</f>
        <v>771</v>
      </c>
      <c r="D21" s="40">
        <f>VLOOKUP($A21,'3M-IS'!$A$8:$K$61,9,FALSE)</f>
        <v>594</v>
      </c>
      <c r="E21" s="40">
        <f>VLOOKUP($A21,'3M-IS'!$A$8:$K$61,8,FALSE)</f>
        <v>368</v>
      </c>
      <c r="F21" s="40">
        <f>VLOOKUP($A21,'3M-IS'!$A$8:$K$61,7,FALSE)</f>
        <v>623</v>
      </c>
      <c r="G21" s="40">
        <f>VLOOKUP($A21,'3M-IS'!$A$8:$K$61,6,FALSE)</f>
        <v>276</v>
      </c>
      <c r="H21" s="40">
        <f>VLOOKUP($A21,'3M-IS'!$A$8:$K$61,5,FALSE)</f>
        <v>3137</v>
      </c>
      <c r="I21" s="40">
        <f>VLOOKUP($A21,'3M-IS'!$A$8:$K$61,4,FALSE)</f>
        <v>517</v>
      </c>
      <c r="J21" s="40">
        <f>VLOOKUP($A21,'3M-IS'!$A$8:$K$61,3,FALSE)</f>
        <v>-189</v>
      </c>
      <c r="K21" s="63">
        <f>VLOOKUP($A21,'3M-IS'!$A$8:$K$61,2,FALSE)</f>
        <v>-100</v>
      </c>
      <c r="L21" s="90">
        <f ca="1">L22+L23</f>
        <v>153.28782107975144</v>
      </c>
      <c r="M21" s="179">
        <f ca="1">M22+M23</f>
        <v>122.95191506298492</v>
      </c>
      <c r="N21" s="179">
        <f t="shared" ref="N21:V21" ca="1" si="19">N22+N23</f>
        <v>143.9562046198339</v>
      </c>
      <c r="O21" s="179">
        <f t="shared" ca="1" si="19"/>
        <v>168.74279802377617</v>
      </c>
      <c r="P21" s="179">
        <f t="shared" ca="1" si="19"/>
        <v>224.79500723344873</v>
      </c>
      <c r="Q21" s="179">
        <f t="shared" ca="1" si="19"/>
        <v>288.370784415316</v>
      </c>
      <c r="R21" s="179">
        <f t="shared" ca="1" si="19"/>
        <v>371.38999795664859</v>
      </c>
      <c r="S21" s="179">
        <f t="shared" ca="1" si="19"/>
        <v>460.63635936962856</v>
      </c>
      <c r="T21" s="179">
        <f t="shared" ca="1" si="19"/>
        <v>558.00646779770011</v>
      </c>
      <c r="U21" s="179">
        <f t="shared" ca="1" si="19"/>
        <v>651.60127499006103</v>
      </c>
      <c r="V21" s="189">
        <f t="shared" ca="1" si="19"/>
        <v>766.00805841671638</v>
      </c>
      <c r="W21" s="184"/>
      <c r="X21" s="57">
        <f t="shared" si="4"/>
        <v>-4.0083373416706751E-3</v>
      </c>
    </row>
    <row r="22" spans="1:25" x14ac:dyDescent="0.2">
      <c r="A22" s="37" t="str">
        <f>'3M-IS'!A20</f>
        <v>Nonoperating Interest Income</v>
      </c>
      <c r="B22" s="38">
        <f>VLOOKUP($A22,'3M-IS'!$A$8:$K$61,11,FALSE)</f>
        <v>29</v>
      </c>
      <c r="C22" s="38">
        <f>VLOOKUP($A22,'3M-IS'!$A$8:$K$61,10,FALSE)</f>
        <v>50</v>
      </c>
      <c r="D22" s="38">
        <f>VLOOKUP($A22,'3M-IS'!$A$8:$K$61,9,FALSE)</f>
        <v>70</v>
      </c>
      <c r="E22" s="38">
        <f>VLOOKUP($A22,'3M-IS'!$A$8:$K$61,8,FALSE)</f>
        <v>80</v>
      </c>
      <c r="F22" s="38">
        <f>VLOOKUP($A22,'3M-IS'!$A$8:$K$61,7,FALSE)</f>
        <v>29</v>
      </c>
      <c r="G22" s="38">
        <f>VLOOKUP($A22,'3M-IS'!$A$8:$K$61,6,FALSE)</f>
        <v>26</v>
      </c>
      <c r="H22" s="38">
        <f>VLOOKUP($A22,'3M-IS'!$A$8:$K$61,5,FALSE)</f>
        <v>67</v>
      </c>
      <c r="I22" s="38">
        <f>VLOOKUP($A22,'3M-IS'!$A$8:$K$61,4,FALSE)</f>
        <v>250</v>
      </c>
      <c r="J22" s="38">
        <f>VLOOKUP($A22,'3M-IS'!$A$8:$K$61,3,FALSE)</f>
        <v>452</v>
      </c>
      <c r="K22" s="60">
        <f>VLOOKUP($A22,'3M-IS'!$A$8:$K$61,2,FALSE)</f>
        <v>232</v>
      </c>
      <c r="L22" s="107">
        <f ca="1">L154</f>
        <v>153.28782107975144</v>
      </c>
      <c r="M22" s="107">
        <f t="shared" ref="M22:V22" ca="1" si="20">M154</f>
        <v>122.95191506298492</v>
      </c>
      <c r="N22" s="107">
        <f t="shared" ca="1" si="20"/>
        <v>143.9562046198339</v>
      </c>
      <c r="O22" s="107">
        <f t="shared" ca="1" si="20"/>
        <v>168.74279802377617</v>
      </c>
      <c r="P22" s="107">
        <f t="shared" ca="1" si="20"/>
        <v>224.79500723344873</v>
      </c>
      <c r="Q22" s="107">
        <f t="shared" ca="1" si="20"/>
        <v>288.370784415316</v>
      </c>
      <c r="R22" s="107">
        <f t="shared" ca="1" si="20"/>
        <v>371.38999795664859</v>
      </c>
      <c r="S22" s="107">
        <f t="shared" ca="1" si="20"/>
        <v>460.63635936962856</v>
      </c>
      <c r="T22" s="107">
        <f t="shared" ca="1" si="20"/>
        <v>558.00646779770011</v>
      </c>
      <c r="U22" s="107">
        <f t="shared" ca="1" si="20"/>
        <v>651.60127499006103</v>
      </c>
      <c r="V22" s="190">
        <f t="shared" ca="1" si="20"/>
        <v>766.00805841671638</v>
      </c>
      <c r="W22" s="184"/>
      <c r="X22" s="88"/>
    </row>
    <row r="23" spans="1:25" x14ac:dyDescent="0.2">
      <c r="A23" s="37" t="str">
        <f>'3M-IS'!A21</f>
        <v>Other Income (Expense)</v>
      </c>
      <c r="B23" s="38">
        <f>VLOOKUP($A23,'3M-IS'!$A$8:$K$61,11,FALSE)</f>
        <v>220</v>
      </c>
      <c r="C23" s="38">
        <f>VLOOKUP($A23,'3M-IS'!$A$8:$K$61,10,FALSE)</f>
        <v>721</v>
      </c>
      <c r="D23" s="38">
        <f>VLOOKUP($A23,'3M-IS'!$A$8:$K$61,9,FALSE)</f>
        <v>524</v>
      </c>
      <c r="E23" s="38">
        <f>VLOOKUP($A23,'3M-IS'!$A$8:$K$61,8,FALSE)</f>
        <v>288</v>
      </c>
      <c r="F23" s="38">
        <f>VLOOKUP($A23,'3M-IS'!$A$8:$K$61,7,FALSE)</f>
        <v>594</v>
      </c>
      <c r="G23" s="38">
        <f>VLOOKUP($A23,'3M-IS'!$A$8:$K$61,6,FALSE)</f>
        <v>250</v>
      </c>
      <c r="H23" s="38">
        <f>VLOOKUP($A23,'3M-IS'!$A$8:$K$61,5,FALSE)</f>
        <v>3070</v>
      </c>
      <c r="I23" s="38">
        <f>VLOOKUP($A23,'3M-IS'!$A$8:$K$61,4,FALSE)</f>
        <v>267</v>
      </c>
      <c r="J23" s="38">
        <f>VLOOKUP($A23,'3M-IS'!$A$8:$K$61,3,FALSE)</f>
        <v>-641</v>
      </c>
      <c r="K23" s="60">
        <f>VLOOKUP($A23,'3M-IS'!$A$8:$K$61,2,FALSE)</f>
        <v>-332</v>
      </c>
      <c r="L23" s="90">
        <v>0</v>
      </c>
      <c r="M23" s="90">
        <f t="shared" ref="M23:V23" si="21">L23</f>
        <v>0</v>
      </c>
      <c r="N23" s="90">
        <f t="shared" si="21"/>
        <v>0</v>
      </c>
      <c r="O23" s="90">
        <f t="shared" si="21"/>
        <v>0</v>
      </c>
      <c r="P23" s="90">
        <f t="shared" si="21"/>
        <v>0</v>
      </c>
      <c r="Q23" s="90">
        <f t="shared" si="21"/>
        <v>0</v>
      </c>
      <c r="R23" s="90">
        <f t="shared" si="21"/>
        <v>0</v>
      </c>
      <c r="S23" s="90">
        <f t="shared" si="21"/>
        <v>0</v>
      </c>
      <c r="T23" s="90">
        <f t="shared" si="21"/>
        <v>0</v>
      </c>
      <c r="U23" s="90">
        <f t="shared" si="21"/>
        <v>0</v>
      </c>
      <c r="V23" s="109">
        <f t="shared" si="21"/>
        <v>0</v>
      </c>
      <c r="W23" s="184"/>
      <c r="X23" s="88"/>
    </row>
    <row r="24" spans="1:25" x14ac:dyDescent="0.2">
      <c r="A24" s="39" t="str">
        <f>'3M-IS'!A22</f>
        <v>Interest Expense</v>
      </c>
      <c r="B24" s="40">
        <f>VLOOKUP($A24,'3M-IS'!$A$8:$K$61,11,FALSE)</f>
        <v>207</v>
      </c>
      <c r="C24" s="40">
        <f>VLOOKUP($A24,'3M-IS'!$A$8:$K$61,10,FALSE)</f>
        <v>84</v>
      </c>
      <c r="D24" s="40">
        <f>VLOOKUP($A24,'3M-IS'!$A$8:$K$61,9,FALSE)</f>
        <v>240</v>
      </c>
      <c r="E24" s="40">
        <f>VLOOKUP($A24,'3M-IS'!$A$8:$K$61,8,FALSE)</f>
        <v>431</v>
      </c>
      <c r="F24" s="40">
        <f>VLOOKUP($A24,'3M-IS'!$A$8:$K$61,7,FALSE)</f>
        <v>553</v>
      </c>
      <c r="G24" s="40">
        <f>VLOOKUP($A24,'3M-IS'!$A$8:$K$61,6,FALSE)</f>
        <v>457</v>
      </c>
      <c r="H24" s="40">
        <f>VLOOKUP($A24,'3M-IS'!$A$8:$K$61,5,FALSE)</f>
        <v>498</v>
      </c>
      <c r="I24" s="40">
        <f>VLOOKUP($A24,'3M-IS'!$A$8:$K$61,4,FALSE)</f>
        <v>932</v>
      </c>
      <c r="J24" s="40">
        <f>VLOOKUP($A24,'3M-IS'!$A$8:$K$61,3,FALSE)</f>
        <v>1182</v>
      </c>
      <c r="K24" s="63">
        <f>VLOOKUP($A24,'3M-IS'!$A$8:$K$61,2,FALSE)</f>
        <v>938</v>
      </c>
      <c r="L24" s="129">
        <f>C150</f>
        <v>262.73719999999997</v>
      </c>
      <c r="M24" s="129">
        <f t="shared" ref="M24:V24" si="22">D150</f>
        <v>232.16900000000001</v>
      </c>
      <c r="N24" s="129">
        <f t="shared" si="22"/>
        <v>161.22020000000001</v>
      </c>
      <c r="O24" s="129">
        <f t="shared" si="22"/>
        <v>134.34140000000002</v>
      </c>
      <c r="P24" s="129">
        <f t="shared" si="22"/>
        <v>107.75120000000001</v>
      </c>
      <c r="Q24" s="129">
        <f t="shared" si="22"/>
        <v>97.4084</v>
      </c>
      <c r="R24" s="129">
        <f t="shared" si="22"/>
        <v>87.978200000000001</v>
      </c>
      <c r="S24" s="129">
        <f t="shared" si="22"/>
        <v>79.039400000000001</v>
      </c>
      <c r="T24" s="129">
        <f t="shared" si="22"/>
        <v>70.825999999999993</v>
      </c>
      <c r="U24" s="129">
        <f t="shared" si="22"/>
        <v>63.127400000000002</v>
      </c>
      <c r="V24" s="191">
        <f t="shared" si="22"/>
        <v>56.4116</v>
      </c>
      <c r="W24" s="184"/>
      <c r="X24" s="88"/>
    </row>
    <row r="25" spans="1:25" x14ac:dyDescent="0.2">
      <c r="A25" s="37" t="str">
        <f>'3M-IS'!A23</f>
        <v>Gross Interest Expense</v>
      </c>
      <c r="B25" s="38">
        <f>VLOOKUP($A25,'3M-IS'!$A$8:$K$61,11,FALSE)</f>
        <v>217</v>
      </c>
      <c r="C25" s="38">
        <f>VLOOKUP($A25,'3M-IS'!$A$8:$K$61,10,FALSE)</f>
        <v>84</v>
      </c>
      <c r="D25" s="38">
        <f>VLOOKUP($A25,'3M-IS'!$A$8:$K$61,9,FALSE)</f>
        <v>240</v>
      </c>
      <c r="E25" s="38">
        <f>VLOOKUP($A25,'3M-IS'!$A$8:$K$61,8,FALSE)</f>
        <v>431</v>
      </c>
      <c r="F25" s="38">
        <f>VLOOKUP($A25,'3M-IS'!$A$8:$K$61,7,FALSE)</f>
        <v>553</v>
      </c>
      <c r="G25" s="38">
        <f>VLOOKUP($A25,'3M-IS'!$A$8:$K$61,6,FALSE)</f>
        <v>457</v>
      </c>
      <c r="H25" s="38">
        <f>VLOOKUP($A25,'3M-IS'!$A$8:$K$61,5,FALSE)</f>
        <v>498</v>
      </c>
      <c r="I25" s="38">
        <f>VLOOKUP($A25,'3M-IS'!$A$8:$K$61,4,FALSE)</f>
        <v>932</v>
      </c>
      <c r="J25" s="38">
        <f>VLOOKUP($A25,'3M-IS'!$A$8:$K$61,3,FALSE)</f>
        <v>1182</v>
      </c>
      <c r="K25" s="60">
        <f>VLOOKUP($A25,'3M-IS'!$A$8:$K$61,2,FALSE)</f>
        <v>938</v>
      </c>
      <c r="L25" s="90">
        <f>C150</f>
        <v>262.73719999999997</v>
      </c>
      <c r="M25" s="90">
        <f t="shared" ref="M25:V25" si="23">D150</f>
        <v>232.16900000000001</v>
      </c>
      <c r="N25" s="90">
        <f t="shared" si="23"/>
        <v>161.22020000000001</v>
      </c>
      <c r="O25" s="90">
        <f t="shared" si="23"/>
        <v>134.34140000000002</v>
      </c>
      <c r="P25" s="90">
        <f t="shared" si="23"/>
        <v>107.75120000000001</v>
      </c>
      <c r="Q25" s="90">
        <f t="shared" si="23"/>
        <v>97.4084</v>
      </c>
      <c r="R25" s="90">
        <f t="shared" si="23"/>
        <v>87.978200000000001</v>
      </c>
      <c r="S25" s="90">
        <f t="shared" si="23"/>
        <v>79.039400000000001</v>
      </c>
      <c r="T25" s="90">
        <f t="shared" si="23"/>
        <v>70.825999999999993</v>
      </c>
      <c r="U25" s="90">
        <f t="shared" si="23"/>
        <v>63.127400000000002</v>
      </c>
      <c r="V25" s="109">
        <f t="shared" si="23"/>
        <v>56.4116</v>
      </c>
      <c r="W25" s="184"/>
      <c r="X25" s="88"/>
    </row>
    <row r="26" spans="1:25" x14ac:dyDescent="0.2">
      <c r="A26" s="37" t="str">
        <f>'3M-IS'!A24</f>
        <v>Interest Capitalized</v>
      </c>
      <c r="B26" s="38">
        <f>VLOOKUP($A26,'3M-IS'!$A$8:$K$61,11,FALSE)</f>
        <v>10</v>
      </c>
      <c r="C26" s="38">
        <f>VLOOKUP($A26,'3M-IS'!$A$8:$K$61,10,FALSE)</f>
        <v>0</v>
      </c>
      <c r="D26" s="38">
        <f>VLOOKUP($A26,'3M-IS'!$A$8:$K$61,9,FALSE)</f>
        <v>0</v>
      </c>
      <c r="E26" s="38">
        <f>VLOOKUP($A26,'3M-IS'!$A$8:$K$61,8,FALSE)</f>
        <v>0</v>
      </c>
      <c r="F26" s="38">
        <f>VLOOKUP($A26,'3M-IS'!$A$8:$K$61,7,FALSE)</f>
        <v>0</v>
      </c>
      <c r="G26" s="38">
        <f>VLOOKUP($A26,'3M-IS'!$A$8:$K$61,6,FALSE)</f>
        <v>0</v>
      </c>
      <c r="H26" s="38">
        <f>VLOOKUP($A26,'3M-IS'!$A$8:$K$61,5,FALSE)</f>
        <v>0</v>
      </c>
      <c r="I26" s="38">
        <f>VLOOKUP($A26,'3M-IS'!$A$8:$K$61,4,FALSE)</f>
        <v>0</v>
      </c>
      <c r="J26" s="38">
        <f>VLOOKUP($A26,'3M-IS'!$A$8:$K$61,3,FALSE)</f>
        <v>0</v>
      </c>
      <c r="K26" s="60">
        <f>VLOOKUP($A26,'3M-IS'!$A$8:$K$61,2,FALSE)</f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59">
        <v>0</v>
      </c>
      <c r="W26" s="184"/>
      <c r="X26" s="88"/>
    </row>
    <row r="27" spans="1:25" x14ac:dyDescent="0.2">
      <c r="A27" s="39" t="str">
        <f>'3M-IS'!A25</f>
        <v>Unusual Expense - Net</v>
      </c>
      <c r="B27" s="40">
        <f>VLOOKUP($A27,'3M-IS'!$A$8:$K$61,11,FALSE)</f>
        <v>8</v>
      </c>
      <c r="C27" s="40">
        <f>VLOOKUP($A27,'3M-IS'!$A$8:$K$61,10,FALSE)</f>
        <v>365</v>
      </c>
      <c r="D27" s="40">
        <f>VLOOKUP($A27,'3M-IS'!$A$8:$K$61,9,FALSE)</f>
        <v>1128</v>
      </c>
      <c r="E27" s="40">
        <f>VLOOKUP($A27,'3M-IS'!$A$8:$K$61,8,FALSE)</f>
        <v>1199</v>
      </c>
      <c r="F27" s="40">
        <f>VLOOKUP($A27,'3M-IS'!$A$8:$K$61,7,FALSE)</f>
        <v>232</v>
      </c>
      <c r="G27" s="40">
        <f>VLOOKUP($A27,'3M-IS'!$A$8:$K$61,6,FALSE)</f>
        <v>141</v>
      </c>
      <c r="H27" s="40">
        <f>VLOOKUP($A27,'3M-IS'!$A$8:$K$61,5,FALSE)</f>
        <v>320</v>
      </c>
      <c r="I27" s="40">
        <f>VLOOKUP($A27,'3M-IS'!$A$8:$K$61,4,FALSE)</f>
        <v>14903</v>
      </c>
      <c r="J27" s="40">
        <f>VLOOKUP($A27,'3M-IS'!$A$8:$K$61,3,FALSE)</f>
        <v>-1259</v>
      </c>
      <c r="K27" s="63">
        <f>VLOOKUP($A27,'3M-IS'!$A$8:$K$61,2,FALSE)</f>
        <v>-521</v>
      </c>
      <c r="L27" s="39">
        <f>-SUM(L28:L32)</f>
        <v>0</v>
      </c>
      <c r="M27" s="39">
        <f t="shared" ref="M27:V27" si="24">-SUM(M28:M32)</f>
        <v>0</v>
      </c>
      <c r="N27" s="39">
        <f t="shared" si="24"/>
        <v>0</v>
      </c>
      <c r="O27" s="39">
        <f t="shared" si="24"/>
        <v>0</v>
      </c>
      <c r="P27" s="39">
        <f t="shared" si="24"/>
        <v>0</v>
      </c>
      <c r="Q27" s="39">
        <f t="shared" si="24"/>
        <v>0</v>
      </c>
      <c r="R27" s="39">
        <f t="shared" si="24"/>
        <v>0</v>
      </c>
      <c r="S27" s="39">
        <f t="shared" si="24"/>
        <v>0</v>
      </c>
      <c r="T27" s="39">
        <f t="shared" si="24"/>
        <v>0</v>
      </c>
      <c r="U27" s="39">
        <f t="shared" si="24"/>
        <v>0</v>
      </c>
      <c r="V27" s="192">
        <f t="shared" si="24"/>
        <v>0</v>
      </c>
      <c r="W27" s="184"/>
      <c r="X27" s="88"/>
    </row>
    <row r="28" spans="1:25" x14ac:dyDescent="0.2">
      <c r="A28" s="37" t="str">
        <f>'3M-IS'!A26</f>
        <v>Impairments</v>
      </c>
      <c r="B28" s="38">
        <f>VLOOKUP($A28,'3M-IS'!$A$8:$K$61,11,FALSE)</f>
        <v>0</v>
      </c>
      <c r="C28" s="38">
        <f>VLOOKUP($A28,'3M-IS'!$A$8:$K$61,10,FALSE)</f>
        <v>0</v>
      </c>
      <c r="D28" s="38">
        <f>VLOOKUP($A28,'3M-IS'!$A$8:$K$61,9,FALSE)</f>
        <v>0</v>
      </c>
      <c r="E28" s="38">
        <f>VLOOKUP($A28,'3M-IS'!$A$8:$K$61,8,FALSE)</f>
        <v>0</v>
      </c>
      <c r="F28" s="38">
        <f>VLOOKUP($A28,'3M-IS'!$A$8:$K$61,7,FALSE)</f>
        <v>0</v>
      </c>
      <c r="G28" s="38">
        <f>VLOOKUP($A28,'3M-IS'!$A$8:$K$61,6,FALSE)</f>
        <v>0</v>
      </c>
      <c r="H28" s="38">
        <f>VLOOKUP($A28,'3M-IS'!$A$8:$K$61,5,FALSE)</f>
        <v>271</v>
      </c>
      <c r="I28" s="38">
        <f>VLOOKUP($A28,'3M-IS'!$A$8:$K$61,4,FALSE)</f>
        <v>0</v>
      </c>
      <c r="J28" s="38">
        <f>VLOOKUP($A28,'3M-IS'!$A$8:$K$61,3,FALSE)</f>
        <v>0</v>
      </c>
      <c r="K28" s="60">
        <f>VLOOKUP($A28,'3M-IS'!$A$8:$K$61,2,FALSE)</f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59">
        <v>0</v>
      </c>
      <c r="W28" s="184"/>
      <c r="X28" s="88"/>
    </row>
    <row r="29" spans="1:25" x14ac:dyDescent="0.2">
      <c r="A29" s="37" t="str">
        <f>'3M-IS'!A27</f>
        <v>Goodwill</v>
      </c>
      <c r="B29" s="38">
        <f>VLOOKUP($A29,'3M-IS'!$A$8:$K$61,11,FALSE)</f>
        <v>0</v>
      </c>
      <c r="C29" s="38">
        <f>VLOOKUP($A29,'3M-IS'!$A$8:$K$61,10,FALSE)</f>
        <v>0</v>
      </c>
      <c r="D29" s="38">
        <f>VLOOKUP($A29,'3M-IS'!$A$8:$K$61,9,FALSE)</f>
        <v>0</v>
      </c>
      <c r="E29" s="38">
        <f>VLOOKUP($A29,'3M-IS'!$A$8:$K$61,8,FALSE)</f>
        <v>0</v>
      </c>
      <c r="F29" s="38">
        <f>VLOOKUP($A29,'3M-IS'!$A$8:$K$61,7,FALSE)</f>
        <v>0</v>
      </c>
      <c r="G29" s="38">
        <f>VLOOKUP($A29,'3M-IS'!$A$8:$K$61,6,FALSE)</f>
        <v>0</v>
      </c>
      <c r="H29" s="38">
        <f>VLOOKUP($A29,'3M-IS'!$A$8:$K$61,5,FALSE)</f>
        <v>271</v>
      </c>
      <c r="I29" s="38">
        <f>VLOOKUP($A29,'3M-IS'!$A$8:$K$61,4,FALSE)</f>
        <v>0</v>
      </c>
      <c r="J29" s="38">
        <f>VLOOKUP($A29,'3M-IS'!$A$8:$K$61,3,FALSE)</f>
        <v>0</v>
      </c>
      <c r="K29" s="60">
        <f>VLOOKUP($A29,'3M-IS'!$A$8:$K$61,2,FALSE)</f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59">
        <v>0</v>
      </c>
      <c r="W29" s="184"/>
      <c r="X29" s="88"/>
    </row>
    <row r="30" spans="1:25" x14ac:dyDescent="0.2">
      <c r="A30" s="37" t="str">
        <f>'3M-IS'!A28</f>
        <v>Restructuring Expense</v>
      </c>
      <c r="B30" s="38">
        <f>VLOOKUP($A30,'3M-IS'!$A$8:$K$61,11,FALSE)</f>
        <v>0</v>
      </c>
      <c r="C30" s="38">
        <f>VLOOKUP($A30,'3M-IS'!$A$8:$K$61,10,FALSE)</f>
        <v>146</v>
      </c>
      <c r="D30" s="38">
        <f>VLOOKUP($A30,'3M-IS'!$A$8:$K$61,9,FALSE)</f>
        <v>137</v>
      </c>
      <c r="E30" s="38">
        <f>VLOOKUP($A30,'3M-IS'!$A$8:$K$61,8,FALSE)</f>
        <v>444</v>
      </c>
      <c r="F30" s="38">
        <f>VLOOKUP($A30,'3M-IS'!$A$8:$K$61,7,FALSE)</f>
        <v>250</v>
      </c>
      <c r="G30" s="38">
        <f>VLOOKUP($A30,'3M-IS'!$A$8:$K$61,6,FALSE)</f>
        <v>124</v>
      </c>
      <c r="H30" s="38">
        <f>VLOOKUP($A30,'3M-IS'!$A$8:$K$61,5,FALSE)</f>
        <v>18</v>
      </c>
      <c r="I30" s="38">
        <f>VLOOKUP($A30,'3M-IS'!$A$8:$K$61,4,FALSE)</f>
        <v>415</v>
      </c>
      <c r="J30" s="38">
        <f>VLOOKUP($A30,'3M-IS'!$A$8:$K$61,3,FALSE)</f>
        <v>187</v>
      </c>
      <c r="K30" s="60">
        <f>VLOOKUP($A30,'3M-IS'!$A$8:$K$61,2,FALSE)</f>
        <v>21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59">
        <v>0</v>
      </c>
      <c r="W30" s="184"/>
      <c r="X30" s="88"/>
    </row>
    <row r="31" spans="1:25" x14ac:dyDescent="0.2">
      <c r="A31" s="37" t="str">
        <f>'3M-IS'!A29</f>
        <v>Legal Claim Expense</v>
      </c>
      <c r="B31" s="38">
        <f>VLOOKUP($A31,'3M-IS'!$A$8:$K$61,11,FALSE)</f>
        <v>0</v>
      </c>
      <c r="C31" s="38">
        <f>VLOOKUP($A31,'3M-IS'!$A$8:$K$61,10,FALSE)</f>
        <v>0</v>
      </c>
      <c r="D31" s="38">
        <f>VLOOKUP($A31,'3M-IS'!$A$8:$K$61,9,FALSE)</f>
        <v>897</v>
      </c>
      <c r="E31" s="38">
        <f>VLOOKUP($A31,'3M-IS'!$A$8:$K$61,8,FALSE)</f>
        <v>762</v>
      </c>
      <c r="F31" s="38">
        <f>VLOOKUP($A31,'3M-IS'!$A$8:$K$61,7,FALSE)</f>
        <v>17</v>
      </c>
      <c r="G31" s="38">
        <f>VLOOKUP($A31,'3M-IS'!$A$8:$K$61,6,FALSE)</f>
        <v>0</v>
      </c>
      <c r="H31" s="38">
        <f>VLOOKUP($A31,'3M-IS'!$A$8:$K$61,5,FALSE)</f>
        <v>0</v>
      </c>
      <c r="I31" s="38">
        <f>VLOOKUP($A31,'3M-IS'!$A$8:$K$61,4,FALSE)</f>
        <v>14500</v>
      </c>
      <c r="J31" s="38">
        <f>VLOOKUP($A31,'3M-IS'!$A$8:$K$61,3,FALSE)</f>
        <v>87</v>
      </c>
      <c r="K31" s="60">
        <f>VLOOKUP($A31,'3M-IS'!$A$8:$K$61,2,FALSE)</f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59">
        <v>0</v>
      </c>
      <c r="W31" s="184"/>
      <c r="X31" s="88"/>
    </row>
    <row r="32" spans="1:25" x14ac:dyDescent="0.2">
      <c r="A32" s="37" t="str">
        <f>'3M-IS'!A30</f>
        <v>Unrealized Valuation Gain/Loss</v>
      </c>
      <c r="B32" s="38">
        <f>VLOOKUP($A32,'3M-IS'!$A$8:$K$61,11,FALSE)</f>
        <v>-8</v>
      </c>
      <c r="C32" s="38">
        <f>VLOOKUP($A32,'3M-IS'!$A$8:$K$61,10,FALSE)</f>
        <v>-123</v>
      </c>
      <c r="D32" s="38">
        <f>VLOOKUP($A32,'3M-IS'!$A$8:$K$61,9,FALSE)</f>
        <v>-94</v>
      </c>
      <c r="E32" s="38">
        <f>VLOOKUP($A32,'3M-IS'!$A$8:$K$61,8,FALSE)</f>
        <v>7</v>
      </c>
      <c r="F32" s="38">
        <f>VLOOKUP($A32,'3M-IS'!$A$8:$K$61,7,FALSE)</f>
        <v>45</v>
      </c>
      <c r="G32" s="38">
        <f>VLOOKUP($A32,'3M-IS'!$A$8:$K$61,6,FALSE)</f>
        <v>-6</v>
      </c>
      <c r="H32" s="38">
        <f>VLOOKUP($A32,'3M-IS'!$A$8:$K$61,5,FALSE)</f>
        <v>-31</v>
      </c>
      <c r="I32" s="38">
        <f>VLOOKUP($A32,'3M-IS'!$A$8:$K$61,4,FALSE)</f>
        <v>12</v>
      </c>
      <c r="J32" s="38">
        <f>VLOOKUP($A32,'3M-IS'!$A$8:$K$61,3,FALSE)</f>
        <v>1533</v>
      </c>
      <c r="K32" s="60">
        <f>VLOOKUP($A32,'3M-IS'!$A$8:$K$61,2,FALSE)</f>
        <v>542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109">
        <v>0</v>
      </c>
      <c r="W32" s="184"/>
      <c r="X32" s="88"/>
    </row>
    <row r="33" spans="1:25" x14ac:dyDescent="0.2">
      <c r="A33" s="37" t="str">
        <f>'3M-IS'!A31</f>
        <v>Investments</v>
      </c>
      <c r="B33" s="38">
        <f>VLOOKUP($A33,'3M-IS'!$A$8:$K$61,11,FALSE)</f>
        <v>0</v>
      </c>
      <c r="C33" s="38">
        <f>VLOOKUP($A33,'3M-IS'!$A$8:$K$61,10,FALSE)</f>
        <v>0</v>
      </c>
      <c r="D33" s="38">
        <f>VLOOKUP($A33,'3M-IS'!$A$8:$K$61,9,FALSE)</f>
        <v>0</v>
      </c>
      <c r="E33" s="38">
        <f>VLOOKUP($A33,'3M-IS'!$A$8:$K$61,8,FALSE)</f>
        <v>0</v>
      </c>
      <c r="F33" s="38">
        <f>VLOOKUP($A33,'3M-IS'!$A$8:$K$61,7,FALSE)</f>
        <v>0</v>
      </c>
      <c r="G33" s="38">
        <f>VLOOKUP($A33,'3M-IS'!$A$8:$K$61,6,FALSE)</f>
        <v>0</v>
      </c>
      <c r="H33" s="38">
        <f>VLOOKUP($A33,'3M-IS'!$A$8:$K$61,5,FALSE)</f>
        <v>0</v>
      </c>
      <c r="I33" s="38">
        <f>VLOOKUP($A33,'3M-IS'!$A$8:$K$61,4,FALSE)</f>
        <v>0</v>
      </c>
      <c r="J33" s="38">
        <f>VLOOKUP($A33,'3M-IS'!$A$8:$K$61,3,FALSE)</f>
        <v>1564</v>
      </c>
      <c r="K33" s="60">
        <f>VLOOKUP($A33,'3M-IS'!$A$8:$K$61,2,FALSE)</f>
        <v>402</v>
      </c>
      <c r="L33" s="90">
        <f>K33</f>
        <v>402</v>
      </c>
      <c r="M33" s="90">
        <f t="shared" ref="M33:V33" si="25">L33</f>
        <v>402</v>
      </c>
      <c r="N33" s="90">
        <f t="shared" si="25"/>
        <v>402</v>
      </c>
      <c r="O33" s="90">
        <f t="shared" si="25"/>
        <v>402</v>
      </c>
      <c r="P33" s="90">
        <f t="shared" si="25"/>
        <v>402</v>
      </c>
      <c r="Q33" s="90">
        <f t="shared" si="25"/>
        <v>402</v>
      </c>
      <c r="R33" s="90">
        <f t="shared" si="25"/>
        <v>402</v>
      </c>
      <c r="S33" s="90">
        <f t="shared" si="25"/>
        <v>402</v>
      </c>
      <c r="T33" s="90">
        <f t="shared" si="25"/>
        <v>402</v>
      </c>
      <c r="U33" s="90">
        <f t="shared" si="25"/>
        <v>402</v>
      </c>
      <c r="V33" s="109">
        <f t="shared" si="25"/>
        <v>402</v>
      </c>
      <c r="W33" s="184"/>
      <c r="X33" s="88"/>
    </row>
    <row r="34" spans="1:25" x14ac:dyDescent="0.2">
      <c r="A34" s="37" t="str">
        <f>'3M-IS'!A32</f>
        <v>Hedges/Derivatives</v>
      </c>
      <c r="B34" s="38">
        <f>VLOOKUP($A34,'3M-IS'!$A$8:$K$61,11,FALSE)</f>
        <v>-8</v>
      </c>
      <c r="C34" s="38">
        <f>VLOOKUP($A34,'3M-IS'!$A$8:$K$61,10,FALSE)</f>
        <v>-123</v>
      </c>
      <c r="D34" s="38">
        <f>VLOOKUP($A34,'3M-IS'!$A$8:$K$61,9,FALSE)</f>
        <v>-94</v>
      </c>
      <c r="E34" s="38">
        <f>VLOOKUP($A34,'3M-IS'!$A$8:$K$61,8,FALSE)</f>
        <v>7</v>
      </c>
      <c r="F34" s="38">
        <f>VLOOKUP($A34,'3M-IS'!$A$8:$K$61,7,FALSE)</f>
        <v>45</v>
      </c>
      <c r="G34" s="38">
        <f>VLOOKUP($A34,'3M-IS'!$A$8:$K$61,6,FALSE)</f>
        <v>-6</v>
      </c>
      <c r="H34" s="38">
        <f>VLOOKUP($A34,'3M-IS'!$A$8:$K$61,5,FALSE)</f>
        <v>-31</v>
      </c>
      <c r="I34" s="38">
        <f>VLOOKUP($A34,'3M-IS'!$A$8:$K$61,4,FALSE)</f>
        <v>12</v>
      </c>
      <c r="J34" s="38">
        <f>VLOOKUP($A34,'3M-IS'!$A$8:$K$61,3,FALSE)</f>
        <v>-31</v>
      </c>
      <c r="K34" s="60">
        <f>VLOOKUP($A34,'3M-IS'!$A$8:$K$61,2,FALSE)</f>
        <v>140</v>
      </c>
      <c r="L34" s="90">
        <f>K34</f>
        <v>140</v>
      </c>
      <c r="M34" s="90">
        <f t="shared" ref="M34:V34" si="26">L34</f>
        <v>140</v>
      </c>
      <c r="N34" s="90">
        <f t="shared" si="26"/>
        <v>140</v>
      </c>
      <c r="O34" s="90">
        <f t="shared" si="26"/>
        <v>140</v>
      </c>
      <c r="P34" s="90">
        <f t="shared" si="26"/>
        <v>140</v>
      </c>
      <c r="Q34" s="90">
        <f t="shared" si="26"/>
        <v>140</v>
      </c>
      <c r="R34" s="90">
        <f t="shared" si="26"/>
        <v>140</v>
      </c>
      <c r="S34" s="90">
        <f t="shared" si="26"/>
        <v>140</v>
      </c>
      <c r="T34" s="90">
        <f t="shared" si="26"/>
        <v>140</v>
      </c>
      <c r="U34" s="90">
        <f t="shared" si="26"/>
        <v>140</v>
      </c>
      <c r="V34" s="109">
        <f t="shared" si="26"/>
        <v>140</v>
      </c>
      <c r="W34" s="184"/>
      <c r="X34" s="88"/>
    </row>
    <row r="35" spans="1:25" x14ac:dyDescent="0.2">
      <c r="A35" s="37" t="str">
        <f>'3M-IS'!A33</f>
        <v>Excpl Chrgs - Others</v>
      </c>
      <c r="B35" s="38">
        <f>VLOOKUP($A35,'3M-IS'!$A$8:$K$61,11,FALSE)</f>
        <v>0</v>
      </c>
      <c r="C35" s="38">
        <f>VLOOKUP($A35,'3M-IS'!$A$8:$K$61,10,FALSE)</f>
        <v>96</v>
      </c>
      <c r="D35" s="38">
        <f>VLOOKUP($A35,'3M-IS'!$A$8:$K$61,9,FALSE)</f>
        <v>0</v>
      </c>
      <c r="E35" s="38">
        <f>VLOOKUP($A35,'3M-IS'!$A$8:$K$61,8,FALSE)</f>
        <v>0</v>
      </c>
      <c r="F35" s="38">
        <f>VLOOKUP($A35,'3M-IS'!$A$8:$K$61,7,FALSE)</f>
        <v>10</v>
      </c>
      <c r="G35" s="38">
        <f>VLOOKUP($A35,'3M-IS'!$A$8:$K$61,6,FALSE)</f>
        <v>11</v>
      </c>
      <c r="H35" s="38">
        <f>VLOOKUP($A35,'3M-IS'!$A$8:$K$61,5,FALSE)</f>
        <v>0</v>
      </c>
      <c r="I35" s="38">
        <f>VLOOKUP($A35,'3M-IS'!$A$8:$K$61,4,FALSE)</f>
        <v>0</v>
      </c>
      <c r="J35" s="38">
        <f>VLOOKUP($A35,'3M-IS'!$A$8:$K$61,3,FALSE)</f>
        <v>0</v>
      </c>
      <c r="K35" s="60">
        <f>VLOOKUP($A35,'3M-IS'!$A$8:$K$61,2,FALSE)</f>
        <v>0</v>
      </c>
      <c r="L35" s="90">
        <f>K35</f>
        <v>0</v>
      </c>
      <c r="M35" s="90">
        <f t="shared" ref="M35:V35" si="27">L35</f>
        <v>0</v>
      </c>
      <c r="N35" s="90">
        <f t="shared" si="27"/>
        <v>0</v>
      </c>
      <c r="O35" s="90">
        <f t="shared" si="27"/>
        <v>0</v>
      </c>
      <c r="P35" s="90">
        <f t="shared" si="27"/>
        <v>0</v>
      </c>
      <c r="Q35" s="90">
        <f t="shared" si="27"/>
        <v>0</v>
      </c>
      <c r="R35" s="90">
        <f t="shared" si="27"/>
        <v>0</v>
      </c>
      <c r="S35" s="90">
        <f t="shared" si="27"/>
        <v>0</v>
      </c>
      <c r="T35" s="90">
        <f t="shared" si="27"/>
        <v>0</v>
      </c>
      <c r="U35" s="90">
        <f t="shared" si="27"/>
        <v>0</v>
      </c>
      <c r="V35" s="109">
        <f t="shared" si="27"/>
        <v>0</v>
      </c>
      <c r="W35" s="184"/>
      <c r="X35" s="88"/>
    </row>
    <row r="36" spans="1:25" x14ac:dyDescent="0.2">
      <c r="A36" s="37" t="str">
        <f>'3M-IS'!A34</f>
        <v>Restructuring of Debt</v>
      </c>
      <c r="B36" s="38">
        <f>VLOOKUP($A36,'3M-IS'!$A$8:$K$61,11,FALSE)</f>
        <v>0</v>
      </c>
      <c r="C36" s="38">
        <f>VLOOKUP($A36,'3M-IS'!$A$8:$K$61,10,FALSE)</f>
        <v>96</v>
      </c>
      <c r="D36" s="38">
        <f>VLOOKUP($A36,'3M-IS'!$A$8:$K$61,9,FALSE)</f>
        <v>0</v>
      </c>
      <c r="E36" s="38">
        <f>VLOOKUP($A36,'3M-IS'!$A$8:$K$61,8,FALSE)</f>
        <v>0</v>
      </c>
      <c r="F36" s="38">
        <f>VLOOKUP($A36,'3M-IS'!$A$8:$K$61,7,FALSE)</f>
        <v>10</v>
      </c>
      <c r="G36" s="38">
        <f>VLOOKUP($A36,'3M-IS'!$A$8:$K$61,6,FALSE)</f>
        <v>11</v>
      </c>
      <c r="H36" s="38">
        <f>VLOOKUP($A36,'3M-IS'!$A$8:$K$61,5,FALSE)</f>
        <v>0</v>
      </c>
      <c r="I36" s="38">
        <f>VLOOKUP($A36,'3M-IS'!$A$8:$K$61,4,FALSE)</f>
        <v>0</v>
      </c>
      <c r="J36" s="38">
        <f>VLOOKUP($A36,'3M-IS'!$A$8:$K$61,3,FALSE)</f>
        <v>0</v>
      </c>
      <c r="K36" s="60">
        <f>VLOOKUP($A36,'3M-IS'!$A$8:$K$61,2,FALSE)</f>
        <v>0</v>
      </c>
      <c r="L36" s="90">
        <f>K36</f>
        <v>0</v>
      </c>
      <c r="M36" s="90">
        <f t="shared" ref="M36:V36" si="28">L36</f>
        <v>0</v>
      </c>
      <c r="N36" s="90">
        <f t="shared" si="28"/>
        <v>0</v>
      </c>
      <c r="O36" s="90">
        <f t="shared" si="28"/>
        <v>0</v>
      </c>
      <c r="P36" s="90">
        <f t="shared" si="28"/>
        <v>0</v>
      </c>
      <c r="Q36" s="90">
        <f t="shared" si="28"/>
        <v>0</v>
      </c>
      <c r="R36" s="90">
        <f t="shared" si="28"/>
        <v>0</v>
      </c>
      <c r="S36" s="90">
        <f t="shared" si="28"/>
        <v>0</v>
      </c>
      <c r="T36" s="90">
        <f t="shared" si="28"/>
        <v>0</v>
      </c>
      <c r="U36" s="90">
        <f t="shared" si="28"/>
        <v>0</v>
      </c>
      <c r="V36" s="109">
        <f t="shared" si="28"/>
        <v>0</v>
      </c>
      <c r="W36" s="184"/>
      <c r="X36" s="88"/>
    </row>
    <row r="37" spans="1:25" x14ac:dyDescent="0.2">
      <c r="A37" s="39" t="str">
        <f>'3M-IS'!A35</f>
        <v>Pretax Income</v>
      </c>
      <c r="B37" s="40">
        <f>VLOOKUP($A37,'3M-IS'!$A$8:$K$61,11,FALSE)</f>
        <v>7053</v>
      </c>
      <c r="C37" s="40">
        <f>VLOOKUP($A37,'3M-IS'!$A$8:$K$61,10,FALSE)</f>
        <v>7548</v>
      </c>
      <c r="D37" s="40">
        <f>VLOOKUP($A37,'3M-IS'!$A$8:$K$61,9,FALSE)</f>
        <v>7000</v>
      </c>
      <c r="E37" s="40">
        <f>VLOOKUP($A37,'3M-IS'!$A$8:$K$61,8,FALSE)</f>
        <v>5712</v>
      </c>
      <c r="F37" s="40">
        <f>VLOOKUP($A37,'3M-IS'!$A$8:$K$61,7,FALSE)</f>
        <v>6795</v>
      </c>
      <c r="G37" s="40">
        <f>VLOOKUP($A37,'3M-IS'!$A$8:$K$61,6,FALSE)</f>
        <v>7204</v>
      </c>
      <c r="H37" s="40">
        <f>VLOOKUP($A37,'3M-IS'!$A$8:$K$61,5,FALSE)</f>
        <v>6392</v>
      </c>
      <c r="I37" s="40">
        <f>VLOOKUP($A37,'3M-IS'!$A$8:$K$61,4,FALSE)</f>
        <v>-11271</v>
      </c>
      <c r="J37" s="40">
        <f>VLOOKUP($A37,'3M-IS'!$A$8:$K$61,3,FALSE)</f>
        <v>4819</v>
      </c>
      <c r="K37" s="63">
        <f>VLOOKUP($A37,'3M-IS'!$A$8:$K$61,2,FALSE)</f>
        <v>4213</v>
      </c>
      <c r="L37" s="129">
        <f ca="1">L14+L21+L27-L24</f>
        <v>4705.8266482875551</v>
      </c>
      <c r="M37" s="129">
        <f t="shared" ref="M37:V37" ca="1" si="29">M14+M21+M27-M24</f>
        <v>5216.5520480582254</v>
      </c>
      <c r="N37" s="129">
        <f t="shared" ca="1" si="29"/>
        <v>5847.1999025041805</v>
      </c>
      <c r="O37" s="129">
        <f t="shared" ca="1" si="29"/>
        <v>6467.4697257142661</v>
      </c>
      <c r="P37" s="129">
        <f t="shared" ca="1" si="29"/>
        <v>7150.4088300619878</v>
      </c>
      <c r="Q37" s="129">
        <f t="shared" ca="1" si="29"/>
        <v>7771.7012420037427</v>
      </c>
      <c r="R37" s="129">
        <f t="shared" ca="1" si="29"/>
        <v>8435.4805249017172</v>
      </c>
      <c r="S37" s="129">
        <f t="shared" ca="1" si="29"/>
        <v>9130.0406858793285</v>
      </c>
      <c r="T37" s="129">
        <f t="shared" ca="1" si="29"/>
        <v>9858.1677831821253</v>
      </c>
      <c r="U37" s="129">
        <f t="shared" ca="1" si="29"/>
        <v>10609.332965464973</v>
      </c>
      <c r="V37" s="129">
        <f t="shared" ca="1" si="29"/>
        <v>11408.853039695519</v>
      </c>
      <c r="W37" s="184"/>
      <c r="X37" s="89">
        <f t="shared" si="4"/>
        <v>0.16887125220458554</v>
      </c>
      <c r="Y37" s="50" t="s">
        <v>221</v>
      </c>
    </row>
    <row r="38" spans="1:25" x14ac:dyDescent="0.2">
      <c r="A38" s="39" t="str">
        <f>'3M-IS'!A36</f>
        <v>Income Taxes</v>
      </c>
      <c r="B38" s="40">
        <f>VLOOKUP($A38,'3M-IS'!$A$8:$K$61,11,FALSE)</f>
        <v>1995</v>
      </c>
      <c r="C38" s="40">
        <f>VLOOKUP($A38,'3M-IS'!$A$8:$K$61,10,FALSE)</f>
        <v>2679</v>
      </c>
      <c r="D38" s="40">
        <f>VLOOKUP($A38,'3M-IS'!$A$8:$K$61,9,FALSE)</f>
        <v>1637</v>
      </c>
      <c r="E38" s="40">
        <f>VLOOKUP($A38,'3M-IS'!$A$8:$K$61,8,FALSE)</f>
        <v>1130</v>
      </c>
      <c r="F38" s="40">
        <f>VLOOKUP($A38,'3M-IS'!$A$8:$K$61,7,FALSE)</f>
        <v>1337</v>
      </c>
      <c r="G38" s="40">
        <f>VLOOKUP($A38,'3M-IS'!$A$8:$K$61,6,FALSE)</f>
        <v>1285</v>
      </c>
      <c r="H38" s="40">
        <f>VLOOKUP($A38,'3M-IS'!$A$8:$K$61,5,FALSE)</f>
        <v>612</v>
      </c>
      <c r="I38" s="40">
        <f>VLOOKUP($A38,'3M-IS'!$A$8:$K$61,4,FALSE)</f>
        <v>-2867</v>
      </c>
      <c r="J38" s="40">
        <f>VLOOKUP($A38,'3M-IS'!$A$8:$K$61,3,FALSE)</f>
        <v>804</v>
      </c>
      <c r="K38" s="63">
        <f>VLOOKUP($A38,'3M-IS'!$A$8:$K$61,2,FALSE)</f>
        <v>1003</v>
      </c>
      <c r="L38" s="129">
        <f ca="1">L37*L16</f>
        <v>988.22359614038658</v>
      </c>
      <c r="M38" s="129">
        <f t="shared" ref="M38:V38" ca="1" si="30">M37*M16</f>
        <v>1095.4759300922274</v>
      </c>
      <c r="N38" s="129">
        <f t="shared" ca="1" si="30"/>
        <v>1227.9119795258778</v>
      </c>
      <c r="O38" s="129">
        <f t="shared" ca="1" si="30"/>
        <v>1358.1686423999959</v>
      </c>
      <c r="P38" s="129">
        <f t="shared" ca="1" si="30"/>
        <v>1501.5858543130173</v>
      </c>
      <c r="Q38" s="129">
        <f t="shared" ca="1" si="30"/>
        <v>1632.0572608207858</v>
      </c>
      <c r="R38" s="129">
        <f t="shared" ca="1" si="30"/>
        <v>1771.4509102293605</v>
      </c>
      <c r="S38" s="129">
        <f t="shared" ca="1" si="30"/>
        <v>1917.308544034659</v>
      </c>
      <c r="T38" s="129">
        <f t="shared" ca="1" si="30"/>
        <v>2070.2152344682463</v>
      </c>
      <c r="U38" s="129">
        <f t="shared" ca="1" si="30"/>
        <v>2227.9599227476442</v>
      </c>
      <c r="V38" s="191">
        <f t="shared" ca="1" si="30"/>
        <v>2395.859138336059</v>
      </c>
      <c r="W38" s="184"/>
      <c r="X38" s="88">
        <f t="shared" si="4"/>
        <v>4.0203623536956869E-2</v>
      </c>
    </row>
    <row r="39" spans="1:25" hidden="1" x14ac:dyDescent="0.2">
      <c r="A39" s="37" t="str">
        <f>'3M-IS'!A37</f>
        <v>Income Taxes - Current Domestic</v>
      </c>
      <c r="B39" s="38">
        <f>VLOOKUP($A39,'3M-IS'!$A$8:$K$61,11,FALSE)</f>
        <v>1267</v>
      </c>
      <c r="C39" s="38">
        <f>VLOOKUP($A39,'3M-IS'!$A$8:$K$61,10,FALSE)</f>
        <v>1704</v>
      </c>
      <c r="D39" s="38">
        <f>VLOOKUP($A39,'3M-IS'!$A$8:$K$61,9,FALSE)</f>
        <v>983</v>
      </c>
      <c r="E39" s="38">
        <f>VLOOKUP($A39,'3M-IS'!$A$8:$K$61,8,FALSE)</f>
        <v>593</v>
      </c>
      <c r="F39" s="38">
        <f>VLOOKUP($A39,'3M-IS'!$A$8:$K$61,7,FALSE)</f>
        <v>843</v>
      </c>
      <c r="G39" s="38">
        <f>VLOOKUP($A39,'3M-IS'!$A$8:$K$61,6,FALSE)</f>
        <v>860</v>
      </c>
      <c r="H39" s="38">
        <f>VLOOKUP($A39,'3M-IS'!$A$8:$K$61,5,FALSE)</f>
        <v>681</v>
      </c>
      <c r="I39" s="38">
        <f>VLOOKUP($A39,'3M-IS'!$A$8:$K$61,4,FALSE)</f>
        <v>340</v>
      </c>
      <c r="J39" s="38">
        <f>VLOOKUP($A39,'3M-IS'!$A$8:$K$61,3,FALSE)</f>
        <v>-81</v>
      </c>
      <c r="K39" s="60">
        <f>VLOOKUP($A39,'3M-IS'!$A$8:$K$61,2,FALSE)</f>
        <v>-12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59"/>
      <c r="W39" s="184"/>
      <c r="X39" s="88">
        <f t="shared" si="4"/>
        <v>-4.8100048100048102E-4</v>
      </c>
    </row>
    <row r="40" spans="1:25" hidden="1" x14ac:dyDescent="0.2">
      <c r="A40" s="37" t="str">
        <f>'3M-IS'!A38</f>
        <v>Income Taxes - Current Foreign</v>
      </c>
      <c r="B40" s="38">
        <f>VLOOKUP($A40,'3M-IS'!$A$8:$K$61,11,FALSE)</f>
        <v>733</v>
      </c>
      <c r="C40" s="38">
        <f>VLOOKUP($A40,'3M-IS'!$A$8:$K$61,10,FALSE)</f>
        <v>722</v>
      </c>
      <c r="D40" s="38">
        <f>VLOOKUP($A40,'3M-IS'!$A$8:$K$61,9,FALSE)</f>
        <v>763</v>
      </c>
      <c r="E40" s="38">
        <f>VLOOKUP($A40,'3M-IS'!$A$8:$K$61,8,FALSE)</f>
        <v>673</v>
      </c>
      <c r="F40" s="38">
        <f>VLOOKUP($A40,'3M-IS'!$A$8:$K$61,7,FALSE)</f>
        <v>632</v>
      </c>
      <c r="G40" s="38">
        <f>VLOOKUP($A40,'3M-IS'!$A$8:$K$61,6,FALSE)</f>
        <v>597</v>
      </c>
      <c r="H40" s="38">
        <f>VLOOKUP($A40,'3M-IS'!$A$8:$K$61,5,FALSE)</f>
        <v>621</v>
      </c>
      <c r="I40" s="38">
        <f>VLOOKUP($A40,'3M-IS'!$A$8:$K$61,4,FALSE)</f>
        <v>494</v>
      </c>
      <c r="J40" s="38">
        <f>VLOOKUP($A40,'3M-IS'!$A$8:$K$61,3,FALSE)</f>
        <v>583</v>
      </c>
      <c r="K40" s="60">
        <f>VLOOKUP($A40,'3M-IS'!$A$8:$K$61,2,FALSE)</f>
        <v>597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59"/>
      <c r="W40" s="184"/>
      <c r="X40" s="88">
        <f t="shared" si="4"/>
        <v>2.3929773929773929E-2</v>
      </c>
    </row>
    <row r="41" spans="1:25" hidden="1" x14ac:dyDescent="0.2">
      <c r="A41" s="37" t="str">
        <f>'3M-IS'!A39</f>
        <v>Income Taxes - Deferred Domestic</v>
      </c>
      <c r="B41" s="38">
        <f>VLOOKUP($A41,'3M-IS'!$A$8:$K$61,11,FALSE)</f>
        <v>6</v>
      </c>
      <c r="C41" s="38">
        <f>VLOOKUP($A41,'3M-IS'!$A$8:$K$61,10,FALSE)</f>
        <v>177</v>
      </c>
      <c r="D41" s="38">
        <f>VLOOKUP($A41,'3M-IS'!$A$8:$K$61,9,FALSE)</f>
        <v>-55</v>
      </c>
      <c r="E41" s="38">
        <f>VLOOKUP($A41,'3M-IS'!$A$8:$K$61,8,FALSE)</f>
        <v>-58</v>
      </c>
      <c r="F41" s="38">
        <f>VLOOKUP($A41,'3M-IS'!$A$8:$K$61,7,FALSE)</f>
        <v>-61</v>
      </c>
      <c r="G41" s="38">
        <f>VLOOKUP($A41,'3M-IS'!$A$8:$K$61,6,FALSE)</f>
        <v>-244</v>
      </c>
      <c r="H41" s="38">
        <f>VLOOKUP($A41,'3M-IS'!$A$8:$K$61,5,FALSE)</f>
        <v>-688</v>
      </c>
      <c r="I41" s="38">
        <f>VLOOKUP($A41,'3M-IS'!$A$8:$K$61,4,FALSE)</f>
        <v>-3579</v>
      </c>
      <c r="J41" s="38">
        <f>VLOOKUP($A41,'3M-IS'!$A$8:$K$61,3,FALSE)</f>
        <v>329</v>
      </c>
      <c r="K41" s="60">
        <f>VLOOKUP($A41,'3M-IS'!$A$8:$K$61,2,FALSE)</f>
        <v>328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59"/>
      <c r="W41" s="184"/>
      <c r="X41" s="88">
        <f t="shared" si="4"/>
        <v>1.3147346480679814E-2</v>
      </c>
    </row>
    <row r="42" spans="1:25" hidden="1" x14ac:dyDescent="0.2">
      <c r="A42" s="37" t="str">
        <f>'3M-IS'!A40</f>
        <v>Income Taxes - Deferred Foreign</v>
      </c>
      <c r="B42" s="38">
        <f>VLOOKUP($A42,'3M-IS'!$A$8:$K$61,11,FALSE)</f>
        <v>-11</v>
      </c>
      <c r="C42" s="38">
        <f>VLOOKUP($A42,'3M-IS'!$A$8:$K$61,10,FALSE)</f>
        <v>76</v>
      </c>
      <c r="D42" s="38">
        <f>VLOOKUP($A42,'3M-IS'!$A$8:$K$61,9,FALSE)</f>
        <v>-54</v>
      </c>
      <c r="E42" s="38">
        <f>VLOOKUP($A42,'3M-IS'!$A$8:$K$61,8,FALSE)</f>
        <v>-78</v>
      </c>
      <c r="F42" s="38">
        <f>VLOOKUP($A42,'3M-IS'!$A$8:$K$61,7,FALSE)</f>
        <v>-77</v>
      </c>
      <c r="G42" s="38">
        <f>VLOOKUP($A42,'3M-IS'!$A$8:$K$61,6,FALSE)</f>
        <v>72</v>
      </c>
      <c r="H42" s="38">
        <f>VLOOKUP($A42,'3M-IS'!$A$8:$K$61,5,FALSE)</f>
        <v>-2</v>
      </c>
      <c r="I42" s="38">
        <f>VLOOKUP($A42,'3M-IS'!$A$8:$K$61,4,FALSE)</f>
        <v>-122</v>
      </c>
      <c r="J42" s="38">
        <f>VLOOKUP($A42,'3M-IS'!$A$8:$K$61,3,FALSE)</f>
        <v>-27</v>
      </c>
      <c r="K42" s="60">
        <f>VLOOKUP($A42,'3M-IS'!$A$8:$K$61,2,FALSE)</f>
        <v>90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59"/>
      <c r="W42" s="184"/>
      <c r="X42" s="88">
        <f t="shared" si="4"/>
        <v>3.6075036075036075E-3</v>
      </c>
    </row>
    <row r="43" spans="1:25" x14ac:dyDescent="0.2">
      <c r="A43" s="39" t="str">
        <f>'3M-IS'!A41</f>
        <v>Equity in Earnings of Affiliates</v>
      </c>
      <c r="B43" s="40">
        <f>VLOOKUP($A43,'3M-IS'!$A$8:$K$61,11,FALSE)</f>
        <v>0</v>
      </c>
      <c r="C43" s="40">
        <f>VLOOKUP($A43,'3M-IS'!$A$8:$K$61,10,FALSE)</f>
        <v>0</v>
      </c>
      <c r="D43" s="40">
        <f>VLOOKUP($A43,'3M-IS'!$A$8:$K$61,9,FALSE)</f>
        <v>0</v>
      </c>
      <c r="E43" s="40">
        <f>VLOOKUP($A43,'3M-IS'!$A$8:$K$61,8,FALSE)</f>
        <v>0</v>
      </c>
      <c r="F43" s="40">
        <f>VLOOKUP($A43,'3M-IS'!$A$8:$K$61,7,FALSE)</f>
        <v>-5</v>
      </c>
      <c r="G43" s="40">
        <f>VLOOKUP($A43,'3M-IS'!$A$8:$K$61,6,FALSE)</f>
        <v>10</v>
      </c>
      <c r="H43" s="40">
        <f>VLOOKUP($A43,'3M-IS'!$A$8:$K$61,5,FALSE)</f>
        <v>11</v>
      </c>
      <c r="I43" s="40">
        <f>VLOOKUP($A43,'3M-IS'!$A$8:$K$61,4,FALSE)</f>
        <v>18</v>
      </c>
      <c r="J43" s="40">
        <f>VLOOKUP($A43,'3M-IS'!$A$8:$K$61,3,FALSE)</f>
        <v>9</v>
      </c>
      <c r="K43" s="63">
        <f>VLOOKUP($A43,'3M-IS'!$A$8:$K$61,2,FALSE)</f>
        <v>52</v>
      </c>
      <c r="L43" s="129">
        <v>0</v>
      </c>
      <c r="M43" s="129">
        <f t="shared" ref="M43:V43" si="31">L43</f>
        <v>0</v>
      </c>
      <c r="N43" s="129">
        <f t="shared" si="31"/>
        <v>0</v>
      </c>
      <c r="O43" s="129">
        <f t="shared" si="31"/>
        <v>0</v>
      </c>
      <c r="P43" s="129">
        <f t="shared" si="31"/>
        <v>0</v>
      </c>
      <c r="Q43" s="129">
        <f t="shared" si="31"/>
        <v>0</v>
      </c>
      <c r="R43" s="129">
        <f t="shared" si="31"/>
        <v>0</v>
      </c>
      <c r="S43" s="129">
        <f t="shared" si="31"/>
        <v>0</v>
      </c>
      <c r="T43" s="129">
        <f t="shared" si="31"/>
        <v>0</v>
      </c>
      <c r="U43" s="129">
        <f t="shared" si="31"/>
        <v>0</v>
      </c>
      <c r="V43" s="191">
        <f t="shared" si="31"/>
        <v>0</v>
      </c>
      <c r="W43" s="184"/>
      <c r="X43" s="88"/>
    </row>
    <row r="44" spans="1:25" x14ac:dyDescent="0.2">
      <c r="A44" s="39" t="str">
        <f>'3M-IS'!A42</f>
        <v>Consolidated Net Income</v>
      </c>
      <c r="B44" s="40">
        <f>VLOOKUP($A44,'3M-IS'!$A$8:$K$61,11,FALSE)</f>
        <v>5058</v>
      </c>
      <c r="C44" s="40">
        <f>VLOOKUP($A44,'3M-IS'!$A$8:$K$61,10,FALSE)</f>
        <v>4869</v>
      </c>
      <c r="D44" s="40">
        <f>VLOOKUP($A44,'3M-IS'!$A$8:$K$61,9,FALSE)</f>
        <v>5363</v>
      </c>
      <c r="E44" s="40">
        <f>VLOOKUP($A44,'3M-IS'!$A$8:$K$61,8,FALSE)</f>
        <v>4582</v>
      </c>
      <c r="F44" s="40">
        <f>VLOOKUP($A44,'3M-IS'!$A$8:$K$61,7,FALSE)</f>
        <v>5453</v>
      </c>
      <c r="G44" s="40">
        <f>VLOOKUP($A44,'3M-IS'!$A$8:$K$61,6,FALSE)</f>
        <v>5929</v>
      </c>
      <c r="H44" s="40">
        <f>VLOOKUP($A44,'3M-IS'!$A$8:$K$61,5,FALSE)</f>
        <v>5791</v>
      </c>
      <c r="I44" s="40">
        <f>VLOOKUP($A44,'3M-IS'!$A$8:$K$61,4,FALSE)</f>
        <v>-8386</v>
      </c>
      <c r="J44" s="40">
        <f>VLOOKUP($A44,'3M-IS'!$A$8:$K$61,3,FALSE)</f>
        <v>4024</v>
      </c>
      <c r="K44" s="63">
        <f>VLOOKUP($A44,'3M-IS'!$A$8:$K$61,2,FALSE)</f>
        <v>3262</v>
      </c>
      <c r="L44" s="129">
        <f ca="1">L37-L38+L43</f>
        <v>3717.6030521471685</v>
      </c>
      <c r="M44" s="129">
        <f t="shared" ref="M44:V44" ca="1" si="32">M37-M38+M43</f>
        <v>4121.0761179659985</v>
      </c>
      <c r="N44" s="129">
        <f t="shared" ca="1" si="32"/>
        <v>4619.287922978303</v>
      </c>
      <c r="O44" s="129">
        <f t="shared" ca="1" si="32"/>
        <v>5109.3010833142707</v>
      </c>
      <c r="P44" s="129">
        <f t="shared" ca="1" si="32"/>
        <v>5648.8229757489707</v>
      </c>
      <c r="Q44" s="129">
        <f t="shared" ca="1" si="32"/>
        <v>6139.6439811829568</v>
      </c>
      <c r="R44" s="129">
        <f t="shared" ca="1" si="32"/>
        <v>6664.0296146723567</v>
      </c>
      <c r="S44" s="129">
        <f t="shared" ca="1" si="32"/>
        <v>7212.73214184467</v>
      </c>
      <c r="T44" s="129">
        <f t="shared" ca="1" si="32"/>
        <v>7787.952548713879</v>
      </c>
      <c r="U44" s="129">
        <f t="shared" ca="1" si="32"/>
        <v>8381.3730427173286</v>
      </c>
      <c r="V44" s="191">
        <f t="shared" ca="1" si="32"/>
        <v>9012.9939013594594</v>
      </c>
      <c r="W44" s="184"/>
      <c r="X44" s="88">
        <f t="shared" si="4"/>
        <v>0.13075196408529741</v>
      </c>
    </row>
    <row r="45" spans="1:25" x14ac:dyDescent="0.2">
      <c r="A45" s="37" t="str">
        <f>'3M-IS'!A43</f>
        <v>Minority Interest</v>
      </c>
      <c r="B45" s="38">
        <f>VLOOKUP($A45,'3M-IS'!$A$8:$K$61,11,FALSE)</f>
        <v>8</v>
      </c>
      <c r="C45" s="38">
        <f>VLOOKUP($A45,'3M-IS'!$A$8:$K$61,10,FALSE)</f>
        <v>11</v>
      </c>
      <c r="D45" s="38">
        <f>VLOOKUP($A45,'3M-IS'!$A$8:$K$61,9,FALSE)</f>
        <v>14</v>
      </c>
      <c r="E45" s="38">
        <f>VLOOKUP($A45,'3M-IS'!$A$8:$K$61,8,FALSE)</f>
        <v>12</v>
      </c>
      <c r="F45" s="38">
        <f>VLOOKUP($A45,'3M-IS'!$A$8:$K$61,7,FALSE)</f>
        <v>4</v>
      </c>
      <c r="G45" s="38">
        <f>VLOOKUP($A45,'3M-IS'!$A$8:$K$61,6,FALSE)</f>
        <v>8</v>
      </c>
      <c r="H45" s="38">
        <f>VLOOKUP($A45,'3M-IS'!$A$8:$K$61,5,FALSE)</f>
        <v>14</v>
      </c>
      <c r="I45" s="38">
        <f>VLOOKUP($A45,'3M-IS'!$A$8:$K$61,4,FALSE)</f>
        <v>16</v>
      </c>
      <c r="J45" s="38">
        <f>VLOOKUP($A45,'3M-IS'!$A$8:$K$61,3,FALSE)</f>
        <v>15</v>
      </c>
      <c r="K45" s="60">
        <f>VLOOKUP($A45,'3M-IS'!$A$8:$K$61,2,FALSE)</f>
        <v>12</v>
      </c>
      <c r="L45" s="90">
        <f>K45</f>
        <v>12</v>
      </c>
      <c r="M45" s="90">
        <f t="shared" ref="M45:V45" si="33">L45</f>
        <v>12</v>
      </c>
      <c r="N45" s="90">
        <f t="shared" si="33"/>
        <v>12</v>
      </c>
      <c r="O45" s="90">
        <f t="shared" si="33"/>
        <v>12</v>
      </c>
      <c r="P45" s="90">
        <f t="shared" si="33"/>
        <v>12</v>
      </c>
      <c r="Q45" s="90">
        <f t="shared" si="33"/>
        <v>12</v>
      </c>
      <c r="R45" s="90">
        <f t="shared" si="33"/>
        <v>12</v>
      </c>
      <c r="S45" s="90">
        <f t="shared" si="33"/>
        <v>12</v>
      </c>
      <c r="T45" s="90">
        <f t="shared" si="33"/>
        <v>12</v>
      </c>
      <c r="U45" s="90">
        <f t="shared" si="33"/>
        <v>12</v>
      </c>
      <c r="V45" s="109">
        <f t="shared" si="33"/>
        <v>12</v>
      </c>
      <c r="W45" s="184"/>
      <c r="X45" s="88">
        <f t="shared" si="4"/>
        <v>4.8100048100048102E-4</v>
      </c>
    </row>
    <row r="46" spans="1:25" x14ac:dyDescent="0.2">
      <c r="A46" s="39" t="str">
        <f>'3M-IS'!A44</f>
        <v>Net Income</v>
      </c>
      <c r="B46" s="40">
        <f>VLOOKUP($A46,'3M-IS'!$A$8:$K$61,11,FALSE)</f>
        <v>5050</v>
      </c>
      <c r="C46" s="40">
        <f>VLOOKUP($A46,'3M-IS'!$A$8:$K$61,10,FALSE)</f>
        <v>4858</v>
      </c>
      <c r="D46" s="40">
        <f>VLOOKUP($A46,'3M-IS'!$A$8:$K$61,9,FALSE)</f>
        <v>5349</v>
      </c>
      <c r="E46" s="40">
        <f>VLOOKUP($A46,'3M-IS'!$A$8:$K$61,8,FALSE)</f>
        <v>4570</v>
      </c>
      <c r="F46" s="40">
        <f>VLOOKUP($A46,'3M-IS'!$A$8:$K$61,7,FALSE)</f>
        <v>5449</v>
      </c>
      <c r="G46" s="40">
        <f>VLOOKUP($A46,'3M-IS'!$A$8:$K$61,6,FALSE)</f>
        <v>5921</v>
      </c>
      <c r="H46" s="40">
        <f>VLOOKUP($A46,'3M-IS'!$A$8:$K$61,5,FALSE)</f>
        <v>5777</v>
      </c>
      <c r="I46" s="40">
        <f>VLOOKUP($A46,'3M-IS'!$A$8:$K$61,4,FALSE)</f>
        <v>-8402</v>
      </c>
      <c r="J46" s="40">
        <f>VLOOKUP($A46,'3M-IS'!$A$8:$K$61,3,FALSE)</f>
        <v>4009</v>
      </c>
      <c r="K46" s="63">
        <f>VLOOKUP($A46,'3M-IS'!$A$8:$K$61,2,FALSE)</f>
        <v>3250</v>
      </c>
      <c r="L46" s="129">
        <f ca="1">L44-L45</f>
        <v>3705.6030521471685</v>
      </c>
      <c r="M46" s="129">
        <f t="shared" ref="M46:V46" ca="1" si="34">M44-M45</f>
        <v>4109.0761179659985</v>
      </c>
      <c r="N46" s="129">
        <f t="shared" ca="1" si="34"/>
        <v>4607.287922978303</v>
      </c>
      <c r="O46" s="129">
        <f t="shared" ca="1" si="34"/>
        <v>5097.3010833142707</v>
      </c>
      <c r="P46" s="129">
        <f t="shared" ca="1" si="34"/>
        <v>5636.8229757489707</v>
      </c>
      <c r="Q46" s="129">
        <f t="shared" ca="1" si="34"/>
        <v>6127.6439811829568</v>
      </c>
      <c r="R46" s="129">
        <f t="shared" ca="1" si="34"/>
        <v>6652.0296146723567</v>
      </c>
      <c r="S46" s="129">
        <f t="shared" ca="1" si="34"/>
        <v>7200.73214184467</v>
      </c>
      <c r="T46" s="129">
        <f t="shared" ca="1" si="34"/>
        <v>7775.952548713879</v>
      </c>
      <c r="U46" s="129">
        <f t="shared" ca="1" si="34"/>
        <v>8369.3730427173286</v>
      </c>
      <c r="V46" s="191">
        <f t="shared" ca="1" si="34"/>
        <v>9000.9939013594594</v>
      </c>
      <c r="W46" s="184"/>
      <c r="X46" s="89">
        <f t="shared" si="4"/>
        <v>0.13027096360429694</v>
      </c>
      <c r="Y46" s="50" t="s">
        <v>220</v>
      </c>
    </row>
    <row r="47" spans="1:25" x14ac:dyDescent="0.2">
      <c r="A47" s="37" t="str">
        <f>'3M-IS'!A45</f>
        <v>Discontinued Operations</v>
      </c>
      <c r="B47" s="38">
        <f>VLOOKUP($A47,'3M-IS'!$A$8:$K$61,11,FALSE)</f>
        <v>0</v>
      </c>
      <c r="C47" s="38">
        <f>VLOOKUP($A47,'3M-IS'!$A$8:$K$61,10,FALSE)</f>
        <v>0</v>
      </c>
      <c r="D47" s="38">
        <f>VLOOKUP($A47,'3M-IS'!$A$8:$K$61,9,FALSE)</f>
        <v>0</v>
      </c>
      <c r="E47" s="38">
        <f>VLOOKUP($A47,'3M-IS'!$A$8:$K$61,8,FALSE)</f>
        <v>0</v>
      </c>
      <c r="F47" s="38">
        <f>VLOOKUP($A47,'3M-IS'!$A$8:$K$61,7,FALSE)</f>
        <v>0</v>
      </c>
      <c r="G47" s="38">
        <f>VLOOKUP($A47,'3M-IS'!$A$8:$K$61,6,FALSE)</f>
        <v>0</v>
      </c>
      <c r="H47" s="38">
        <f>VLOOKUP($A47,'3M-IS'!$A$8:$K$61,5,FALSE)</f>
        <v>0</v>
      </c>
      <c r="I47" s="38">
        <f>VLOOKUP($A47,'3M-IS'!$A$8:$K$61,4,FALSE)</f>
        <v>1407</v>
      </c>
      <c r="J47" s="38">
        <f>VLOOKUP($A47,'3M-IS'!$A$8:$K$61,3,FALSE)</f>
        <v>164</v>
      </c>
      <c r="K47" s="60">
        <f>VLOOKUP($A47,'3M-IS'!$A$8:$K$61,2,FALSE)</f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59">
        <v>0</v>
      </c>
      <c r="W47" s="184"/>
      <c r="X47" s="88">
        <f t="shared" si="4"/>
        <v>0</v>
      </c>
    </row>
    <row r="48" spans="1:25" x14ac:dyDescent="0.2">
      <c r="A48" s="37" t="str">
        <f>'3M-IS'!A46</f>
        <v>Net Income available to Common</v>
      </c>
      <c r="B48" s="38">
        <f>VLOOKUP($A48,'3M-IS'!$A$8:$K$61,11,FALSE)</f>
        <v>5050</v>
      </c>
      <c r="C48" s="38">
        <f>VLOOKUP($A48,'3M-IS'!$A$8:$K$61,10,FALSE)</f>
        <v>4858</v>
      </c>
      <c r="D48" s="38">
        <f>VLOOKUP($A48,'3M-IS'!$A$8:$K$61,9,FALSE)</f>
        <v>5349</v>
      </c>
      <c r="E48" s="38">
        <f>VLOOKUP($A48,'3M-IS'!$A$8:$K$61,8,FALSE)</f>
        <v>4570</v>
      </c>
      <c r="F48" s="38">
        <f>VLOOKUP($A48,'3M-IS'!$A$8:$K$61,7,FALSE)</f>
        <v>5449</v>
      </c>
      <c r="G48" s="38">
        <f>VLOOKUP($A48,'3M-IS'!$A$8:$K$61,6,FALSE)</f>
        <v>5921</v>
      </c>
      <c r="H48" s="38">
        <f>VLOOKUP($A48,'3M-IS'!$A$8:$K$61,5,FALSE)</f>
        <v>5777</v>
      </c>
      <c r="I48" s="38">
        <f>VLOOKUP($A48,'3M-IS'!$A$8:$K$61,4,FALSE)</f>
        <v>-6995</v>
      </c>
      <c r="J48" s="38">
        <f>VLOOKUP($A48,'3M-IS'!$A$8:$K$61,3,FALSE)</f>
        <v>4173</v>
      </c>
      <c r="K48" s="60">
        <f>VLOOKUP($A48,'3M-IS'!$A$8:$K$61,2,FALSE)</f>
        <v>3250</v>
      </c>
      <c r="L48" s="87">
        <f ca="1">L46</f>
        <v>3705.6030521471685</v>
      </c>
      <c r="M48" s="87">
        <f t="shared" ref="M48:V48" ca="1" si="35">M46</f>
        <v>4109.0761179659985</v>
      </c>
      <c r="N48" s="87">
        <f t="shared" ca="1" si="35"/>
        <v>4607.287922978303</v>
      </c>
      <c r="O48" s="87">
        <f t="shared" ca="1" si="35"/>
        <v>5097.3010833142707</v>
      </c>
      <c r="P48" s="87">
        <f t="shared" ca="1" si="35"/>
        <v>5636.8229757489707</v>
      </c>
      <c r="Q48" s="87">
        <f t="shared" ca="1" si="35"/>
        <v>6127.6439811829568</v>
      </c>
      <c r="R48" s="87">
        <f t="shared" ca="1" si="35"/>
        <v>6652.0296146723567</v>
      </c>
      <c r="S48" s="87">
        <f t="shared" ca="1" si="35"/>
        <v>7200.73214184467</v>
      </c>
      <c r="T48" s="87">
        <f t="shared" ca="1" si="35"/>
        <v>7775.952548713879</v>
      </c>
      <c r="U48" s="87">
        <f t="shared" ca="1" si="35"/>
        <v>8369.3730427173286</v>
      </c>
      <c r="V48" s="177">
        <f t="shared" ca="1" si="35"/>
        <v>9000.9939013594594</v>
      </c>
      <c r="W48" s="184"/>
      <c r="X48" s="89">
        <f t="shared" si="4"/>
        <v>0.13027096360429694</v>
      </c>
    </row>
    <row r="49" spans="1:25" x14ac:dyDescent="0.2">
      <c r="A49" s="39" t="str">
        <f>'3M-IS'!A47</f>
        <v>Per Share</v>
      </c>
      <c r="B49" s="40"/>
      <c r="C49" s="40"/>
      <c r="D49" s="40"/>
      <c r="E49" s="40"/>
      <c r="F49" s="40"/>
      <c r="G49" s="40"/>
      <c r="H49" s="40"/>
      <c r="I49" s="40"/>
      <c r="J49" s="40"/>
      <c r="K49" s="63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59"/>
      <c r="W49" s="184"/>
      <c r="X49" s="88"/>
    </row>
    <row r="50" spans="1:25" x14ac:dyDescent="0.2">
      <c r="A50" s="39" t="str">
        <f>'3M-IS'!A49</f>
        <v>EPS (basic)</v>
      </c>
      <c r="B50" s="40">
        <f>VLOOKUP($A50,'3M-IS'!$A$8:$K$61,11,FALSE)</f>
        <v>8.35</v>
      </c>
      <c r="C50" s="40">
        <f>VLOOKUP($A50,'3M-IS'!$A$8:$K$61,10,FALSE)</f>
        <v>8.1300000000000008</v>
      </c>
      <c r="D50" s="40">
        <f>VLOOKUP($A50,'3M-IS'!$A$8:$K$61,9,FALSE)</f>
        <v>9.09</v>
      </c>
      <c r="E50" s="40">
        <f>VLOOKUP($A50,'3M-IS'!$A$8:$K$61,8,FALSE)</f>
        <v>7.9203000000000001</v>
      </c>
      <c r="F50" s="40">
        <f>VLOOKUP($A50,'3M-IS'!$A$8:$K$61,7,FALSE)</f>
        <v>9.4338999999999995</v>
      </c>
      <c r="G50" s="40">
        <f>VLOOKUP($A50,'3M-IS'!$A$8:$K$61,6,FALSE)</f>
        <v>10.2262</v>
      </c>
      <c r="H50" s="40">
        <f>VLOOKUP($A50,'3M-IS'!$A$8:$K$61,5,FALSE)</f>
        <v>10.2067</v>
      </c>
      <c r="I50" s="40">
        <f>VLOOKUP($A50,'3M-IS'!$A$8:$K$61,4,FALSE)</f>
        <v>-12.6286</v>
      </c>
      <c r="J50" s="40">
        <f>VLOOKUP($A50,'3M-IS'!$A$8:$K$61,3,FALSE)</f>
        <v>7.5762</v>
      </c>
      <c r="K50" s="63">
        <f>VLOOKUP($A50,'3M-IS'!$A$8:$K$61,2,FALSE)</f>
        <v>6.0476000000000001</v>
      </c>
      <c r="L50" s="90">
        <f t="shared" ref="L50:V50" ca="1" si="36">L48/L51</f>
        <v>6.8954280836382003</v>
      </c>
      <c r="M50" s="90">
        <f t="shared" ca="1" si="36"/>
        <v>7.6462153293003325</v>
      </c>
      <c r="N50" s="90">
        <f t="shared" ca="1" si="36"/>
        <v>8.5732934927024615</v>
      </c>
      <c r="O50" s="90">
        <f t="shared" ca="1" si="36"/>
        <v>9.4851155253335886</v>
      </c>
      <c r="P50" s="90">
        <f t="shared" ca="1" si="36"/>
        <v>10.489063966782604</v>
      </c>
      <c r="Q50" s="90">
        <f t="shared" ca="1" si="36"/>
        <v>11.402389246711866</v>
      </c>
      <c r="R50" s="90">
        <f t="shared" ca="1" si="36"/>
        <v>12.378171966267876</v>
      </c>
      <c r="S50" s="90">
        <f t="shared" ca="1" si="36"/>
        <v>13.39920383670389</v>
      </c>
      <c r="T50" s="90">
        <f t="shared" ca="1" si="36"/>
        <v>14.469580477696091</v>
      </c>
      <c r="U50" s="90">
        <f t="shared" ca="1" si="36"/>
        <v>15.57382404673861</v>
      </c>
      <c r="V50" s="109">
        <f t="shared" ca="1" si="36"/>
        <v>16.749151286489504</v>
      </c>
      <c r="W50" s="184"/>
      <c r="X50" s="88"/>
    </row>
    <row r="51" spans="1:25" x14ac:dyDescent="0.2">
      <c r="A51" s="37" t="str">
        <f>'3M-IS'!A50</f>
        <v>Basic Shares Outstanding</v>
      </c>
      <c r="B51" s="38">
        <f>VLOOKUP($A51,'3M-IS'!$A$8:$K$61,11,FALSE)</f>
        <v>604.70000000000005</v>
      </c>
      <c r="C51" s="38">
        <f>VLOOKUP($A51,'3M-IS'!$A$8:$K$61,10,FALSE)</f>
        <v>597.5</v>
      </c>
      <c r="D51" s="38">
        <f>VLOOKUP($A51,'3M-IS'!$A$8:$K$61,9,FALSE)</f>
        <v>588.5</v>
      </c>
      <c r="E51" s="38">
        <f>VLOOKUP($A51,'3M-IS'!$A$8:$K$61,8,FALSE)</f>
        <v>577</v>
      </c>
      <c r="F51" s="38">
        <f>VLOOKUP($A51,'3M-IS'!$A$8:$K$61,7,FALSE)</f>
        <v>577.6</v>
      </c>
      <c r="G51" s="38">
        <f>VLOOKUP($A51,'3M-IS'!$A$8:$K$61,6,FALSE)</f>
        <v>579</v>
      </c>
      <c r="H51" s="38">
        <f>VLOOKUP($A51,'3M-IS'!$A$8:$K$61,5,FALSE)</f>
        <v>566</v>
      </c>
      <c r="I51" s="38">
        <f>VLOOKUP($A51,'3M-IS'!$A$8:$K$61,4,FALSE)</f>
        <v>553.9</v>
      </c>
      <c r="J51" s="38">
        <f>VLOOKUP($A51,'3M-IS'!$A$8:$K$61,3,FALSE)</f>
        <v>550.79999999999995</v>
      </c>
      <c r="K51" s="60">
        <f>VLOOKUP($A51,'3M-IS'!$A$8:$K$61,2,FALSE)</f>
        <v>537.4</v>
      </c>
      <c r="L51" s="90">
        <f>K51</f>
        <v>537.4</v>
      </c>
      <c r="M51" s="90">
        <f t="shared" ref="M51:V51" si="37">L51</f>
        <v>537.4</v>
      </c>
      <c r="N51" s="90">
        <f t="shared" si="37"/>
        <v>537.4</v>
      </c>
      <c r="O51" s="90">
        <f t="shared" si="37"/>
        <v>537.4</v>
      </c>
      <c r="P51" s="90">
        <f t="shared" si="37"/>
        <v>537.4</v>
      </c>
      <c r="Q51" s="90">
        <f t="shared" si="37"/>
        <v>537.4</v>
      </c>
      <c r="R51" s="90">
        <f t="shared" si="37"/>
        <v>537.4</v>
      </c>
      <c r="S51" s="90">
        <f t="shared" si="37"/>
        <v>537.4</v>
      </c>
      <c r="T51" s="90">
        <f t="shared" si="37"/>
        <v>537.4</v>
      </c>
      <c r="U51" s="90">
        <f t="shared" si="37"/>
        <v>537.4</v>
      </c>
      <c r="V51" s="109">
        <f t="shared" si="37"/>
        <v>537.4</v>
      </c>
      <c r="W51" s="184"/>
      <c r="X51" s="88"/>
    </row>
    <row r="52" spans="1:25" x14ac:dyDescent="0.2">
      <c r="A52" s="37" t="str">
        <f>'3M-IS'!A51</f>
        <v>Total Shares Outstanding</v>
      </c>
      <c r="B52" s="38">
        <f>VLOOKUP($A52,'3M-IS'!$A$8:$K$61,11,FALSE)</f>
        <v>596.72627799999998</v>
      </c>
      <c r="C52" s="38">
        <f>VLOOKUP($A52,'3M-IS'!$A$8:$K$61,10,FALSE)</f>
        <v>594.88423699999998</v>
      </c>
      <c r="D52" s="38">
        <f>VLOOKUP($A52,'3M-IS'!$A$8:$K$61,9,FALSE)</f>
        <v>576.57516799999996</v>
      </c>
      <c r="E52" s="38">
        <f>VLOOKUP($A52,'3M-IS'!$A$8:$K$61,8,FALSE)</f>
        <v>575.18483500000002</v>
      </c>
      <c r="F52" s="38">
        <f>VLOOKUP($A52,'3M-IS'!$A$8:$K$61,7,FALSE)</f>
        <v>577.749638</v>
      </c>
      <c r="G52" s="38">
        <f>VLOOKUP($A52,'3M-IS'!$A$8:$K$61,6,FALSE)</f>
        <v>571.84547799999996</v>
      </c>
      <c r="H52" s="38">
        <f>VLOOKUP($A52,'3M-IS'!$A$8:$K$61,5,FALSE)</f>
        <v>549.24510499999997</v>
      </c>
      <c r="I52" s="38">
        <f>VLOOKUP($A52,'3M-IS'!$A$8:$K$61,4,FALSE)</f>
        <v>552.58113600000001</v>
      </c>
      <c r="J52" s="38">
        <f>VLOOKUP($A52,'3M-IS'!$A$8:$K$61,3,FALSE)</f>
        <v>539.47030299999994</v>
      </c>
      <c r="K52" s="60">
        <f>VLOOKUP($A52,'3M-IS'!$A$8:$K$61,2,FALSE)</f>
        <v>530.27913100000001</v>
      </c>
      <c r="L52" s="90">
        <f>K52</f>
        <v>530.27913100000001</v>
      </c>
      <c r="M52" s="90">
        <f>L52</f>
        <v>530.27913100000001</v>
      </c>
      <c r="N52" s="90">
        <f t="shared" ref="N52:V52" si="38">M52</f>
        <v>530.27913100000001</v>
      </c>
      <c r="O52" s="90">
        <f t="shared" si="38"/>
        <v>530.27913100000001</v>
      </c>
      <c r="P52" s="90">
        <f t="shared" si="38"/>
        <v>530.27913100000001</v>
      </c>
      <c r="Q52" s="90">
        <f t="shared" si="38"/>
        <v>530.27913100000001</v>
      </c>
      <c r="R52" s="90">
        <f t="shared" si="38"/>
        <v>530.27913100000001</v>
      </c>
      <c r="S52" s="90">
        <f t="shared" si="38"/>
        <v>530.27913100000001</v>
      </c>
      <c r="T52" s="90">
        <f t="shared" si="38"/>
        <v>530.27913100000001</v>
      </c>
      <c r="U52" s="90">
        <f t="shared" si="38"/>
        <v>530.27913100000001</v>
      </c>
      <c r="V52" s="109">
        <f t="shared" si="38"/>
        <v>530.27913100000001</v>
      </c>
      <c r="W52" s="184"/>
      <c r="X52" s="88"/>
    </row>
    <row r="53" spans="1:25" x14ac:dyDescent="0.2">
      <c r="A53" s="39" t="str">
        <f>'3M-IS'!A52</f>
        <v>EPS (diluted)</v>
      </c>
      <c r="B53" s="40">
        <f>VLOOKUP($A53,'3M-IS'!$A$8:$K$61,11,FALSE)</f>
        <v>8.16</v>
      </c>
      <c r="C53" s="40">
        <f>VLOOKUP($A53,'3M-IS'!$A$8:$K$61,10,FALSE)</f>
        <v>7.93</v>
      </c>
      <c r="D53" s="40">
        <f>VLOOKUP($A53,'3M-IS'!$A$8:$K$61,9,FALSE)</f>
        <v>8.89</v>
      </c>
      <c r="E53" s="40">
        <f>VLOOKUP($A53,'3M-IS'!$A$8:$K$61,8,FALSE)</f>
        <v>7.8106</v>
      </c>
      <c r="F53" s="40">
        <f>VLOOKUP($A53,'3M-IS'!$A$8:$K$61,7,FALSE)</f>
        <v>9.3592999999999993</v>
      </c>
      <c r="G53" s="40">
        <f>VLOOKUP($A53,'3M-IS'!$A$8:$K$61,6,FALSE)</f>
        <v>10.116199999999999</v>
      </c>
      <c r="H53" s="40">
        <f>VLOOKUP($A53,'3M-IS'!$A$8:$K$61,5,FALSE)</f>
        <v>10.177899999999999</v>
      </c>
      <c r="I53" s="40">
        <f>VLOOKUP($A53,'3M-IS'!$A$8:$K$61,4,FALSE)</f>
        <v>-12.6286</v>
      </c>
      <c r="J53" s="40">
        <f>VLOOKUP($A53,'3M-IS'!$A$8:$K$61,3,FALSE)</f>
        <v>7.5542999999999996</v>
      </c>
      <c r="K53" s="63">
        <f>VLOOKUP($A53,'3M-IS'!$A$8:$K$61,2,FALSE)</f>
        <v>6.0041000000000002</v>
      </c>
      <c r="L53" s="129">
        <f t="shared" ref="L53:V53" ca="1" si="39">L48/L54</f>
        <v>6.8457473714154231</v>
      </c>
      <c r="M53" s="129">
        <f t="shared" ca="1" si="39"/>
        <v>7.5911252872085697</v>
      </c>
      <c r="N53" s="129">
        <f t="shared" ca="1" si="39"/>
        <v>8.5115239663371582</v>
      </c>
      <c r="O53" s="129">
        <f t="shared" ca="1" si="39"/>
        <v>9.4167764332426955</v>
      </c>
      <c r="P53" s="129">
        <f t="shared" ca="1" si="39"/>
        <v>10.413491549508537</v>
      </c>
      <c r="Q53" s="129">
        <f t="shared" ca="1" si="39"/>
        <v>11.320236433000106</v>
      </c>
      <c r="R53" s="129">
        <f t="shared" ca="1" si="39"/>
        <v>12.288988757938958</v>
      </c>
      <c r="S53" s="129">
        <f t="shared" ca="1" si="39"/>
        <v>13.302664219184686</v>
      </c>
      <c r="T53" s="129">
        <f t="shared" ca="1" si="39"/>
        <v>14.36532892797687</v>
      </c>
      <c r="U53" s="129">
        <f t="shared" ca="1" si="39"/>
        <v>15.461616557763401</v>
      </c>
      <c r="V53" s="191">
        <f t="shared" ca="1" si="39"/>
        <v>16.628475709143654</v>
      </c>
      <c r="W53" s="184"/>
      <c r="X53" s="88"/>
    </row>
    <row r="54" spans="1:25" x14ac:dyDescent="0.2">
      <c r="A54" s="37" t="str">
        <f>'3M-IS'!A53</f>
        <v>Diluted Shares Outstanding</v>
      </c>
      <c r="B54" s="38">
        <f>VLOOKUP($A54,'3M-IS'!$A$8:$K$61,11,FALSE)</f>
        <v>618.70000000000005</v>
      </c>
      <c r="C54" s="38">
        <f>VLOOKUP($A54,'3M-IS'!$A$8:$K$61,10,FALSE)</f>
        <v>612.70000000000005</v>
      </c>
      <c r="D54" s="38">
        <f>VLOOKUP($A54,'3M-IS'!$A$8:$K$61,9,FALSE)</f>
        <v>602</v>
      </c>
      <c r="E54" s="38">
        <f>VLOOKUP($A54,'3M-IS'!$A$8:$K$61,8,FALSE)</f>
        <v>585.1</v>
      </c>
      <c r="F54" s="38">
        <f>VLOOKUP($A54,'3M-IS'!$A$8:$K$61,7,FALSE)</f>
        <v>582.20000000000005</v>
      </c>
      <c r="G54" s="38">
        <f>VLOOKUP($A54,'3M-IS'!$A$8:$K$61,6,FALSE)</f>
        <v>585.29999999999995</v>
      </c>
      <c r="H54" s="38">
        <f>VLOOKUP($A54,'3M-IS'!$A$8:$K$61,5,FALSE)</f>
        <v>567.6</v>
      </c>
      <c r="I54" s="38">
        <f>VLOOKUP($A54,'3M-IS'!$A$8:$K$61,4,FALSE)</f>
        <v>553.9</v>
      </c>
      <c r="J54" s="38">
        <f>VLOOKUP($A54,'3M-IS'!$A$8:$K$61,3,FALSE)</f>
        <v>552.4</v>
      </c>
      <c r="K54" s="60">
        <f>VLOOKUP($A54,'3M-IS'!$A$8:$K$61,2,FALSE)</f>
        <v>541.29999999999995</v>
      </c>
      <c r="L54" s="90">
        <f>K54</f>
        <v>541.29999999999995</v>
      </c>
      <c r="M54" s="90">
        <f t="shared" ref="M54:V54" si="40">L54</f>
        <v>541.29999999999995</v>
      </c>
      <c r="N54" s="90">
        <f t="shared" si="40"/>
        <v>541.29999999999995</v>
      </c>
      <c r="O54" s="90">
        <f t="shared" si="40"/>
        <v>541.29999999999995</v>
      </c>
      <c r="P54" s="90">
        <f t="shared" si="40"/>
        <v>541.29999999999995</v>
      </c>
      <c r="Q54" s="90">
        <f t="shared" si="40"/>
        <v>541.29999999999995</v>
      </c>
      <c r="R54" s="90">
        <f t="shared" si="40"/>
        <v>541.29999999999995</v>
      </c>
      <c r="S54" s="90">
        <f t="shared" si="40"/>
        <v>541.29999999999995</v>
      </c>
      <c r="T54" s="90">
        <f t="shared" si="40"/>
        <v>541.29999999999995</v>
      </c>
      <c r="U54" s="90">
        <f t="shared" si="40"/>
        <v>541.29999999999995</v>
      </c>
      <c r="V54" s="109">
        <f t="shared" si="40"/>
        <v>541.29999999999995</v>
      </c>
      <c r="W54" s="184"/>
      <c r="X54" s="88"/>
    </row>
    <row r="55" spans="1:25" x14ac:dyDescent="0.2">
      <c r="A55" s="37" t="str">
        <f>'3M-IS'!A54</f>
        <v>Total Shares Outstanding</v>
      </c>
      <c r="B55" s="38">
        <f>VLOOKUP($A55,'3M-IS'!$A$8:$K$61,11,FALSE)</f>
        <v>596.72627799999998</v>
      </c>
      <c r="C55" s="38">
        <f>VLOOKUP($A55,'3M-IS'!$A$8:$K$61,10,FALSE)</f>
        <v>594.88423699999998</v>
      </c>
      <c r="D55" s="38">
        <f>VLOOKUP($A55,'3M-IS'!$A$8:$K$61,9,FALSE)</f>
        <v>576.57516799999996</v>
      </c>
      <c r="E55" s="38">
        <f>VLOOKUP($A55,'3M-IS'!$A$8:$K$61,8,FALSE)</f>
        <v>575.18483500000002</v>
      </c>
      <c r="F55" s="38">
        <f>VLOOKUP($A55,'3M-IS'!$A$8:$K$61,7,FALSE)</f>
        <v>577.749638</v>
      </c>
      <c r="G55" s="38">
        <f>VLOOKUP($A55,'3M-IS'!$A$8:$K$61,6,FALSE)</f>
        <v>571.84547799999996</v>
      </c>
      <c r="H55" s="38">
        <f>VLOOKUP($A55,'3M-IS'!$A$8:$K$61,5,FALSE)</f>
        <v>549.24510499999997</v>
      </c>
      <c r="I55" s="38">
        <f>VLOOKUP($A55,'3M-IS'!$A$8:$K$61,4,FALSE)</f>
        <v>552.58113600000001</v>
      </c>
      <c r="J55" s="38">
        <f>VLOOKUP($A55,'3M-IS'!$A$8:$K$61,3,FALSE)</f>
        <v>539.47030299999994</v>
      </c>
      <c r="K55" s="60">
        <f>VLOOKUP($A55,'3M-IS'!$A$8:$K$61,2,FALSE)</f>
        <v>530.27913100000001</v>
      </c>
      <c r="L55" s="90">
        <f>K55</f>
        <v>530.27913100000001</v>
      </c>
      <c r="M55" s="90">
        <f t="shared" ref="M55:V55" si="41">L55</f>
        <v>530.27913100000001</v>
      </c>
      <c r="N55" s="90">
        <f t="shared" si="41"/>
        <v>530.27913100000001</v>
      </c>
      <c r="O55" s="90">
        <f t="shared" si="41"/>
        <v>530.27913100000001</v>
      </c>
      <c r="P55" s="90">
        <f t="shared" si="41"/>
        <v>530.27913100000001</v>
      </c>
      <c r="Q55" s="90">
        <f t="shared" si="41"/>
        <v>530.27913100000001</v>
      </c>
      <c r="R55" s="90">
        <f t="shared" si="41"/>
        <v>530.27913100000001</v>
      </c>
      <c r="S55" s="90">
        <f t="shared" si="41"/>
        <v>530.27913100000001</v>
      </c>
      <c r="T55" s="90">
        <f t="shared" si="41"/>
        <v>530.27913100000001</v>
      </c>
      <c r="U55" s="90">
        <f t="shared" si="41"/>
        <v>530.27913100000001</v>
      </c>
      <c r="V55" s="109">
        <f t="shared" si="41"/>
        <v>530.27913100000001</v>
      </c>
      <c r="W55" s="184"/>
      <c r="X55" s="88"/>
    </row>
    <row r="56" spans="1:25" x14ac:dyDescent="0.2">
      <c r="A56" s="39" t="str">
        <f>'3M-IS'!A56</f>
        <v>Dividends per Share</v>
      </c>
      <c r="B56" s="40">
        <f>VLOOKUP($A56,'3M-IS'!$A$8:$K$61,11,FALSE)</f>
        <v>4.4400000000000004</v>
      </c>
      <c r="C56" s="40">
        <f>VLOOKUP($A56,'3M-IS'!$A$8:$K$61,10,FALSE)</f>
        <v>4.7</v>
      </c>
      <c r="D56" s="40">
        <f>VLOOKUP($A56,'3M-IS'!$A$8:$K$61,9,FALSE)</f>
        <v>5.44</v>
      </c>
      <c r="E56" s="40">
        <f>VLOOKUP($A56,'3M-IS'!$A$8:$K$61,8,FALSE)</f>
        <v>5.76</v>
      </c>
      <c r="F56" s="40">
        <f>VLOOKUP($A56,'3M-IS'!$A$8:$K$61,7,FALSE)</f>
        <v>5.88</v>
      </c>
      <c r="G56" s="40">
        <f>VLOOKUP($A56,'3M-IS'!$A$8:$K$61,6,FALSE)</f>
        <v>5.92</v>
      </c>
      <c r="H56" s="40">
        <f>VLOOKUP($A56,'3M-IS'!$A$8:$K$61,5,FALSE)</f>
        <v>5.96</v>
      </c>
      <c r="I56" s="40">
        <f>VLOOKUP($A56,'3M-IS'!$A$8:$K$61,4,FALSE)</f>
        <v>6</v>
      </c>
      <c r="J56" s="40">
        <f>VLOOKUP($A56,'3M-IS'!$A$8:$K$61,3,FALSE)</f>
        <v>3.61</v>
      </c>
      <c r="K56" s="63">
        <f>VLOOKUP($A56,'3M-IS'!$A$8:$K$61,2,FALSE)</f>
        <v>2.92</v>
      </c>
      <c r="L56" s="174">
        <f>0.78*4</f>
        <v>3.12</v>
      </c>
      <c r="M56" s="174">
        <f ca="1">M57*M46/M55</f>
        <v>3.4597114984092356</v>
      </c>
      <c r="N56" s="174">
        <f t="shared" ref="N56:V56" ca="1" si="42">N57*N46/N55</f>
        <v>3.879190004272862</v>
      </c>
      <c r="O56" s="174">
        <f t="shared" ca="1" si="42"/>
        <v>4.2917655118848685</v>
      </c>
      <c r="P56" s="174">
        <f t="shared" ca="1" si="42"/>
        <v>4.7460257984584384</v>
      </c>
      <c r="Q56" s="174">
        <f t="shared" ca="1" si="42"/>
        <v>5.1592814859683855</v>
      </c>
      <c r="R56" s="174">
        <f t="shared" ca="1" si="42"/>
        <v>5.6007975235641867</v>
      </c>
      <c r="S56" s="174">
        <f t="shared" ca="1" si="42"/>
        <v>6.0627876128117792</v>
      </c>
      <c r="T56" s="174">
        <f t="shared" ca="1" si="42"/>
        <v>6.5471049139841266</v>
      </c>
      <c r="U56" s="174">
        <f t="shared" ca="1" si="42"/>
        <v>7.0467461100960387</v>
      </c>
      <c r="V56" s="186">
        <f t="shared" ca="1" si="42"/>
        <v>7.5785507991658987</v>
      </c>
      <c r="W56" s="184"/>
      <c r="X56" s="88"/>
      <c r="Y56" s="6" t="s">
        <v>877</v>
      </c>
    </row>
    <row r="57" spans="1:25" x14ac:dyDescent="0.2">
      <c r="A57" s="39" t="str">
        <f>'3M-IS'!A57</f>
        <v>Payout Ratio</v>
      </c>
      <c r="B57" s="40">
        <f>VLOOKUP($A57,'3M-IS'!$A$8:$K$61,11,FALSE)</f>
        <v>54.411765000000003</v>
      </c>
      <c r="C57" s="40">
        <f>VLOOKUP($A57,'3M-IS'!$A$8:$K$61,10,FALSE)</f>
        <v>59.268599999999999</v>
      </c>
      <c r="D57" s="40">
        <f>VLOOKUP($A57,'3M-IS'!$A$8:$K$61,9,FALSE)</f>
        <v>61.192351000000002</v>
      </c>
      <c r="E57" s="40">
        <f>VLOOKUP($A57,'3M-IS'!$A$8:$K$61,8,FALSE)</f>
        <v>73.745935000000003</v>
      </c>
      <c r="F57" s="40">
        <f>VLOOKUP($A57,'3M-IS'!$A$8:$K$61,7,FALSE)</f>
        <v>62.825211000000003</v>
      </c>
      <c r="G57" s="40">
        <f>VLOOKUP($A57,'3M-IS'!$A$8:$K$61,6,FALSE)</f>
        <v>58.519998000000001</v>
      </c>
      <c r="H57" s="40">
        <f>VLOOKUP($A57,'3M-IS'!$A$8:$K$61,5,FALSE)</f>
        <v>58.558249000000004</v>
      </c>
      <c r="I57" s="40">
        <f>VLOOKUP($A57,'3M-IS'!$A$8:$K$61,4,FALSE)</f>
        <v>0</v>
      </c>
      <c r="J57" s="40">
        <f>VLOOKUP($A57,'3M-IS'!$A$8:$K$61,3,FALSE)</f>
        <v>47.787353000000003</v>
      </c>
      <c r="K57" s="63">
        <f>VLOOKUP($A57,'3M-IS'!$A$8:$K$61,2,FALSE)</f>
        <v>48.633434000000001</v>
      </c>
      <c r="L57" s="45">
        <f ca="1">L56*L55/L46</f>
        <v>0.44647817519508365</v>
      </c>
      <c r="M57" s="45">
        <f ca="1">L57</f>
        <v>0.44647817519508365</v>
      </c>
      <c r="N57" s="45">
        <f t="shared" ref="N57:V57" ca="1" si="43">M57</f>
        <v>0.44647817519508365</v>
      </c>
      <c r="O57" s="45">
        <f t="shared" ca="1" si="43"/>
        <v>0.44647817519508365</v>
      </c>
      <c r="P57" s="45">
        <f t="shared" ca="1" si="43"/>
        <v>0.44647817519508365</v>
      </c>
      <c r="Q57" s="45">
        <f t="shared" ca="1" si="43"/>
        <v>0.44647817519508365</v>
      </c>
      <c r="R57" s="45">
        <f t="shared" ca="1" si="43"/>
        <v>0.44647817519508365</v>
      </c>
      <c r="S57" s="45">
        <f t="shared" ca="1" si="43"/>
        <v>0.44647817519508365</v>
      </c>
      <c r="T57" s="45">
        <f t="shared" ca="1" si="43"/>
        <v>0.44647817519508365</v>
      </c>
      <c r="U57" s="45">
        <f t="shared" ca="1" si="43"/>
        <v>0.44647817519508365</v>
      </c>
      <c r="V57" s="61">
        <f t="shared" ca="1" si="43"/>
        <v>0.44647817519508365</v>
      </c>
      <c r="W57" s="184"/>
      <c r="X57" s="88"/>
    </row>
    <row r="58" spans="1:25" x14ac:dyDescent="0.2">
      <c r="A58" s="37" t="str">
        <f>'3M-IS'!A58</f>
        <v>EBITDA</v>
      </c>
      <c r="B58" s="38"/>
      <c r="C58" s="38"/>
      <c r="D58" s="38"/>
      <c r="E58" s="38"/>
      <c r="F58" s="38"/>
      <c r="G58" s="38"/>
      <c r="H58" s="38"/>
      <c r="I58" s="38"/>
      <c r="J58" s="38"/>
      <c r="K58" s="61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59"/>
      <c r="W58" s="184"/>
      <c r="X58" s="88"/>
    </row>
    <row r="59" spans="1:25" x14ac:dyDescent="0.2">
      <c r="A59" s="39" t="str">
        <f>'3M-IS'!A59</f>
        <v>EBITDA</v>
      </c>
      <c r="B59" s="40">
        <f>SUM(B60:B61)</f>
        <v>8493</v>
      </c>
      <c r="C59" s="40">
        <f t="shared" ref="C59:V59" si="44">SUM(C60:C61)</f>
        <v>8770</v>
      </c>
      <c r="D59" s="40">
        <f t="shared" si="44"/>
        <v>9262</v>
      </c>
      <c r="E59" s="40">
        <f t="shared" si="44"/>
        <v>8567</v>
      </c>
      <c r="F59" s="40">
        <f t="shared" si="44"/>
        <v>8868</v>
      </c>
      <c r="G59" s="40">
        <f t="shared" si="44"/>
        <v>9441</v>
      </c>
      <c r="H59" s="40">
        <f t="shared" si="44"/>
        <v>5904</v>
      </c>
      <c r="I59" s="40">
        <f t="shared" si="44"/>
        <v>5480</v>
      </c>
      <c r="J59" s="40">
        <f t="shared" si="44"/>
        <v>6155</v>
      </c>
      <c r="K59" s="63">
        <f t="shared" si="44"/>
        <v>6038</v>
      </c>
      <c r="L59" s="63">
        <f t="shared" si="44"/>
        <v>6126.4063107263109</v>
      </c>
      <c r="M59" s="63">
        <f t="shared" si="44"/>
        <v>6634.7206751553622</v>
      </c>
      <c r="N59" s="63">
        <f t="shared" si="44"/>
        <v>7173.8979386415795</v>
      </c>
      <c r="O59" s="63">
        <f t="shared" si="44"/>
        <v>7745.5938301264432</v>
      </c>
      <c r="P59" s="63">
        <f t="shared" si="44"/>
        <v>8351.5471562282692</v>
      </c>
      <c r="Q59" s="63">
        <f t="shared" si="44"/>
        <v>8907.1070309987881</v>
      </c>
      <c r="R59" s="63">
        <f t="shared" si="44"/>
        <v>9488.4841058149341</v>
      </c>
      <c r="S59" s="63">
        <f t="shared" si="44"/>
        <v>10096.727408792147</v>
      </c>
      <c r="T59" s="63">
        <f t="shared" si="44"/>
        <v>10732.925674252763</v>
      </c>
      <c r="U59" s="63">
        <f t="shared" si="44"/>
        <v>11398.2087809731</v>
      </c>
      <c r="V59" s="63">
        <f t="shared" si="44"/>
        <v>12093.749240989837</v>
      </c>
      <c r="W59" s="184"/>
      <c r="X59" s="89">
        <f t="shared" si="4"/>
        <v>0.24202340869007535</v>
      </c>
      <c r="Y59" s="50" t="s">
        <v>219</v>
      </c>
    </row>
    <row r="60" spans="1:25" x14ac:dyDescent="0.2">
      <c r="A60" s="37" t="str">
        <f>'3M-IS'!A60</f>
        <v>EBIT</v>
      </c>
      <c r="B60" s="38">
        <f>VLOOKUP($A60,'3M-IS'!$A$8:$K$61,11,FALSE)</f>
        <v>7019</v>
      </c>
      <c r="C60" s="38">
        <f>VLOOKUP($A60,'3M-IS'!$A$8:$K$61,10,FALSE)</f>
        <v>7226</v>
      </c>
      <c r="D60" s="38">
        <f>VLOOKUP($A60,'3M-IS'!$A$8:$K$61,9,FALSE)</f>
        <v>7774</v>
      </c>
      <c r="E60" s="38">
        <f>VLOOKUP($A60,'3M-IS'!$A$8:$K$61,8,FALSE)</f>
        <v>6974</v>
      </c>
      <c r="F60" s="38">
        <f>VLOOKUP($A60,'3M-IS'!$A$8:$K$61,7,FALSE)</f>
        <v>6957</v>
      </c>
      <c r="G60" s="38">
        <f>VLOOKUP($A60,'3M-IS'!$A$8:$K$61,6,FALSE)</f>
        <v>7526</v>
      </c>
      <c r="H60" s="38">
        <f>VLOOKUP($A60,'3M-IS'!$A$8:$K$61,5,FALSE)</f>
        <v>4073</v>
      </c>
      <c r="I60" s="38">
        <f>VLOOKUP($A60,'3M-IS'!$A$8:$K$61,4,FALSE)</f>
        <v>4047</v>
      </c>
      <c r="J60" s="38">
        <f>VLOOKUP($A60,'3M-IS'!$A$8:$K$61,3,FALSE)</f>
        <v>4931</v>
      </c>
      <c r="K60" s="60">
        <f>VLOOKUP($A60,'3M-IS'!$A$8:$K$61,2,FALSE)</f>
        <v>4730</v>
      </c>
      <c r="L60" s="87">
        <f t="shared" ref="L60:V60" si="45">L14</f>
        <v>4815.2760272078031</v>
      </c>
      <c r="M60" s="87">
        <f t="shared" si="45"/>
        <v>5325.7691329952404</v>
      </c>
      <c r="N60" s="87">
        <f t="shared" si="45"/>
        <v>5864.4638978843468</v>
      </c>
      <c r="O60" s="87">
        <f t="shared" si="45"/>
        <v>6433.0683276904902</v>
      </c>
      <c r="P60" s="87">
        <f t="shared" si="45"/>
        <v>7033.3650228285387</v>
      </c>
      <c r="Q60" s="87">
        <f t="shared" si="45"/>
        <v>7580.738857588427</v>
      </c>
      <c r="R60" s="87">
        <f t="shared" si="45"/>
        <v>8152.0687269450691</v>
      </c>
      <c r="S60" s="87">
        <f t="shared" si="45"/>
        <v>8748.4437265097004</v>
      </c>
      <c r="T60" s="87">
        <f t="shared" si="45"/>
        <v>9370.9873153844237</v>
      </c>
      <c r="U60" s="87">
        <f t="shared" si="45"/>
        <v>10020.859090474913</v>
      </c>
      <c r="V60" s="177">
        <f t="shared" si="45"/>
        <v>10699.256581278802</v>
      </c>
      <c r="W60" s="184"/>
      <c r="X60" s="88"/>
    </row>
    <row r="61" spans="1:25" x14ac:dyDescent="0.2">
      <c r="A61" s="37" t="str">
        <f>'3M-IS'!A61</f>
        <v>Depreciation &amp; Amortization Expense</v>
      </c>
      <c r="B61" s="38">
        <f>VLOOKUP($A61,'3M-IS'!$A$8:$K$61,11,FALSE)</f>
        <v>1474</v>
      </c>
      <c r="C61" s="38">
        <f>VLOOKUP($A61,'3M-IS'!$A$8:$K$61,10,FALSE)</f>
        <v>1544</v>
      </c>
      <c r="D61" s="38">
        <f>VLOOKUP($A61,'3M-IS'!$A$8:$K$61,9,FALSE)</f>
        <v>1488</v>
      </c>
      <c r="E61" s="38">
        <f>VLOOKUP($A61,'3M-IS'!$A$8:$K$61,8,FALSE)</f>
        <v>1593</v>
      </c>
      <c r="F61" s="38">
        <f>VLOOKUP($A61,'3M-IS'!$A$8:$K$61,7,FALSE)</f>
        <v>1911</v>
      </c>
      <c r="G61" s="38">
        <f>VLOOKUP($A61,'3M-IS'!$A$8:$K$61,6,FALSE)</f>
        <v>1915</v>
      </c>
      <c r="H61" s="38">
        <f>VLOOKUP($A61,'3M-IS'!$A$8:$K$61,5,FALSE)</f>
        <v>1831</v>
      </c>
      <c r="I61" s="38">
        <f>VLOOKUP($A61,'3M-IS'!$A$8:$K$61,4,FALSE)</f>
        <v>1433</v>
      </c>
      <c r="J61" s="38">
        <f>VLOOKUP($A61,'3M-IS'!$A$8:$K$61,3,FALSE)</f>
        <v>1224</v>
      </c>
      <c r="K61" s="60">
        <f>VLOOKUP($A61,'3M-IS'!$A$8:$K$61,2,FALSE)</f>
        <v>1308</v>
      </c>
      <c r="L61" s="87">
        <f t="shared" ref="L61:V61" si="46">L7</f>
        <v>1311.1302835185077</v>
      </c>
      <c r="M61" s="87">
        <f t="shared" si="46"/>
        <v>1308.951542160122</v>
      </c>
      <c r="N61" s="87">
        <f t="shared" si="46"/>
        <v>1309.4340407572331</v>
      </c>
      <c r="O61" s="87">
        <f t="shared" si="46"/>
        <v>1312.5255024359531</v>
      </c>
      <c r="P61" s="87">
        <f t="shared" si="46"/>
        <v>1318.18213339973</v>
      </c>
      <c r="Q61" s="87">
        <f t="shared" si="46"/>
        <v>1326.3681734103607</v>
      </c>
      <c r="R61" s="87">
        <f t="shared" si="46"/>
        <v>1336.4153788698657</v>
      </c>
      <c r="S61" s="87">
        <f t="shared" si="46"/>
        <v>1348.2836822824459</v>
      </c>
      <c r="T61" s="87">
        <f t="shared" si="46"/>
        <v>1361.9383588683399</v>
      </c>
      <c r="U61" s="87">
        <f t="shared" si="46"/>
        <v>1377.3496904981873</v>
      </c>
      <c r="V61" s="177">
        <f t="shared" si="46"/>
        <v>1394.4926597110359</v>
      </c>
      <c r="W61" s="184"/>
      <c r="X61" s="88"/>
    </row>
    <row r="62" spans="1:25" x14ac:dyDescent="0.2">
      <c r="W62" s="184"/>
    </row>
    <row r="63" spans="1:25" x14ac:dyDescent="0.2">
      <c r="W63" s="184"/>
    </row>
    <row r="64" spans="1:25" x14ac:dyDescent="0.2">
      <c r="A64" s="82" t="s">
        <v>195</v>
      </c>
      <c r="K64" s="287"/>
      <c r="W64" s="184"/>
    </row>
    <row r="65" spans="1:25" x14ac:dyDescent="0.2">
      <c r="A65" s="39" t="s">
        <v>199</v>
      </c>
      <c r="B65" s="49">
        <v>2016</v>
      </c>
      <c r="C65" s="49">
        <v>2017</v>
      </c>
      <c r="D65" s="49">
        <f>C65+1</f>
        <v>2018</v>
      </c>
      <c r="E65" s="49">
        <f t="shared" ref="E65:V65" si="47">D65+1</f>
        <v>2019</v>
      </c>
      <c r="F65" s="49">
        <f t="shared" si="47"/>
        <v>2020</v>
      </c>
      <c r="G65" s="49">
        <f t="shared" si="47"/>
        <v>2021</v>
      </c>
      <c r="H65" s="49">
        <f t="shared" si="47"/>
        <v>2022</v>
      </c>
      <c r="I65" s="49">
        <f t="shared" si="47"/>
        <v>2023</v>
      </c>
      <c r="J65" s="49">
        <f t="shared" si="47"/>
        <v>2024</v>
      </c>
      <c r="K65" s="49">
        <f t="shared" si="47"/>
        <v>2025</v>
      </c>
      <c r="L65" s="49">
        <f t="shared" si="47"/>
        <v>2026</v>
      </c>
      <c r="M65" s="49">
        <f t="shared" si="47"/>
        <v>2027</v>
      </c>
      <c r="N65" s="49">
        <f t="shared" si="47"/>
        <v>2028</v>
      </c>
      <c r="O65" s="49">
        <f t="shared" si="47"/>
        <v>2029</v>
      </c>
      <c r="P65" s="49">
        <f t="shared" si="47"/>
        <v>2030</v>
      </c>
      <c r="Q65" s="49">
        <f t="shared" si="47"/>
        <v>2031</v>
      </c>
      <c r="R65" s="49">
        <f t="shared" si="47"/>
        <v>2032</v>
      </c>
      <c r="S65" s="49">
        <f t="shared" si="47"/>
        <v>2033</v>
      </c>
      <c r="T65" s="49">
        <f t="shared" si="47"/>
        <v>2034</v>
      </c>
      <c r="U65" s="49">
        <f t="shared" si="47"/>
        <v>2035</v>
      </c>
      <c r="V65" s="58">
        <f t="shared" si="47"/>
        <v>2036</v>
      </c>
      <c r="W65" s="195"/>
    </row>
    <row r="66" spans="1:25" x14ac:dyDescent="0.2">
      <c r="A66" s="37" t="s">
        <v>204</v>
      </c>
      <c r="B66" s="37" t="str">
        <f>VLOOKUP($A66,'Segment wise'!$A$5:$K$14,2,FALSE)</f>
        <v>-</v>
      </c>
      <c r="C66" s="37" t="str">
        <f>VLOOKUP($A66,'Segment wise'!$A$5:$K$14,3,FALSE)</f>
        <v>-</v>
      </c>
      <c r="D66" s="37" t="str">
        <f>VLOOKUP($A66,'Segment wise'!$A$5:$K$14,4,FALSE)</f>
        <v>-</v>
      </c>
      <c r="E66" s="37">
        <f>VLOOKUP($A66,'Segment wise'!$A$5:$K$14,5,FALSE)</f>
        <v>11607</v>
      </c>
      <c r="F66" s="37">
        <f>VLOOKUP($A66,'Segment wise'!$A$5:$K$14,6,FALSE)</f>
        <v>11767</v>
      </c>
      <c r="G66" s="37">
        <f>VLOOKUP($A66,'Segment wise'!$A$5:$K$14,7,FALSE)</f>
        <v>12880</v>
      </c>
      <c r="H66" s="37">
        <f>VLOOKUP($A66,'Segment wise'!$A$5:$K$14,8,FALSE)</f>
        <v>11604</v>
      </c>
      <c r="I66" s="37">
        <f>VLOOKUP($A66,'Segment wise'!$A$5:$K$14,9,FALSE)</f>
        <v>10956</v>
      </c>
      <c r="J66" s="37">
        <f>VLOOKUP($A66,'Segment wise'!$A$5:$K$14,10,FALSE)</f>
        <v>10961</v>
      </c>
      <c r="K66" s="37">
        <f>VLOOKUP($A66,'Segment wise'!$A$5:$K$14,11,FALSE)</f>
        <v>11384</v>
      </c>
      <c r="L66" s="87">
        <f>K66*(1+L75)</f>
        <v>11725.52</v>
      </c>
      <c r="M66" s="87">
        <f t="shared" ref="M66:V68" si="48">L66*(1+M75)</f>
        <v>12194.540800000001</v>
      </c>
      <c r="N66" s="87">
        <f t="shared" si="48"/>
        <v>12682.322432000001</v>
      </c>
      <c r="O66" s="87">
        <f t="shared" si="48"/>
        <v>13189.615329280001</v>
      </c>
      <c r="P66" s="87">
        <f t="shared" si="48"/>
        <v>13717.199942451201</v>
      </c>
      <c r="Q66" s="87">
        <f t="shared" si="48"/>
        <v>14128.715940724738</v>
      </c>
      <c r="R66" s="87">
        <f t="shared" si="48"/>
        <v>14552.577418946481</v>
      </c>
      <c r="S66" s="87">
        <f t="shared" si="48"/>
        <v>14989.154741514876</v>
      </c>
      <c r="T66" s="87">
        <f t="shared" si="48"/>
        <v>15438.829383760323</v>
      </c>
      <c r="U66" s="87">
        <f t="shared" si="48"/>
        <v>15901.994265273133</v>
      </c>
      <c r="V66" s="177">
        <f t="shared" si="48"/>
        <v>16379.054093231327</v>
      </c>
      <c r="W66" s="184"/>
    </row>
    <row r="67" spans="1:25" x14ac:dyDescent="0.2">
      <c r="A67" s="37" t="s">
        <v>206</v>
      </c>
      <c r="B67" s="37" t="str">
        <f>VLOOKUP($A67,'Segment wise'!$A$5:$K$14,2,FALSE)</f>
        <v>-</v>
      </c>
      <c r="C67" s="37" t="str">
        <f>VLOOKUP($A67,'Segment wise'!$A$5:$K$14,3,FALSE)</f>
        <v>-</v>
      </c>
      <c r="D67" s="37" t="str">
        <f>VLOOKUP($A67,'Segment wise'!$A$5:$K$14,4,FALSE)</f>
        <v>-</v>
      </c>
      <c r="E67" s="37">
        <f>VLOOKUP($A67,'Segment wise'!$A$5:$K$14,5,FALSE)</f>
        <v>9602</v>
      </c>
      <c r="F67" s="37">
        <f>VLOOKUP($A67,'Segment wise'!$A$5:$K$14,6,FALSE)</f>
        <v>8827</v>
      </c>
      <c r="G67" s="37">
        <f>VLOOKUP($A67,'Segment wise'!$A$5:$K$14,7,FALSE)</f>
        <v>9769</v>
      </c>
      <c r="H67" s="37">
        <f>VLOOKUP($A67,'Segment wise'!$A$5:$K$14,8,FALSE)</f>
        <v>8902</v>
      </c>
      <c r="I67" s="37">
        <f>VLOOKUP($A67,'Segment wise'!$A$5:$K$14,9,FALSE)</f>
        <v>8501</v>
      </c>
      <c r="J67" s="37">
        <f>VLOOKUP($A67,'Segment wise'!$A$5:$K$14,10,FALSE)</f>
        <v>8380</v>
      </c>
      <c r="K67" s="37">
        <f>VLOOKUP($A67,'Segment wise'!$A$5:$K$14,11,FALSE)</f>
        <v>8272</v>
      </c>
      <c r="L67" s="87">
        <f t="shared" ref="L67:L68" si="49">K67*(1+L76)</f>
        <v>8520.16</v>
      </c>
      <c r="M67" s="87">
        <f t="shared" si="48"/>
        <v>8860.9663999999993</v>
      </c>
      <c r="N67" s="87">
        <f t="shared" si="48"/>
        <v>9215.4050559999996</v>
      </c>
      <c r="O67" s="87">
        <f t="shared" si="48"/>
        <v>9584.02125824</v>
      </c>
      <c r="P67" s="87">
        <f t="shared" si="48"/>
        <v>9967.3821085695999</v>
      </c>
      <c r="Q67" s="87">
        <f t="shared" si="48"/>
        <v>10266.403571826688</v>
      </c>
      <c r="R67" s="87">
        <f t="shared" si="48"/>
        <v>10574.395678981489</v>
      </c>
      <c r="S67" s="87">
        <f t="shared" si="48"/>
        <v>10891.627549350935</v>
      </c>
      <c r="T67" s="87">
        <f t="shared" si="48"/>
        <v>11218.376375831464</v>
      </c>
      <c r="U67" s="87">
        <f t="shared" si="48"/>
        <v>11554.927667106407</v>
      </c>
      <c r="V67" s="177">
        <f t="shared" si="48"/>
        <v>11901.5754971196</v>
      </c>
      <c r="W67" s="184"/>
    </row>
    <row r="68" spans="1:25" x14ac:dyDescent="0.2">
      <c r="A68" s="37" t="s">
        <v>207</v>
      </c>
      <c r="B68" s="37">
        <f>VLOOKUP($A68,'Segment wise'!$A$5:$K$14,2,FALSE)</f>
        <v>4482</v>
      </c>
      <c r="C68" s="37">
        <f>VLOOKUP($A68,'Segment wise'!$A$5:$K$14,3,FALSE)</f>
        <v>4589</v>
      </c>
      <c r="D68" s="37">
        <f>VLOOKUP($A68,'Segment wise'!$A$5:$K$14,4,FALSE)</f>
        <v>4796</v>
      </c>
      <c r="E68" s="37">
        <f>VLOOKUP($A68,'Segment wise'!$A$5:$K$14,5,FALSE)</f>
        <v>5089</v>
      </c>
      <c r="F68" s="37">
        <f>VLOOKUP($A68,'Segment wise'!$A$5:$K$14,6,FALSE)</f>
        <v>5336</v>
      </c>
      <c r="G68" s="37">
        <f>VLOOKUP($A68,'Segment wise'!$A$5:$K$14,7,FALSE)</f>
        <v>5856</v>
      </c>
      <c r="H68" s="37">
        <f>VLOOKUP($A68,'Segment wise'!$A$5:$K$14,8,FALSE)</f>
        <v>5298</v>
      </c>
      <c r="I68" s="37">
        <f>VLOOKUP($A68,'Segment wise'!$A$5:$K$14,9,FALSE)</f>
        <v>5026</v>
      </c>
      <c r="J68" s="37">
        <f>VLOOKUP($A68,'Segment wise'!$A$5:$K$14,10,FALSE)</f>
        <v>4931</v>
      </c>
      <c r="K68" s="37">
        <f>VLOOKUP($A68,'Segment wise'!$A$5:$K$14,11,FALSE)</f>
        <v>4920</v>
      </c>
      <c r="L68" s="87">
        <f t="shared" si="49"/>
        <v>5067.6000000000004</v>
      </c>
      <c r="M68" s="87">
        <f t="shared" si="48"/>
        <v>5270.304000000001</v>
      </c>
      <c r="N68" s="87">
        <f t="shared" si="48"/>
        <v>5481.1161600000014</v>
      </c>
      <c r="O68" s="87">
        <f t="shared" si="48"/>
        <v>5700.3608064000018</v>
      </c>
      <c r="P68" s="87">
        <f t="shared" si="48"/>
        <v>5928.3752386560018</v>
      </c>
      <c r="Q68" s="87">
        <f t="shared" si="48"/>
        <v>6106.226495815682</v>
      </c>
      <c r="R68" s="87">
        <f t="shared" si="48"/>
        <v>6289.4132906901523</v>
      </c>
      <c r="S68" s="87">
        <f t="shared" si="48"/>
        <v>6478.0956894108567</v>
      </c>
      <c r="T68" s="87">
        <f t="shared" si="48"/>
        <v>6672.4385600931828</v>
      </c>
      <c r="U68" s="87">
        <f t="shared" si="48"/>
        <v>6872.6117168959781</v>
      </c>
      <c r="V68" s="177">
        <f t="shared" si="48"/>
        <v>7078.7900684028573</v>
      </c>
      <c r="W68" s="184"/>
    </row>
    <row r="69" spans="1:25" x14ac:dyDescent="0.2">
      <c r="A69" s="37" t="s">
        <v>874</v>
      </c>
      <c r="B69" s="37">
        <f>SUM(B66:B68)</f>
        <v>4482</v>
      </c>
      <c r="C69" s="37">
        <f t="shared" ref="C69:V69" si="50">SUM(C66:C68)</f>
        <v>4589</v>
      </c>
      <c r="D69" s="37">
        <f t="shared" si="50"/>
        <v>4796</v>
      </c>
      <c r="E69" s="37">
        <f t="shared" si="50"/>
        <v>26298</v>
      </c>
      <c r="F69" s="37">
        <f t="shared" si="50"/>
        <v>25930</v>
      </c>
      <c r="G69" s="37">
        <f t="shared" si="50"/>
        <v>28505</v>
      </c>
      <c r="H69" s="37">
        <f t="shared" si="50"/>
        <v>25804</v>
      </c>
      <c r="I69" s="37">
        <f t="shared" si="50"/>
        <v>24483</v>
      </c>
      <c r="J69" s="37">
        <f t="shared" si="50"/>
        <v>24272</v>
      </c>
      <c r="K69" s="37">
        <f t="shared" si="50"/>
        <v>24576</v>
      </c>
      <c r="L69" s="87">
        <f t="shared" si="50"/>
        <v>25313.279999999999</v>
      </c>
      <c r="M69" s="87">
        <f t="shared" si="50"/>
        <v>26325.8112</v>
      </c>
      <c r="N69" s="87">
        <f t="shared" si="50"/>
        <v>27378.843648000002</v>
      </c>
      <c r="O69" s="87">
        <f t="shared" si="50"/>
        <v>28473.997393919999</v>
      </c>
      <c r="P69" s="87">
        <f t="shared" si="50"/>
        <v>29612.9572896768</v>
      </c>
      <c r="Q69" s="87">
        <f t="shared" si="50"/>
        <v>30501.346008367109</v>
      </c>
      <c r="R69" s="87">
        <f t="shared" si="50"/>
        <v>31416.386388618121</v>
      </c>
      <c r="S69" s="87">
        <f t="shared" si="50"/>
        <v>32358.877980276669</v>
      </c>
      <c r="T69" s="87">
        <f t="shared" si="50"/>
        <v>33329.644319684972</v>
      </c>
      <c r="U69" s="87">
        <f t="shared" si="50"/>
        <v>34329.533649275516</v>
      </c>
      <c r="V69" s="177">
        <f t="shared" si="50"/>
        <v>35359.419658753788</v>
      </c>
      <c r="W69" s="184"/>
    </row>
    <row r="70" spans="1:25" x14ac:dyDescent="0.2">
      <c r="A70" s="6" t="s">
        <v>208</v>
      </c>
      <c r="B70" s="83">
        <f>VLOOKUP($A70,'Segment wise'!$A$5:$K$14,2,FALSE)</f>
        <v>26326</v>
      </c>
      <c r="C70" s="83">
        <f>VLOOKUP($A70,'Segment wise'!$A$5:$K$14,3,FALSE)</f>
        <v>28031</v>
      </c>
      <c r="D70" s="83">
        <f>VLOOKUP($A70,'Segment wise'!$A$5:$K$14,4,FALSE)</f>
        <v>30587</v>
      </c>
      <c r="E70" s="83">
        <f>VLOOKUP($A70,'Segment wise'!$A$5:$K$14,5,FALSE)</f>
        <v>7431</v>
      </c>
      <c r="F70" s="83">
        <f>VLOOKUP($A70,'Segment wise'!$A$5:$K$14,6,FALSE)</f>
        <v>8345</v>
      </c>
      <c r="G70" s="83">
        <f>VLOOKUP($A70,'Segment wise'!$A$5:$K$14,7,FALSE)</f>
        <v>9050</v>
      </c>
      <c r="H70" s="83">
        <f>VLOOKUP($A70,'Segment wise'!$A$5:$K$14,8,FALSE)</f>
        <v>8421</v>
      </c>
      <c r="I70" s="83">
        <f>VLOOKUP($A70,'Segment wise'!$A$5:$K$14,9,FALSE)*0</f>
        <v>0</v>
      </c>
      <c r="J70" s="37">
        <f>VLOOKUP($A70,'Segment wise'!$A$5:$K$14,10,FALSE)</f>
        <v>32</v>
      </c>
      <c r="K70" s="37" t="str">
        <f>VLOOKUP($A70,'Segment wise'!$A$5:$K$14,11,FALSE)</f>
        <v>-</v>
      </c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59"/>
      <c r="W70" s="184"/>
    </row>
    <row r="71" spans="1:25" x14ac:dyDescent="0.2">
      <c r="A71" s="6" t="s">
        <v>218</v>
      </c>
      <c r="B71" s="83"/>
      <c r="C71" s="83"/>
      <c r="D71" s="83"/>
      <c r="E71" s="83"/>
      <c r="F71" s="83"/>
      <c r="G71" s="83"/>
      <c r="H71" s="83"/>
      <c r="I71" s="83">
        <v>127</v>
      </c>
      <c r="J71" s="37">
        <f>303-32</f>
        <v>271</v>
      </c>
      <c r="K71" s="37">
        <v>372</v>
      </c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59"/>
      <c r="W71" s="184"/>
      <c r="Y71" s="6" t="s">
        <v>858</v>
      </c>
    </row>
    <row r="72" spans="1:25" x14ac:dyDescent="0.2">
      <c r="A72" s="37" t="s">
        <v>875</v>
      </c>
      <c r="B72" s="37">
        <f>B69+B70</f>
        <v>30808</v>
      </c>
      <c r="C72" s="37">
        <f t="shared" ref="C72:H72" si="51">C69+C70</f>
        <v>32620</v>
      </c>
      <c r="D72" s="37">
        <f t="shared" si="51"/>
        <v>35383</v>
      </c>
      <c r="E72" s="37">
        <f t="shared" si="51"/>
        <v>33729</v>
      </c>
      <c r="F72" s="37">
        <f t="shared" si="51"/>
        <v>34275</v>
      </c>
      <c r="G72" s="37">
        <f t="shared" si="51"/>
        <v>37555</v>
      </c>
      <c r="H72" s="37">
        <f t="shared" si="51"/>
        <v>34225</v>
      </c>
      <c r="I72" s="37">
        <f>SUM(I69:I71)</f>
        <v>24610</v>
      </c>
      <c r="J72" s="37">
        <f>SUM(J69:J71)</f>
        <v>24575</v>
      </c>
      <c r="K72" s="37">
        <f>K69+K71</f>
        <v>24948</v>
      </c>
      <c r="L72" s="87">
        <f>L69+L70+L71</f>
        <v>25313.279999999999</v>
      </c>
      <c r="M72" s="87">
        <f t="shared" ref="M72:V72" si="52">M69+M70+M71</f>
        <v>26325.8112</v>
      </c>
      <c r="N72" s="87">
        <f t="shared" si="52"/>
        <v>27378.843648000002</v>
      </c>
      <c r="O72" s="87">
        <f t="shared" si="52"/>
        <v>28473.997393919999</v>
      </c>
      <c r="P72" s="87">
        <f t="shared" si="52"/>
        <v>29612.9572896768</v>
      </c>
      <c r="Q72" s="87">
        <f t="shared" si="52"/>
        <v>30501.346008367109</v>
      </c>
      <c r="R72" s="87">
        <f t="shared" si="52"/>
        <v>31416.386388618121</v>
      </c>
      <c r="S72" s="87">
        <f t="shared" si="52"/>
        <v>32358.877980276669</v>
      </c>
      <c r="T72" s="87">
        <f t="shared" si="52"/>
        <v>33329.644319684972</v>
      </c>
      <c r="U72" s="87">
        <f t="shared" si="52"/>
        <v>34329.533649275516</v>
      </c>
      <c r="V72" s="177">
        <f t="shared" si="52"/>
        <v>35359.419658753788</v>
      </c>
      <c r="W72" s="184"/>
    </row>
    <row r="73" spans="1:25" x14ac:dyDescent="0.2">
      <c r="A73" s="6" t="s">
        <v>285</v>
      </c>
      <c r="W73" s="184"/>
    </row>
    <row r="74" spans="1:25" x14ac:dyDescent="0.2">
      <c r="A74" s="39" t="s">
        <v>217</v>
      </c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59"/>
      <c r="W74" s="184"/>
    </row>
    <row r="75" spans="1:25" x14ac:dyDescent="0.2">
      <c r="A75" s="37" t="s">
        <v>204</v>
      </c>
      <c r="B75" s="37"/>
      <c r="C75" s="84">
        <v>0</v>
      </c>
      <c r="D75" s="84">
        <v>0</v>
      </c>
      <c r="E75" s="84">
        <v>0</v>
      </c>
      <c r="F75" s="84">
        <f t="shared" ref="F75:K75" si="53">F66/E66-1</f>
        <v>1.3784785043508219E-2</v>
      </c>
      <c r="G75" s="84">
        <f t="shared" si="53"/>
        <v>9.4586555621653856E-2</v>
      </c>
      <c r="H75" s="84">
        <f t="shared" si="53"/>
        <v>-9.9068322981366475E-2</v>
      </c>
      <c r="I75" s="84">
        <f t="shared" si="53"/>
        <v>-5.5842812823164389E-2</v>
      </c>
      <c r="J75" s="84">
        <f t="shared" si="53"/>
        <v>4.5637093829875575E-4</v>
      </c>
      <c r="K75" s="84">
        <f t="shared" si="53"/>
        <v>3.8591369400602149E-2</v>
      </c>
      <c r="L75" s="86">
        <f>3%</f>
        <v>0.03</v>
      </c>
      <c r="M75" s="86">
        <v>0.04</v>
      </c>
      <c r="N75" s="86">
        <v>0.04</v>
      </c>
      <c r="O75" s="86">
        <v>0.04</v>
      </c>
      <c r="P75" s="86">
        <v>0.04</v>
      </c>
      <c r="Q75" s="86">
        <v>0.03</v>
      </c>
      <c r="R75" s="86">
        <v>0.03</v>
      </c>
      <c r="S75" s="86">
        <v>0.03</v>
      </c>
      <c r="T75" s="86">
        <v>0.03</v>
      </c>
      <c r="U75" s="86">
        <v>0.03</v>
      </c>
      <c r="V75" s="187">
        <v>0.03</v>
      </c>
      <c r="W75" s="184"/>
      <c r="Y75" s="6" t="s">
        <v>859</v>
      </c>
    </row>
    <row r="76" spans="1:25" x14ac:dyDescent="0.2">
      <c r="A76" s="37" t="s">
        <v>206</v>
      </c>
      <c r="B76" s="37"/>
      <c r="C76" s="84">
        <v>0</v>
      </c>
      <c r="D76" s="84">
        <v>0</v>
      </c>
      <c r="E76" s="84">
        <v>0</v>
      </c>
      <c r="F76" s="84">
        <f t="shared" ref="F76:K76" si="54">F67/E67-1</f>
        <v>-8.0712351593418052E-2</v>
      </c>
      <c r="G76" s="84">
        <f t="shared" si="54"/>
        <v>0.1067180242437975</v>
      </c>
      <c r="H76" s="84">
        <f t="shared" si="54"/>
        <v>-8.8750127955778524E-2</v>
      </c>
      <c r="I76" s="84">
        <f t="shared" si="54"/>
        <v>-4.5046057065827871E-2</v>
      </c>
      <c r="J76" s="84">
        <f t="shared" si="54"/>
        <v>-1.42336195741678E-2</v>
      </c>
      <c r="K76" s="84">
        <f t="shared" si="54"/>
        <v>-1.2887828162291171E-2</v>
      </c>
      <c r="L76" s="86">
        <f>3%</f>
        <v>0.03</v>
      </c>
      <c r="M76" s="86">
        <v>0.04</v>
      </c>
      <c r="N76" s="86">
        <v>0.04</v>
      </c>
      <c r="O76" s="86">
        <v>0.04</v>
      </c>
      <c r="P76" s="86">
        <v>0.04</v>
      </c>
      <c r="Q76" s="86">
        <v>0.03</v>
      </c>
      <c r="R76" s="86">
        <v>0.03</v>
      </c>
      <c r="S76" s="86">
        <v>0.03</v>
      </c>
      <c r="T76" s="86">
        <v>0.03</v>
      </c>
      <c r="U76" s="86">
        <v>0.03</v>
      </c>
      <c r="V76" s="187">
        <v>0.03</v>
      </c>
      <c r="W76" s="184"/>
      <c r="Y76" s="6" t="s">
        <v>860</v>
      </c>
    </row>
    <row r="77" spans="1:25" x14ac:dyDescent="0.2">
      <c r="A77" s="37" t="s">
        <v>207</v>
      </c>
      <c r="B77" s="37"/>
      <c r="C77" s="84">
        <f t="shared" ref="C77:K77" si="55">C68/B68-1</f>
        <v>2.3873270861222595E-2</v>
      </c>
      <c r="D77" s="84">
        <f t="shared" si="55"/>
        <v>4.5107866637611682E-2</v>
      </c>
      <c r="E77" s="84">
        <f t="shared" si="55"/>
        <v>6.1092577147622951E-2</v>
      </c>
      <c r="F77" s="84">
        <f t="shared" si="55"/>
        <v>4.8536058164668994E-2</v>
      </c>
      <c r="G77" s="84">
        <f t="shared" si="55"/>
        <v>9.7451274362818641E-2</v>
      </c>
      <c r="H77" s="84">
        <f t="shared" si="55"/>
        <v>-9.5286885245901676E-2</v>
      </c>
      <c r="I77" s="84">
        <f t="shared" si="55"/>
        <v>-5.1340128350320868E-2</v>
      </c>
      <c r="J77" s="84">
        <f t="shared" si="55"/>
        <v>-1.8901711102268237E-2</v>
      </c>
      <c r="K77" s="84">
        <f t="shared" si="55"/>
        <v>-2.2307848306631906E-3</v>
      </c>
      <c r="L77" s="86">
        <f>3%</f>
        <v>0.03</v>
      </c>
      <c r="M77" s="86">
        <v>0.04</v>
      </c>
      <c r="N77" s="86">
        <v>0.04</v>
      </c>
      <c r="O77" s="86">
        <v>0.04</v>
      </c>
      <c r="P77" s="86">
        <v>0.04</v>
      </c>
      <c r="Q77" s="86">
        <v>0.03</v>
      </c>
      <c r="R77" s="86">
        <v>0.03</v>
      </c>
      <c r="S77" s="86">
        <v>0.03</v>
      </c>
      <c r="T77" s="86">
        <v>0.03</v>
      </c>
      <c r="U77" s="86">
        <v>0.03</v>
      </c>
      <c r="V77" s="187">
        <v>0.03</v>
      </c>
      <c r="W77" s="184"/>
      <c r="Y77" s="6" t="s">
        <v>861</v>
      </c>
    </row>
    <row r="78" spans="1:25" x14ac:dyDescent="0.2">
      <c r="A78" s="37"/>
      <c r="B78" s="37"/>
      <c r="C78" s="85"/>
      <c r="D78" s="85"/>
      <c r="E78" s="85"/>
      <c r="F78" s="85"/>
      <c r="G78" s="85"/>
      <c r="H78" s="85"/>
      <c r="I78" s="85"/>
      <c r="J78" s="85"/>
      <c r="K78" s="85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59"/>
      <c r="W78" s="184"/>
      <c r="Y78" s="6" t="s">
        <v>862</v>
      </c>
    </row>
    <row r="79" spans="1:25" x14ac:dyDescent="0.2">
      <c r="W79" s="184"/>
    </row>
    <row r="80" spans="1:25" x14ac:dyDescent="0.2">
      <c r="W80" s="184"/>
    </row>
    <row r="81" spans="1:25" x14ac:dyDescent="0.2">
      <c r="A81" s="50" t="s">
        <v>231</v>
      </c>
      <c r="W81" s="184"/>
    </row>
    <row r="82" spans="1:25" x14ac:dyDescent="0.2">
      <c r="W82" s="184"/>
    </row>
    <row r="83" spans="1:25" x14ac:dyDescent="0.2">
      <c r="A83" s="37" t="s">
        <v>224</v>
      </c>
      <c r="B83" s="90">
        <f t="shared" ref="B83:K83" si="56">B6</f>
        <v>13659</v>
      </c>
      <c r="C83" s="90">
        <f t="shared" si="56"/>
        <v>14451</v>
      </c>
      <c r="D83" s="90">
        <f t="shared" si="56"/>
        <v>15087</v>
      </c>
      <c r="E83" s="90">
        <f t="shared" si="56"/>
        <v>15237</v>
      </c>
      <c r="F83" s="90">
        <f t="shared" si="56"/>
        <v>14670</v>
      </c>
      <c r="G83" s="90">
        <f t="shared" si="56"/>
        <v>16828</v>
      </c>
      <c r="H83" s="90">
        <f t="shared" si="56"/>
        <v>17432</v>
      </c>
      <c r="I83" s="90">
        <f t="shared" si="56"/>
        <v>13604</v>
      </c>
      <c r="J83" s="90">
        <f t="shared" si="56"/>
        <v>13271</v>
      </c>
      <c r="K83" s="90">
        <f t="shared" si="56"/>
        <v>13764</v>
      </c>
      <c r="L83" s="87">
        <f>L84*L69</f>
        <v>13965.527734487734</v>
      </c>
      <c r="M83" s="87">
        <f t="shared" ref="M83:V83" si="57">M84*M69</f>
        <v>14392.519787867244</v>
      </c>
      <c r="N83" s="87">
        <f t="shared" si="57"/>
        <v>14831.326361141933</v>
      </c>
      <c r="O83" s="87">
        <f t="shared" si="57"/>
        <v>15282.209428618009</v>
      </c>
      <c r="P83" s="87">
        <f t="shared" si="57"/>
        <v>15745.433019314347</v>
      </c>
      <c r="Q83" s="87">
        <f t="shared" si="57"/>
        <v>16065.289279851944</v>
      </c>
      <c r="R83" s="87">
        <f t="shared" si="57"/>
        <v>16390.16602630441</v>
      </c>
      <c r="S83" s="87">
        <f t="shared" si="57"/>
        <v>16720.076617192164</v>
      </c>
      <c r="T83" s="87">
        <f t="shared" si="57"/>
        <v>17055.030694109504</v>
      </c>
      <c r="U83" s="87">
        <f t="shared" si="57"/>
        <v>17395.03394668641</v>
      </c>
      <c r="V83" s="177">
        <f t="shared" si="57"/>
        <v>17740.087866793234</v>
      </c>
      <c r="W83" s="196"/>
    </row>
    <row r="84" spans="1:25" x14ac:dyDescent="0.2">
      <c r="A84" s="37" t="s">
        <v>232</v>
      </c>
      <c r="B84" s="45">
        <f t="shared" ref="B84:K84" si="58">B83/B4</f>
        <v>0.45365173204025372</v>
      </c>
      <c r="C84" s="45">
        <f t="shared" si="58"/>
        <v>0.4564867169978204</v>
      </c>
      <c r="D84" s="45">
        <f t="shared" si="58"/>
        <v>0.46046085762246297</v>
      </c>
      <c r="E84" s="45">
        <f t="shared" si="58"/>
        <v>0.4741411501120239</v>
      </c>
      <c r="F84" s="45">
        <f t="shared" si="58"/>
        <v>0.4558165548098434</v>
      </c>
      <c r="G84" s="45">
        <f t="shared" si="58"/>
        <v>0.47597228114835244</v>
      </c>
      <c r="H84" s="45">
        <f t="shared" si="58"/>
        <v>0.50927576032019628</v>
      </c>
      <c r="I84" s="45">
        <f t="shared" si="58"/>
        <v>0.5527834213734254</v>
      </c>
      <c r="J84" s="45">
        <f t="shared" si="58"/>
        <v>0.54002034587995928</v>
      </c>
      <c r="K84" s="45">
        <f t="shared" si="58"/>
        <v>0.5517075517075517</v>
      </c>
      <c r="L84" s="86">
        <f>K84</f>
        <v>0.5517075517075517</v>
      </c>
      <c r="M84" s="85">
        <f>L84-0.5%</f>
        <v>0.5467075517075517</v>
      </c>
      <c r="N84" s="85">
        <f t="shared" ref="N84:V84" si="59">M84-0.5%</f>
        <v>0.54170755170755169</v>
      </c>
      <c r="O84" s="85">
        <f t="shared" si="59"/>
        <v>0.53670755170755169</v>
      </c>
      <c r="P84" s="85">
        <f t="shared" si="59"/>
        <v>0.53170755170755168</v>
      </c>
      <c r="Q84" s="85">
        <f t="shared" si="59"/>
        <v>0.52670755170755168</v>
      </c>
      <c r="R84" s="85">
        <f t="shared" si="59"/>
        <v>0.52170755170755168</v>
      </c>
      <c r="S84" s="85">
        <f t="shared" si="59"/>
        <v>0.51670755170755167</v>
      </c>
      <c r="T84" s="85">
        <f t="shared" si="59"/>
        <v>0.51170755170755167</v>
      </c>
      <c r="U84" s="85">
        <f t="shared" si="59"/>
        <v>0.50670755170755166</v>
      </c>
      <c r="V84" s="193">
        <f t="shared" si="59"/>
        <v>0.50170755170755166</v>
      </c>
      <c r="W84" s="197"/>
    </row>
    <row r="85" spans="1:25" x14ac:dyDescent="0.2">
      <c r="B85" s="101"/>
      <c r="W85" s="184"/>
    </row>
    <row r="86" spans="1:25" x14ac:dyDescent="0.2">
      <c r="A86" s="39" t="s">
        <v>234</v>
      </c>
      <c r="B86" s="45">
        <f t="shared" ref="B86:K86" si="60">B11/B4</f>
        <v>0.26427314092131921</v>
      </c>
      <c r="C86" s="45">
        <f t="shared" si="60"/>
        <v>0.26648134693748621</v>
      </c>
      <c r="D86" s="45">
        <f t="shared" si="60"/>
        <v>0.25685945368533497</v>
      </c>
      <c r="E86" s="45">
        <f t="shared" si="60"/>
        <v>0.25927308937017673</v>
      </c>
      <c r="F86" s="45">
        <f t="shared" si="60"/>
        <v>0.26864280387770323</v>
      </c>
      <c r="G86" s="45">
        <f t="shared" si="60"/>
        <v>0.25699335313251309</v>
      </c>
      <c r="H86" s="45">
        <f t="shared" si="60"/>
        <v>0.31823892021385375</v>
      </c>
      <c r="I86" s="45">
        <f t="shared" si="60"/>
        <v>0.22454286875253962</v>
      </c>
      <c r="J86" s="45">
        <f t="shared" si="60"/>
        <v>0.20952187182095625</v>
      </c>
      <c r="K86" s="45">
        <f t="shared" si="60"/>
        <v>0.20626903960237294</v>
      </c>
      <c r="W86" s="184"/>
    </row>
    <row r="87" spans="1:25" x14ac:dyDescent="0.2">
      <c r="A87" s="37" t="s">
        <v>308</v>
      </c>
      <c r="B87" s="86">
        <f>K86</f>
        <v>0.20626903960237294</v>
      </c>
      <c r="W87" s="184"/>
    </row>
    <row r="88" spans="1:25" x14ac:dyDescent="0.2">
      <c r="A88" s="37" t="s">
        <v>325</v>
      </c>
      <c r="B88" s="86"/>
      <c r="M88" s="85">
        <f>B87-0.5%</f>
        <v>0.20126903960237294</v>
      </c>
      <c r="N88" s="85">
        <f>M88-0.5%</f>
        <v>0.19626903960237294</v>
      </c>
      <c r="O88" s="85">
        <f t="shared" ref="O88:V88" si="61">N88-0.5%</f>
        <v>0.19126903960237293</v>
      </c>
      <c r="P88" s="85">
        <f t="shared" si="61"/>
        <v>0.18626903960237293</v>
      </c>
      <c r="Q88" s="85">
        <f t="shared" si="61"/>
        <v>0.18126903960237292</v>
      </c>
      <c r="R88" s="85">
        <f t="shared" si="61"/>
        <v>0.17626903960237292</v>
      </c>
      <c r="S88" s="85">
        <f t="shared" si="61"/>
        <v>0.17126903960237291</v>
      </c>
      <c r="T88" s="85">
        <f t="shared" si="61"/>
        <v>0.16626903960237291</v>
      </c>
      <c r="U88" s="85">
        <f t="shared" si="61"/>
        <v>0.1612690396023729</v>
      </c>
      <c r="V88" s="193">
        <f t="shared" si="61"/>
        <v>0.1562690396023729</v>
      </c>
      <c r="W88" s="184"/>
      <c r="Y88" s="6" t="s">
        <v>879</v>
      </c>
    </row>
    <row r="89" spans="1:25" x14ac:dyDescent="0.2">
      <c r="A89" s="37" t="s">
        <v>296</v>
      </c>
      <c r="B89" s="90">
        <f t="shared" ref="B89:K89" si="62">B11</f>
        <v>7957</v>
      </c>
      <c r="C89" s="90">
        <f t="shared" si="62"/>
        <v>8436</v>
      </c>
      <c r="D89" s="90">
        <f t="shared" si="62"/>
        <v>8416</v>
      </c>
      <c r="E89" s="90">
        <f t="shared" si="62"/>
        <v>8332</v>
      </c>
      <c r="F89" s="90">
        <f t="shared" si="62"/>
        <v>8646</v>
      </c>
      <c r="G89" s="90">
        <f t="shared" si="62"/>
        <v>9086</v>
      </c>
      <c r="H89" s="90">
        <f t="shared" si="62"/>
        <v>10893</v>
      </c>
      <c r="I89" s="90">
        <f t="shared" si="62"/>
        <v>5526</v>
      </c>
      <c r="J89" s="90">
        <f t="shared" si="62"/>
        <v>5149</v>
      </c>
      <c r="K89" s="90">
        <f t="shared" si="62"/>
        <v>5146</v>
      </c>
      <c r="L89" s="87">
        <f>$B$87*L72</f>
        <v>5221.3459547859547</v>
      </c>
      <c r="M89" s="87">
        <f>M88*M72</f>
        <v>5298.5707369773927</v>
      </c>
      <c r="N89" s="87">
        <f t="shared" ref="N89:V89" si="63">N88*N72</f>
        <v>5373.619348216489</v>
      </c>
      <c r="O89" s="87">
        <f t="shared" si="63"/>
        <v>5446.1941351755477</v>
      </c>
      <c r="P89" s="87">
        <f t="shared" si="63"/>
        <v>5515.9771141341862</v>
      </c>
      <c r="Q89" s="87">
        <f t="shared" si="63"/>
        <v>5528.9496975163765</v>
      </c>
      <c r="R89" s="87">
        <f t="shared" si="63"/>
        <v>5537.736256498777</v>
      </c>
      <c r="S89" s="87">
        <f t="shared" si="63"/>
        <v>5542.0739542923575</v>
      </c>
      <c r="T89" s="87">
        <f t="shared" si="63"/>
        <v>5541.6879513227041</v>
      </c>
      <c r="U89" s="87">
        <f t="shared" si="63"/>
        <v>5536.290921616006</v>
      </c>
      <c r="V89" s="177">
        <f t="shared" si="63"/>
        <v>5525.5825509707183</v>
      </c>
      <c r="W89" s="184"/>
    </row>
    <row r="90" spans="1:25" x14ac:dyDescent="0.2">
      <c r="B90" s="101"/>
      <c r="W90" s="184"/>
    </row>
    <row r="91" spans="1:25" x14ac:dyDescent="0.2">
      <c r="A91" s="39" t="s">
        <v>304</v>
      </c>
      <c r="B91" s="90">
        <f t="shared" ref="B91:J91" si="64">B12</f>
        <v>1735</v>
      </c>
      <c r="C91" s="90">
        <f t="shared" si="64"/>
        <v>1862</v>
      </c>
      <c r="D91" s="90">
        <f t="shared" si="64"/>
        <v>1816</v>
      </c>
      <c r="E91" s="90">
        <f t="shared" si="64"/>
        <v>1874</v>
      </c>
      <c r="F91" s="90">
        <f t="shared" si="64"/>
        <v>1862</v>
      </c>
      <c r="G91" s="90">
        <f t="shared" si="64"/>
        <v>1977</v>
      </c>
      <c r="H91" s="90">
        <f t="shared" si="64"/>
        <v>1856</v>
      </c>
      <c r="I91" s="90">
        <f t="shared" si="64"/>
        <v>1123</v>
      </c>
      <c r="J91" s="90">
        <f t="shared" si="64"/>
        <v>1070</v>
      </c>
      <c r="K91" s="90">
        <f>K12</f>
        <v>1169</v>
      </c>
      <c r="L91" s="87">
        <f t="shared" ref="L91:V91" si="65">$B$94*L4</f>
        <v>1265.664</v>
      </c>
      <c r="M91" s="87">
        <f>$B$94*M4</f>
        <v>1316.2905600000001</v>
      </c>
      <c r="N91" s="87">
        <f t="shared" si="65"/>
        <v>1368.9421824000001</v>
      </c>
      <c r="O91" s="87">
        <f t="shared" si="65"/>
        <v>1423.699869696</v>
      </c>
      <c r="P91" s="87">
        <f t="shared" si="65"/>
        <v>1480.6478644838401</v>
      </c>
      <c r="Q91" s="87">
        <f t="shared" si="65"/>
        <v>1525.0673004183554</v>
      </c>
      <c r="R91" s="87">
        <f t="shared" si="65"/>
        <v>1570.819319430906</v>
      </c>
      <c r="S91" s="87">
        <f t="shared" si="65"/>
        <v>1617.9438990138335</v>
      </c>
      <c r="T91" s="87">
        <f t="shared" si="65"/>
        <v>1666.4822159842488</v>
      </c>
      <c r="U91" s="87">
        <f t="shared" si="65"/>
        <v>1716.4766824637759</v>
      </c>
      <c r="V91" s="177">
        <f t="shared" si="65"/>
        <v>1767.9709829376895</v>
      </c>
      <c r="W91" s="184"/>
    </row>
    <row r="92" spans="1:25" x14ac:dyDescent="0.2">
      <c r="A92" s="37" t="s">
        <v>305</v>
      </c>
      <c r="B92" s="86">
        <f t="shared" ref="B92:K92" si="66">B91/B4</f>
        <v>5.7623966255936764E-2</v>
      </c>
      <c r="C92" s="86">
        <f t="shared" si="66"/>
        <v>5.8817954954670376E-2</v>
      </c>
      <c r="D92" s="86">
        <f t="shared" si="66"/>
        <v>5.5424996184953459E-2</v>
      </c>
      <c r="E92" s="86">
        <f t="shared" si="66"/>
        <v>5.8314662683594726E-2</v>
      </c>
      <c r="F92" s="86">
        <f t="shared" si="66"/>
        <v>5.7854834700472285E-2</v>
      </c>
      <c r="G92" s="86">
        <f t="shared" si="66"/>
        <v>5.5918540517607127E-2</v>
      </c>
      <c r="H92" s="86">
        <f t="shared" si="66"/>
        <v>5.4223027257588596E-2</v>
      </c>
      <c r="I92" s="86">
        <f t="shared" si="66"/>
        <v>4.5631856968711908E-2</v>
      </c>
      <c r="J92" s="86">
        <f t="shared" si="66"/>
        <v>4.3540183112919635E-2</v>
      </c>
      <c r="K92" s="86">
        <f t="shared" si="66"/>
        <v>4.6857463524130193E-2</v>
      </c>
      <c r="L92" s="37"/>
      <c r="M92" s="288"/>
      <c r="N92" s="37"/>
      <c r="O92" s="37"/>
      <c r="P92" s="37"/>
      <c r="Q92" s="37"/>
      <c r="R92" s="37"/>
      <c r="S92" s="37"/>
      <c r="T92" s="37"/>
      <c r="U92" s="37"/>
      <c r="V92" s="59"/>
      <c r="W92" s="184"/>
    </row>
    <row r="93" spans="1:25" x14ac:dyDescent="0.2">
      <c r="A93" s="6" t="s">
        <v>306</v>
      </c>
      <c r="B93" s="98">
        <f>AVERAGE(B92:K92)</f>
        <v>5.3420748616058514E-2</v>
      </c>
      <c r="W93" s="184"/>
    </row>
    <row r="94" spans="1:25" x14ac:dyDescent="0.2">
      <c r="A94" s="6" t="s">
        <v>307</v>
      </c>
      <c r="B94" s="101">
        <v>0.05</v>
      </c>
      <c r="W94" s="184"/>
    </row>
    <row r="95" spans="1:25" x14ac:dyDescent="0.2">
      <c r="A95" s="37" t="s">
        <v>235</v>
      </c>
      <c r="B95" s="45">
        <f t="shared" ref="B95:K95" si="67">B14/B4</f>
        <v>0.23311966521638047</v>
      </c>
      <c r="C95" s="45">
        <f t="shared" si="67"/>
        <v>0.22825915279401079</v>
      </c>
      <c r="D95" s="45">
        <f t="shared" si="67"/>
        <v>0.23726537463757058</v>
      </c>
      <c r="E95" s="45">
        <f t="shared" si="67"/>
        <v>0.21701518546178741</v>
      </c>
      <c r="F95" s="45">
        <f t="shared" si="67"/>
        <v>0.21616331096196867</v>
      </c>
      <c r="G95" s="45">
        <f t="shared" si="67"/>
        <v>0.21286946683637392</v>
      </c>
      <c r="H95" s="45">
        <f t="shared" si="67"/>
        <v>0.11899266703672325</v>
      </c>
      <c r="I95" s="45">
        <f t="shared" si="67"/>
        <v>0.16444534741974806</v>
      </c>
      <c r="J95" s="45">
        <f t="shared" si="67"/>
        <v>0.20065106815869788</v>
      </c>
      <c r="K95" s="45">
        <f t="shared" si="67"/>
        <v>0.18959435626102292</v>
      </c>
      <c r="W95" s="184"/>
    </row>
    <row r="96" spans="1:25" x14ac:dyDescent="0.2">
      <c r="A96" s="37" t="s">
        <v>233</v>
      </c>
      <c r="B96" s="86">
        <v>0.25</v>
      </c>
      <c r="C96" s="6" t="s">
        <v>326</v>
      </c>
      <c r="W96" s="184"/>
    </row>
    <row r="97" spans="1:23" x14ac:dyDescent="0.2">
      <c r="W97" s="184"/>
    </row>
    <row r="98" spans="1:23" x14ac:dyDescent="0.2">
      <c r="A98" s="50" t="s">
        <v>236</v>
      </c>
      <c r="B98" s="6" t="s">
        <v>466</v>
      </c>
      <c r="W98" s="184"/>
    </row>
    <row r="99" spans="1:23" x14ac:dyDescent="0.2">
      <c r="A99" s="37" t="s">
        <v>237</v>
      </c>
      <c r="B99" s="37">
        <v>8515</v>
      </c>
      <c r="C99" s="37">
        <f>B103</f>
        <v>8516</v>
      </c>
      <c r="D99" s="37">
        <f t="shared" ref="D99:V99" si="68">C103</f>
        <v>8866</v>
      </c>
      <c r="E99" s="37">
        <f t="shared" si="68"/>
        <v>8738</v>
      </c>
      <c r="F99" s="37">
        <f t="shared" si="68"/>
        <v>10191</v>
      </c>
      <c r="G99" s="37">
        <f t="shared" si="68"/>
        <v>10285</v>
      </c>
      <c r="H99" s="37">
        <f t="shared" si="68"/>
        <v>10287</v>
      </c>
      <c r="I99" s="37">
        <f t="shared" si="68"/>
        <v>10007</v>
      </c>
      <c r="J99" s="37">
        <f t="shared" si="68"/>
        <v>8347</v>
      </c>
      <c r="K99" s="37">
        <f t="shared" si="68"/>
        <v>7953</v>
      </c>
      <c r="L99" s="37">
        <f t="shared" si="68"/>
        <v>7617</v>
      </c>
      <c r="M99" s="87">
        <f t="shared" si="68"/>
        <v>7274.8177851621731</v>
      </c>
      <c r="N99" s="87">
        <f t="shared" si="68"/>
        <v>6969.4075452129073</v>
      </c>
      <c r="O99" s="87">
        <f t="shared" si="68"/>
        <v>6700.2217886084654</v>
      </c>
      <c r="P99" s="87">
        <f t="shared" si="68"/>
        <v>6466.771858964923</v>
      </c>
      <c r="Q99" s="87">
        <f t="shared" si="68"/>
        <v>6268.627059071714</v>
      </c>
      <c r="R99" s="87">
        <f t="shared" si="68"/>
        <v>6092.5454248814131</v>
      </c>
      <c r="S99" s="87">
        <f t="shared" si="68"/>
        <v>5938.0685509771174</v>
      </c>
      <c r="T99" s="87">
        <f t="shared" si="68"/>
        <v>5804.7690917949367</v>
      </c>
      <c r="U99" s="87">
        <f t="shared" si="68"/>
        <v>5692.2499009389649</v>
      </c>
      <c r="V99" s="177">
        <f t="shared" si="68"/>
        <v>5600.1432163749196</v>
      </c>
      <c r="W99" s="184"/>
    </row>
    <row r="100" spans="1:23" x14ac:dyDescent="0.2">
      <c r="A100" s="37" t="s">
        <v>238</v>
      </c>
      <c r="B100" s="91">
        <f>-'3M-CFS'!K28</f>
        <v>1420</v>
      </c>
      <c r="C100" s="37">
        <f>-VLOOKUP('3M-CFS'!$A$27,'3M-CFS'!$A$10:$K$58,10, FALSE)</f>
        <v>1373</v>
      </c>
      <c r="D100" s="37">
        <f>-VLOOKUP('3M-CFS'!$A$27,'3M-CFS'!$A$10:$K$58,9, FALSE)</f>
        <v>1577</v>
      </c>
      <c r="E100" s="37">
        <f>-VLOOKUP('3M-CFS'!$A$27,'3M-CFS'!$A$10:$K$58,8, FALSE)</f>
        <v>1699</v>
      </c>
      <c r="F100" s="37">
        <f>-VLOOKUP('3M-CFS'!$A$27,'3M-CFS'!$A$10:$K$58,7, FALSE)</f>
        <v>1501</v>
      </c>
      <c r="G100" s="37">
        <f>-VLOOKUP('3M-CFS'!$A$27,'3M-CFS'!$A$10:$K$58,6, FALSE)</f>
        <v>1603</v>
      </c>
      <c r="H100" s="37">
        <f>-VLOOKUP('3M-CFS'!$A$27,'3M-CFS'!$A$10:$K$58,5, FALSE)</f>
        <v>1749</v>
      </c>
      <c r="I100" s="37">
        <f>-VLOOKUP('3M-CFS'!$A$27,'3M-CFS'!$A$10:$K$58,4, FALSE)</f>
        <v>1615</v>
      </c>
      <c r="J100" s="37">
        <f>-VLOOKUP('3M-CFS'!$A$27,'3M-CFS'!$A$10:$K$58,3, FALSE)</f>
        <v>1181</v>
      </c>
      <c r="K100" s="37">
        <f>-VLOOKUP('3M-CFS'!$A$27,'3M-CFS'!$A$10:$K$58,2, FALSE)</f>
        <v>910</v>
      </c>
      <c r="L100" s="112">
        <v>1100</v>
      </c>
      <c r="M100" s="37">
        <f>M105*M72</f>
        <v>1144.0000000000002</v>
      </c>
      <c r="N100" s="87">
        <f t="shared" ref="N100:V100" si="69">N105*N72</f>
        <v>1189.7600000000002</v>
      </c>
      <c r="O100" s="87">
        <f t="shared" si="69"/>
        <v>1237.3504</v>
      </c>
      <c r="P100" s="87">
        <f t="shared" si="69"/>
        <v>1286.8444160000001</v>
      </c>
      <c r="Q100" s="87">
        <f t="shared" si="69"/>
        <v>1325.4497484800004</v>
      </c>
      <c r="R100" s="87">
        <f t="shared" si="69"/>
        <v>1365.2132409344003</v>
      </c>
      <c r="S100" s="87">
        <f t="shared" si="69"/>
        <v>1406.1696381624326</v>
      </c>
      <c r="T100" s="87">
        <f t="shared" si="69"/>
        <v>1448.3547273073057</v>
      </c>
      <c r="U100" s="87">
        <f t="shared" si="69"/>
        <v>1491.8053691265245</v>
      </c>
      <c r="V100" s="177">
        <f t="shared" si="69"/>
        <v>1536.5595302003205</v>
      </c>
      <c r="W100" s="184"/>
    </row>
    <row r="101" spans="1:23" x14ac:dyDescent="0.2">
      <c r="A101" s="37" t="s">
        <v>239</v>
      </c>
      <c r="B101" s="91">
        <f t="shared" ref="B101:K101" si="70">-B8</f>
        <v>-1212</v>
      </c>
      <c r="C101" s="91">
        <f t="shared" si="70"/>
        <v>-1306</v>
      </c>
      <c r="D101" s="91">
        <f t="shared" si="70"/>
        <v>-1239</v>
      </c>
      <c r="E101" s="91">
        <f t="shared" si="70"/>
        <v>-1252</v>
      </c>
      <c r="F101" s="91">
        <f t="shared" si="70"/>
        <v>-1374</v>
      </c>
      <c r="G101" s="91">
        <f t="shared" si="70"/>
        <v>-1386</v>
      </c>
      <c r="H101" s="91">
        <f t="shared" si="70"/>
        <v>-1333</v>
      </c>
      <c r="I101" s="91">
        <f t="shared" si="70"/>
        <v>-1306</v>
      </c>
      <c r="J101" s="91">
        <f t="shared" si="70"/>
        <v>-1116</v>
      </c>
      <c r="K101" s="91">
        <f t="shared" si="70"/>
        <v>-1204</v>
      </c>
      <c r="L101" s="87">
        <f>-L117</f>
        <v>-1215.6149476337046</v>
      </c>
      <c r="M101" s="87">
        <f t="shared" ref="M101:V101" si="71">-M117</f>
        <v>-1221.7074477886342</v>
      </c>
      <c r="N101" s="87">
        <f t="shared" si="71"/>
        <v>-1229.744931859778</v>
      </c>
      <c r="O101" s="87">
        <f t="shared" si="71"/>
        <v>-1239.7371478473838</v>
      </c>
      <c r="P101" s="87">
        <f t="shared" si="71"/>
        <v>-1251.6969557259652</v>
      </c>
      <c r="Q101" s="87">
        <f t="shared" si="71"/>
        <v>-1265.6403430411021</v>
      </c>
      <c r="R101" s="87">
        <f t="shared" si="71"/>
        <v>-1280.9463328299589</v>
      </c>
      <c r="S101" s="87">
        <f t="shared" si="71"/>
        <v>-1297.6180311325766</v>
      </c>
      <c r="T101" s="87">
        <f t="shared" si="71"/>
        <v>-1315.6601480515642</v>
      </c>
      <c r="U101" s="87">
        <f t="shared" si="71"/>
        <v>-1335.0789854387208</v>
      </c>
      <c r="V101" s="177">
        <f t="shared" si="71"/>
        <v>-1355.8824266296676</v>
      </c>
      <c r="W101" s="184"/>
    </row>
    <row r="102" spans="1:23" x14ac:dyDescent="0.2">
      <c r="A102" s="37" t="s">
        <v>241</v>
      </c>
      <c r="B102" s="91">
        <f>B103-(SUM(B99:B101))</f>
        <v>-207</v>
      </c>
      <c r="C102" s="91">
        <f t="shared" ref="C102:K102" si="72">C103-(SUM(C99:C101))</f>
        <v>283</v>
      </c>
      <c r="D102" s="91">
        <f t="shared" si="72"/>
        <v>-466</v>
      </c>
      <c r="E102" s="91">
        <f t="shared" si="72"/>
        <v>1006</v>
      </c>
      <c r="F102" s="91">
        <f t="shared" si="72"/>
        <v>-33</v>
      </c>
      <c r="G102" s="91">
        <f t="shared" si="72"/>
        <v>-215</v>
      </c>
      <c r="H102" s="91">
        <f t="shared" si="72"/>
        <v>-696</v>
      </c>
      <c r="I102" s="91">
        <f t="shared" si="72"/>
        <v>-1969</v>
      </c>
      <c r="J102" s="91">
        <f t="shared" si="72"/>
        <v>-459</v>
      </c>
      <c r="K102" s="91">
        <f t="shared" si="72"/>
        <v>-42</v>
      </c>
      <c r="L102" s="91">
        <f>L103-(L99+L100+L101)</f>
        <v>-226.56726720412189</v>
      </c>
      <c r="M102" s="91">
        <f t="shared" ref="M102:V102" si="73">M103-(M99+M100+M101)</f>
        <v>-227.70279216063136</v>
      </c>
      <c r="N102" s="91">
        <f t="shared" si="73"/>
        <v>-229.20082474466381</v>
      </c>
      <c r="O102" s="91">
        <f t="shared" si="73"/>
        <v>-231.06318179615846</v>
      </c>
      <c r="P102" s="91">
        <f t="shared" si="73"/>
        <v>-233.29226016724351</v>
      </c>
      <c r="Q102" s="91">
        <f t="shared" si="73"/>
        <v>-235.89103962919944</v>
      </c>
      <c r="R102" s="91">
        <f t="shared" si="73"/>
        <v>-238.74378200873707</v>
      </c>
      <c r="S102" s="91">
        <f t="shared" si="73"/>
        <v>-241.85106621203704</v>
      </c>
      <c r="T102" s="91">
        <f t="shared" si="73"/>
        <v>-245.21377011171353</v>
      </c>
      <c r="U102" s="91">
        <f t="shared" si="73"/>
        <v>-248.83306825184991</v>
      </c>
      <c r="V102" s="194">
        <f t="shared" si="73"/>
        <v>-252.71042993471656</v>
      </c>
      <c r="W102" s="184"/>
    </row>
    <row r="103" spans="1:23" x14ac:dyDescent="0.2">
      <c r="A103" s="37" t="s">
        <v>240</v>
      </c>
      <c r="B103" s="37">
        <f>'BS-Reorg'!B19</f>
        <v>8516</v>
      </c>
      <c r="C103" s="37">
        <f>'BS-Reorg'!C19</f>
        <v>8866</v>
      </c>
      <c r="D103" s="37">
        <f>'BS-Reorg'!D19</f>
        <v>8738</v>
      </c>
      <c r="E103" s="37">
        <f>'BS-Reorg'!E19</f>
        <v>10191</v>
      </c>
      <c r="F103" s="37">
        <f>'BS-Reorg'!F19</f>
        <v>10285</v>
      </c>
      <c r="G103" s="37">
        <f>'BS-Reorg'!G19</f>
        <v>10287</v>
      </c>
      <c r="H103" s="37">
        <f>'BS-Reorg'!H19</f>
        <v>10007</v>
      </c>
      <c r="I103" s="37">
        <f>'BS-Reorg'!I19</f>
        <v>8347</v>
      </c>
      <c r="J103" s="37">
        <f>'BS-Reorg'!J19</f>
        <v>7953</v>
      </c>
      <c r="K103" s="37">
        <f>'BS-Reorg'!K19</f>
        <v>7617</v>
      </c>
      <c r="L103" s="87">
        <f>L120</f>
        <v>7274.8177851621731</v>
      </c>
      <c r="M103" s="87">
        <f t="shared" ref="M103:V103" si="74">M120</f>
        <v>6969.4075452129073</v>
      </c>
      <c r="N103" s="87">
        <f t="shared" si="74"/>
        <v>6700.2217886084654</v>
      </c>
      <c r="O103" s="87">
        <f t="shared" si="74"/>
        <v>6466.771858964923</v>
      </c>
      <c r="P103" s="87">
        <f t="shared" si="74"/>
        <v>6268.627059071714</v>
      </c>
      <c r="Q103" s="87">
        <f t="shared" si="74"/>
        <v>6092.5454248814131</v>
      </c>
      <c r="R103" s="87">
        <f t="shared" si="74"/>
        <v>5938.0685509771174</v>
      </c>
      <c r="S103" s="87">
        <f t="shared" si="74"/>
        <v>5804.7690917949367</v>
      </c>
      <c r="T103" s="87">
        <f t="shared" si="74"/>
        <v>5692.2499009389649</v>
      </c>
      <c r="U103" s="87">
        <f t="shared" si="74"/>
        <v>5600.1432163749196</v>
      </c>
      <c r="V103" s="177">
        <f t="shared" si="74"/>
        <v>5528.1098900108555</v>
      </c>
      <c r="W103" s="184"/>
    </row>
    <row r="104" spans="1:23" x14ac:dyDescent="0.2">
      <c r="W104" s="184"/>
    </row>
    <row r="105" spans="1:23" x14ac:dyDescent="0.2">
      <c r="A105" s="37" t="s">
        <v>242</v>
      </c>
      <c r="B105" s="45">
        <f t="shared" ref="B105:K105" si="75">B100/B4</f>
        <v>4.7161978146069282E-2</v>
      </c>
      <c r="C105" s="45">
        <f t="shared" si="75"/>
        <v>4.3371134346274126E-2</v>
      </c>
      <c r="D105" s="45">
        <f t="shared" si="75"/>
        <v>4.8130627193651764E-2</v>
      </c>
      <c r="E105" s="45">
        <f t="shared" si="75"/>
        <v>5.2869056509833208E-2</v>
      </c>
      <c r="F105" s="45">
        <f t="shared" si="75"/>
        <v>4.6638081034054188E-2</v>
      </c>
      <c r="G105" s="45">
        <f t="shared" si="75"/>
        <v>4.5340121623532736E-2</v>
      </c>
      <c r="H105" s="45">
        <f t="shared" si="75"/>
        <v>5.1097022992199599E-2</v>
      </c>
      <c r="I105" s="45">
        <f t="shared" si="75"/>
        <v>6.5623730190979279E-2</v>
      </c>
      <c r="J105" s="45">
        <f t="shared" si="75"/>
        <v>4.805696846388606E-2</v>
      </c>
      <c r="K105" s="45">
        <f t="shared" si="75"/>
        <v>3.6475869809203143E-2</v>
      </c>
      <c r="L105" s="84">
        <f>L100/L69</f>
        <v>4.3455451051779941E-2</v>
      </c>
      <c r="M105" s="85">
        <f>L105</f>
        <v>4.3455451051779941E-2</v>
      </c>
      <c r="N105" s="85">
        <f t="shared" ref="N105:V105" si="76">M105</f>
        <v>4.3455451051779941E-2</v>
      </c>
      <c r="O105" s="85">
        <f t="shared" si="76"/>
        <v>4.3455451051779941E-2</v>
      </c>
      <c r="P105" s="85">
        <f t="shared" si="76"/>
        <v>4.3455451051779941E-2</v>
      </c>
      <c r="Q105" s="85">
        <f t="shared" si="76"/>
        <v>4.3455451051779941E-2</v>
      </c>
      <c r="R105" s="85">
        <f t="shared" si="76"/>
        <v>4.3455451051779941E-2</v>
      </c>
      <c r="S105" s="85">
        <f t="shared" si="76"/>
        <v>4.3455451051779941E-2</v>
      </c>
      <c r="T105" s="85">
        <f t="shared" si="76"/>
        <v>4.3455451051779941E-2</v>
      </c>
      <c r="U105" s="85">
        <f t="shared" si="76"/>
        <v>4.3455451051779941E-2</v>
      </c>
      <c r="V105" s="193">
        <f t="shared" si="76"/>
        <v>4.3455451051779941E-2</v>
      </c>
      <c r="W105" s="197"/>
    </row>
    <row r="106" spans="1:23" x14ac:dyDescent="0.2">
      <c r="B106" s="6" t="s">
        <v>283</v>
      </c>
      <c r="K106" s="56"/>
      <c r="W106" s="184"/>
    </row>
    <row r="107" spans="1:23" x14ac:dyDescent="0.2">
      <c r="W107" s="184"/>
    </row>
    <row r="108" spans="1:23" x14ac:dyDescent="0.2">
      <c r="A108" s="50" t="s">
        <v>244</v>
      </c>
      <c r="J108" s="6">
        <v>2024</v>
      </c>
      <c r="K108" s="6">
        <v>2025</v>
      </c>
      <c r="L108" s="6">
        <v>2026</v>
      </c>
      <c r="M108" s="6">
        <v>2027</v>
      </c>
      <c r="N108" s="6">
        <v>2028</v>
      </c>
      <c r="O108" s="6">
        <f>N108+1</f>
        <v>2029</v>
      </c>
      <c r="P108" s="6">
        <f t="shared" ref="P108:V108" si="77">O108+1</f>
        <v>2030</v>
      </c>
      <c r="Q108" s="6">
        <f t="shared" si="77"/>
        <v>2031</v>
      </c>
      <c r="R108" s="6">
        <f t="shared" si="77"/>
        <v>2032</v>
      </c>
      <c r="S108" s="6">
        <f t="shared" si="77"/>
        <v>2033</v>
      </c>
      <c r="T108" s="6">
        <f t="shared" si="77"/>
        <v>2034</v>
      </c>
      <c r="U108" s="6">
        <f t="shared" si="77"/>
        <v>2035</v>
      </c>
      <c r="V108" s="6">
        <f t="shared" si="77"/>
        <v>2036</v>
      </c>
      <c r="W108" s="184"/>
    </row>
    <row r="109" spans="1:23" x14ac:dyDescent="0.2">
      <c r="A109" s="37" t="s">
        <v>245</v>
      </c>
      <c r="B109" s="37">
        <v>23098</v>
      </c>
      <c r="C109" s="37">
        <f t="shared" ref="C109:L109" si="78">B112</f>
        <v>23499</v>
      </c>
      <c r="D109" s="37">
        <f t="shared" si="78"/>
        <v>24914</v>
      </c>
      <c r="E109" s="37">
        <f t="shared" si="78"/>
        <v>24873</v>
      </c>
      <c r="F109" s="37">
        <f t="shared" si="78"/>
        <v>26982</v>
      </c>
      <c r="G109" s="37">
        <f t="shared" si="78"/>
        <v>27514</v>
      </c>
      <c r="H109" s="37">
        <f t="shared" si="78"/>
        <v>28071</v>
      </c>
      <c r="I109" s="37">
        <f t="shared" si="78"/>
        <v>26827</v>
      </c>
      <c r="J109" s="37">
        <f t="shared" si="78"/>
        <v>24151</v>
      </c>
      <c r="K109" s="37">
        <f t="shared" si="78"/>
        <v>23971</v>
      </c>
      <c r="L109" s="87">
        <f t="shared" si="78"/>
        <v>24438</v>
      </c>
      <c r="M109" s="87">
        <f t="shared" ref="M109:V109" si="79">L112</f>
        <v>24560.48</v>
      </c>
      <c r="N109" s="87">
        <f t="shared" si="79"/>
        <v>24722.060799999999</v>
      </c>
      <c r="O109" s="87">
        <f t="shared" si="79"/>
        <v>24922.938368000003</v>
      </c>
      <c r="P109" s="87">
        <f t="shared" si="79"/>
        <v>25163.371233280002</v>
      </c>
      <c r="Q109" s="87">
        <f t="shared" si="79"/>
        <v>25443.680799948801</v>
      </c>
      <c r="R109" s="87">
        <f t="shared" si="79"/>
        <v>25751.383316430849</v>
      </c>
      <c r="S109" s="87">
        <f t="shared" si="79"/>
        <v>26086.541224708017</v>
      </c>
      <c r="T109" s="87">
        <f t="shared" si="79"/>
        <v>26449.249213882129</v>
      </c>
      <c r="U109" s="87">
        <f t="shared" si="79"/>
        <v>26839.63397263415</v>
      </c>
      <c r="V109" s="177">
        <f t="shared" si="79"/>
        <v>27257.853982855308</v>
      </c>
      <c r="W109" s="184"/>
    </row>
    <row r="110" spans="1:23" x14ac:dyDescent="0.2">
      <c r="A110" s="37" t="s">
        <v>284</v>
      </c>
      <c r="B110" s="91">
        <f>B100</f>
        <v>1420</v>
      </c>
      <c r="C110" s="91">
        <f t="shared" ref="C110:K110" si="80">C100</f>
        <v>1373</v>
      </c>
      <c r="D110" s="91">
        <f t="shared" si="80"/>
        <v>1577</v>
      </c>
      <c r="E110" s="91">
        <f t="shared" si="80"/>
        <v>1699</v>
      </c>
      <c r="F110" s="91">
        <f t="shared" si="80"/>
        <v>1501</v>
      </c>
      <c r="G110" s="91">
        <f t="shared" si="80"/>
        <v>1603</v>
      </c>
      <c r="H110" s="91">
        <f t="shared" si="80"/>
        <v>1749</v>
      </c>
      <c r="I110" s="91">
        <f t="shared" si="80"/>
        <v>1615</v>
      </c>
      <c r="J110" s="91">
        <f t="shared" si="80"/>
        <v>1181</v>
      </c>
      <c r="K110" s="91">
        <f t="shared" si="80"/>
        <v>910</v>
      </c>
      <c r="L110" s="87">
        <f>L100</f>
        <v>1100</v>
      </c>
      <c r="M110" s="87">
        <f t="shared" ref="M110:V110" si="81">M100</f>
        <v>1144.0000000000002</v>
      </c>
      <c r="N110" s="87">
        <f t="shared" si="81"/>
        <v>1189.7600000000002</v>
      </c>
      <c r="O110" s="87">
        <f t="shared" si="81"/>
        <v>1237.3504</v>
      </c>
      <c r="P110" s="87">
        <f t="shared" si="81"/>
        <v>1286.8444160000001</v>
      </c>
      <c r="Q110" s="87">
        <f t="shared" si="81"/>
        <v>1325.4497484800004</v>
      </c>
      <c r="R110" s="87">
        <f t="shared" si="81"/>
        <v>1365.2132409344003</v>
      </c>
      <c r="S110" s="87">
        <f t="shared" si="81"/>
        <v>1406.1696381624326</v>
      </c>
      <c r="T110" s="87">
        <f t="shared" si="81"/>
        <v>1448.3547273073057</v>
      </c>
      <c r="U110" s="87">
        <f t="shared" si="81"/>
        <v>1491.8053691265245</v>
      </c>
      <c r="V110" s="177">
        <f t="shared" si="81"/>
        <v>1536.5595302003205</v>
      </c>
      <c r="W110" s="184"/>
    </row>
    <row r="111" spans="1:23" x14ac:dyDescent="0.2">
      <c r="A111" s="37" t="s">
        <v>286</v>
      </c>
      <c r="B111" s="91">
        <f t="shared" ref="B111:J111" si="82">B109+B110-B112</f>
        <v>1019</v>
      </c>
      <c r="C111" s="91">
        <f>(C109+C110-C112)*0</f>
        <v>0</v>
      </c>
      <c r="D111" s="91">
        <f t="shared" si="82"/>
        <v>1618</v>
      </c>
      <c r="E111" s="91">
        <f>(E109+E110-E112)*0</f>
        <v>0</v>
      </c>
      <c r="F111" s="91">
        <f t="shared" si="82"/>
        <v>969</v>
      </c>
      <c r="G111" s="91">
        <f t="shared" si="82"/>
        <v>1046</v>
      </c>
      <c r="H111" s="91">
        <f t="shared" si="82"/>
        <v>2993</v>
      </c>
      <c r="I111" s="91">
        <f t="shared" si="82"/>
        <v>4291</v>
      </c>
      <c r="J111" s="91">
        <f t="shared" si="82"/>
        <v>1361</v>
      </c>
      <c r="K111" s="91">
        <f>K109+K110-K112</f>
        <v>443</v>
      </c>
      <c r="L111" s="87">
        <f>$B$115*L109</f>
        <v>977.52</v>
      </c>
      <c r="M111" s="87">
        <f t="shared" ref="M111:V111" si="83">$B$115*M109</f>
        <v>982.41920000000005</v>
      </c>
      <c r="N111" s="87">
        <f t="shared" si="83"/>
        <v>988.88243199999999</v>
      </c>
      <c r="O111" s="87">
        <f t="shared" si="83"/>
        <v>996.91753472000016</v>
      </c>
      <c r="P111" s="87">
        <f t="shared" si="83"/>
        <v>1006.5348493312001</v>
      </c>
      <c r="Q111" s="87">
        <f t="shared" si="83"/>
        <v>1017.7472319979521</v>
      </c>
      <c r="R111" s="87">
        <f t="shared" si="83"/>
        <v>1030.055332657234</v>
      </c>
      <c r="S111" s="87">
        <f t="shared" si="83"/>
        <v>1043.4616489883206</v>
      </c>
      <c r="T111" s="87">
        <f t="shared" si="83"/>
        <v>1057.9699685552853</v>
      </c>
      <c r="U111" s="87">
        <f t="shared" si="83"/>
        <v>1073.5853589053661</v>
      </c>
      <c r="V111" s="177">
        <f t="shared" si="83"/>
        <v>1090.3141593142122</v>
      </c>
      <c r="W111" s="184"/>
    </row>
    <row r="112" spans="1:23" x14ac:dyDescent="0.2">
      <c r="A112" s="37" t="s">
        <v>246</v>
      </c>
      <c r="B112" s="37">
        <v>23499</v>
      </c>
      <c r="C112" s="37">
        <f>'BS-Reorg'!C20</f>
        <v>24914</v>
      </c>
      <c r="D112" s="37">
        <f>'BS-Reorg'!D20</f>
        <v>24873</v>
      </c>
      <c r="E112" s="37">
        <f>'BS-Reorg'!E20</f>
        <v>26982</v>
      </c>
      <c r="F112" s="37">
        <f>'BS-Reorg'!F20</f>
        <v>27514</v>
      </c>
      <c r="G112" s="37">
        <f>'BS-Reorg'!G20</f>
        <v>28071</v>
      </c>
      <c r="H112" s="37">
        <f>'BS-Reorg'!H20</f>
        <v>26827</v>
      </c>
      <c r="I112" s="37">
        <f>'BS-Reorg'!I20</f>
        <v>24151</v>
      </c>
      <c r="J112" s="37">
        <f>'BS-Reorg'!J20</f>
        <v>23971</v>
      </c>
      <c r="K112" s="37">
        <f>'BS-Reorg'!K20</f>
        <v>24438</v>
      </c>
      <c r="L112" s="87">
        <f>L109+L110-L111</f>
        <v>24560.48</v>
      </c>
      <c r="M112" s="87">
        <f t="shared" ref="M112:V112" si="84">M109+M110-M111</f>
        <v>24722.060799999999</v>
      </c>
      <c r="N112" s="87">
        <f t="shared" si="84"/>
        <v>24922.938368000003</v>
      </c>
      <c r="O112" s="87">
        <f t="shared" si="84"/>
        <v>25163.371233280002</v>
      </c>
      <c r="P112" s="87">
        <f t="shared" si="84"/>
        <v>25443.680799948801</v>
      </c>
      <c r="Q112" s="87">
        <f t="shared" si="84"/>
        <v>25751.383316430849</v>
      </c>
      <c r="R112" s="87">
        <f t="shared" si="84"/>
        <v>26086.541224708017</v>
      </c>
      <c r="S112" s="87">
        <f t="shared" si="84"/>
        <v>26449.249213882129</v>
      </c>
      <c r="T112" s="87">
        <f t="shared" si="84"/>
        <v>26839.63397263415</v>
      </c>
      <c r="U112" s="87">
        <f t="shared" si="84"/>
        <v>27257.853982855308</v>
      </c>
      <c r="V112" s="177">
        <f t="shared" si="84"/>
        <v>27704.099353741414</v>
      </c>
      <c r="W112" s="184"/>
    </row>
    <row r="113" spans="1:23" x14ac:dyDescent="0.2">
      <c r="A113" s="37" t="s">
        <v>243</v>
      </c>
      <c r="B113" s="45">
        <f t="shared" ref="B113:K113" si="85">-B101/(AVERAGE(B109,B112))</f>
        <v>5.2020516342253791E-2</v>
      </c>
      <c r="C113" s="45">
        <f t="shared" si="85"/>
        <v>5.3952450788011481E-2</v>
      </c>
      <c r="D113" s="45">
        <f t="shared" si="85"/>
        <v>4.977202884287063E-2</v>
      </c>
      <c r="E113" s="45">
        <f t="shared" si="85"/>
        <v>4.8288496769838977E-2</v>
      </c>
      <c r="F113" s="45">
        <f t="shared" si="85"/>
        <v>5.0425719318849087E-2</v>
      </c>
      <c r="G113" s="45">
        <f t="shared" si="85"/>
        <v>4.9869569128361969E-2</v>
      </c>
      <c r="H113" s="45">
        <f t="shared" si="85"/>
        <v>4.8562789172647454E-2</v>
      </c>
      <c r="I113" s="45">
        <f t="shared" si="85"/>
        <v>5.1237788850092197E-2</v>
      </c>
      <c r="J113" s="45">
        <f t="shared" si="85"/>
        <v>4.6382112131665348E-2</v>
      </c>
      <c r="K113" s="45">
        <f t="shared" si="85"/>
        <v>4.9742816418434588E-2</v>
      </c>
      <c r="W113" s="184"/>
    </row>
    <row r="114" spans="1:23" x14ac:dyDescent="0.2">
      <c r="A114" s="6" t="s">
        <v>292</v>
      </c>
      <c r="B114" s="88">
        <f>B111/B109</f>
        <v>4.4116373712009695E-2</v>
      </c>
      <c r="C114" s="88">
        <f t="shared" ref="C114:K114" si="86">C111/C109</f>
        <v>0</v>
      </c>
      <c r="D114" s="88">
        <f t="shared" si="86"/>
        <v>6.4943405314281125E-2</v>
      </c>
      <c r="E114" s="88">
        <f t="shared" si="86"/>
        <v>0</v>
      </c>
      <c r="F114" s="88">
        <f t="shared" si="86"/>
        <v>3.5912830776072935E-2</v>
      </c>
      <c r="G114" s="88">
        <f t="shared" si="86"/>
        <v>3.8017009522424948E-2</v>
      </c>
      <c r="H114" s="88">
        <f t="shared" si="86"/>
        <v>0.10662249296426918</v>
      </c>
      <c r="I114" s="88">
        <f t="shared" si="86"/>
        <v>0.15995079584001193</v>
      </c>
      <c r="J114" s="88">
        <f t="shared" si="86"/>
        <v>5.6353774170841787E-2</v>
      </c>
      <c r="K114" s="88">
        <f t="shared" si="86"/>
        <v>1.8480664135830795E-2</v>
      </c>
      <c r="L114" s="108"/>
      <c r="W114" s="184"/>
    </row>
    <row r="115" spans="1:23" x14ac:dyDescent="0.2">
      <c r="A115" s="6" t="s">
        <v>295</v>
      </c>
      <c r="B115" s="98">
        <v>0.04</v>
      </c>
      <c r="W115" s="184"/>
    </row>
    <row r="116" spans="1:23" x14ac:dyDescent="0.2">
      <c r="A116" s="37" t="s">
        <v>287</v>
      </c>
      <c r="B116" s="37">
        <v>14583</v>
      </c>
      <c r="C116" s="37">
        <f>B119</f>
        <v>14983</v>
      </c>
      <c r="D116" s="37">
        <f t="shared" ref="D116:J116" si="87">C119</f>
        <v>16048</v>
      </c>
      <c r="E116" s="37">
        <f t="shared" si="87"/>
        <v>16135</v>
      </c>
      <c r="F116" s="37">
        <f t="shared" si="87"/>
        <v>16791</v>
      </c>
      <c r="G116" s="37">
        <f t="shared" si="87"/>
        <v>17229</v>
      </c>
      <c r="H116" s="37">
        <f t="shared" si="87"/>
        <v>17784</v>
      </c>
      <c r="I116" s="37">
        <f t="shared" si="87"/>
        <v>16820</v>
      </c>
      <c r="J116" s="37">
        <f t="shared" si="87"/>
        <v>15804</v>
      </c>
      <c r="K116" s="91">
        <f>J119</f>
        <v>16018</v>
      </c>
      <c r="L116" s="91">
        <f>K119</f>
        <v>16821</v>
      </c>
      <c r="M116" s="91">
        <f t="shared" ref="M116:V116" si="88">L119</f>
        <v>17285.662214837826</v>
      </c>
      <c r="N116" s="91">
        <f t="shared" si="88"/>
        <v>17752.653254787092</v>
      </c>
      <c r="O116" s="91">
        <f t="shared" si="88"/>
        <v>18222.716579391537</v>
      </c>
      <c r="P116" s="91">
        <f t="shared" si="88"/>
        <v>18696.599374315079</v>
      </c>
      <c r="Q116" s="91">
        <f t="shared" si="88"/>
        <v>19175.053740877087</v>
      </c>
      <c r="R116" s="91">
        <f t="shared" si="88"/>
        <v>19658.837891549436</v>
      </c>
      <c r="S116" s="91">
        <f t="shared" si="88"/>
        <v>20148.472673730899</v>
      </c>
      <c r="T116" s="91">
        <f t="shared" si="88"/>
        <v>20644.480122087192</v>
      </c>
      <c r="U116" s="91">
        <f t="shared" si="88"/>
        <v>21147.384071695185</v>
      </c>
      <c r="V116" s="194">
        <f t="shared" si="88"/>
        <v>21657.710766480388</v>
      </c>
      <c r="W116" s="184"/>
    </row>
    <row r="117" spans="1:23" x14ac:dyDescent="0.2">
      <c r="A117" s="37" t="s">
        <v>288</v>
      </c>
      <c r="B117" s="91">
        <f>-B101</f>
        <v>1212</v>
      </c>
      <c r="C117" s="91">
        <f t="shared" ref="C117:J117" si="89">-C101</f>
        <v>1306</v>
      </c>
      <c r="D117" s="91">
        <f t="shared" si="89"/>
        <v>1239</v>
      </c>
      <c r="E117" s="91">
        <f t="shared" si="89"/>
        <v>1252</v>
      </c>
      <c r="F117" s="91">
        <f t="shared" si="89"/>
        <v>1374</v>
      </c>
      <c r="G117" s="91">
        <f t="shared" si="89"/>
        <v>1386</v>
      </c>
      <c r="H117" s="91">
        <f t="shared" si="89"/>
        <v>1333</v>
      </c>
      <c r="I117" s="91">
        <f t="shared" si="89"/>
        <v>1306</v>
      </c>
      <c r="J117" s="91">
        <f t="shared" si="89"/>
        <v>1116</v>
      </c>
      <c r="K117" s="91">
        <f>-K101</f>
        <v>1204</v>
      </c>
      <c r="L117" s="87">
        <f>$K$113*L109</f>
        <v>1215.6149476337046</v>
      </c>
      <c r="M117" s="87">
        <f t="shared" ref="M117:V117" si="90">$K$113*M109</f>
        <v>1221.7074477886342</v>
      </c>
      <c r="N117" s="87">
        <f t="shared" si="90"/>
        <v>1229.744931859778</v>
      </c>
      <c r="O117" s="87">
        <f t="shared" si="90"/>
        <v>1239.7371478473838</v>
      </c>
      <c r="P117" s="87">
        <f t="shared" si="90"/>
        <v>1251.6969557259652</v>
      </c>
      <c r="Q117" s="87">
        <f t="shared" si="90"/>
        <v>1265.6403430411021</v>
      </c>
      <c r="R117" s="87">
        <f t="shared" si="90"/>
        <v>1280.9463328299589</v>
      </c>
      <c r="S117" s="87">
        <f t="shared" si="90"/>
        <v>1297.6180311325766</v>
      </c>
      <c r="T117" s="87">
        <f t="shared" si="90"/>
        <v>1315.6601480515642</v>
      </c>
      <c r="U117" s="87">
        <f t="shared" si="90"/>
        <v>1335.0789854387208</v>
      </c>
      <c r="V117" s="177">
        <f t="shared" si="90"/>
        <v>1355.8824266296676</v>
      </c>
      <c r="W117" s="184"/>
    </row>
    <row r="118" spans="1:23" x14ac:dyDescent="0.2">
      <c r="A118" s="37" t="s">
        <v>289</v>
      </c>
      <c r="B118" s="91">
        <f t="shared" ref="B118:J118" si="91">-(B116+B117-B119)</f>
        <v>-812</v>
      </c>
      <c r="C118" s="91">
        <f t="shared" si="91"/>
        <v>-241</v>
      </c>
      <c r="D118" s="91">
        <f t="shared" si="91"/>
        <v>-1152</v>
      </c>
      <c r="E118" s="91">
        <f t="shared" si="91"/>
        <v>-596</v>
      </c>
      <c r="F118" s="91">
        <f t="shared" si="91"/>
        <v>-936</v>
      </c>
      <c r="G118" s="91">
        <f t="shared" si="91"/>
        <v>-831</v>
      </c>
      <c r="H118" s="91">
        <f t="shared" si="91"/>
        <v>-2297</v>
      </c>
      <c r="I118" s="91">
        <f t="shared" si="91"/>
        <v>-2322</v>
      </c>
      <c r="J118" s="91">
        <f t="shared" si="91"/>
        <v>-902</v>
      </c>
      <c r="K118" s="91">
        <f>-(K116+K117-K119)</f>
        <v>-401</v>
      </c>
      <c r="L118" s="87">
        <f>-$B$123*L111</f>
        <v>-750.95273279587821</v>
      </c>
      <c r="M118" s="87">
        <f t="shared" ref="M118:V118" si="92">-$B$123*M111</f>
        <v>-754.71640783936948</v>
      </c>
      <c r="N118" s="87">
        <f t="shared" si="92"/>
        <v>-759.68160725533414</v>
      </c>
      <c r="O118" s="87">
        <f t="shared" si="92"/>
        <v>-765.85435292384193</v>
      </c>
      <c r="P118" s="87">
        <f t="shared" si="92"/>
        <v>-773.24258916395809</v>
      </c>
      <c r="Q118" s="87">
        <f t="shared" si="92"/>
        <v>-781.85619236875232</v>
      </c>
      <c r="R118" s="87">
        <f t="shared" si="92"/>
        <v>-791.31155064849543</v>
      </c>
      <c r="S118" s="87">
        <f t="shared" si="92"/>
        <v>-801.61058277628365</v>
      </c>
      <c r="T118" s="87">
        <f t="shared" si="92"/>
        <v>-812.75619844357232</v>
      </c>
      <c r="U118" s="87">
        <f t="shared" si="92"/>
        <v>-824.75229065351959</v>
      </c>
      <c r="V118" s="177">
        <f t="shared" si="92"/>
        <v>-837.60372937949944</v>
      </c>
      <c r="W118" s="184"/>
    </row>
    <row r="119" spans="1:23" x14ac:dyDescent="0.2">
      <c r="A119" s="37" t="s">
        <v>290</v>
      </c>
      <c r="B119" s="37">
        <f>VLOOKUP('3M-BS'!$A$34,'3M-BS'!$A$10:$K$79,11, FALSE)</f>
        <v>14983</v>
      </c>
      <c r="C119" s="37">
        <f>VLOOKUP('3M-BS'!$A$34,'3M-BS'!$A$10:$K$79,10, FALSE)</f>
        <v>16048</v>
      </c>
      <c r="D119" s="37">
        <f>VLOOKUP('3M-BS'!$A$34,'3M-BS'!$A$10:$K$79,9, FALSE)</f>
        <v>16135</v>
      </c>
      <c r="E119" s="37">
        <f>VLOOKUP('3M-BS'!$A$34,'3M-BS'!$A$10:$K$79,8, FALSE)</f>
        <v>16791</v>
      </c>
      <c r="F119" s="37">
        <f>VLOOKUP('3M-BS'!$A$34,'3M-BS'!$A$10:$K$79,7, FALSE)</f>
        <v>17229</v>
      </c>
      <c r="G119" s="37">
        <f>VLOOKUP('3M-BS'!$A$34,'3M-BS'!$A$10:$K$79,6, FALSE)</f>
        <v>17784</v>
      </c>
      <c r="H119" s="37">
        <f>VLOOKUP('3M-BS'!$A$34,'3M-BS'!$A$10:$K$79,5, FALSE)</f>
        <v>16820</v>
      </c>
      <c r="I119" s="37">
        <f>VLOOKUP('3M-BS'!$A$34,'3M-BS'!$A$10:$K$79,4, FALSE)</f>
        <v>15804</v>
      </c>
      <c r="J119" s="37">
        <f>VLOOKUP('3M-BS'!$A$34,'3M-BS'!$A$10:$K$79,3, FALSE)</f>
        <v>16018</v>
      </c>
      <c r="K119" s="91">
        <f>'3M-BS'!B34</f>
        <v>16821</v>
      </c>
      <c r="L119" s="91">
        <f>L116+L117+L118</f>
        <v>17285.662214837826</v>
      </c>
      <c r="M119" s="91">
        <f t="shared" ref="M119:V119" si="93">M116+M117+M118</f>
        <v>17752.653254787092</v>
      </c>
      <c r="N119" s="91">
        <f t="shared" si="93"/>
        <v>18222.716579391537</v>
      </c>
      <c r="O119" s="91">
        <f t="shared" si="93"/>
        <v>18696.599374315079</v>
      </c>
      <c r="P119" s="91">
        <f t="shared" si="93"/>
        <v>19175.053740877087</v>
      </c>
      <c r="Q119" s="91">
        <f t="shared" si="93"/>
        <v>19658.837891549436</v>
      </c>
      <c r="R119" s="91">
        <f t="shared" si="93"/>
        <v>20148.472673730899</v>
      </c>
      <c r="S119" s="91">
        <f t="shared" si="93"/>
        <v>20644.480122087192</v>
      </c>
      <c r="T119" s="91">
        <f t="shared" si="93"/>
        <v>21147.384071695185</v>
      </c>
      <c r="U119" s="91">
        <f t="shared" si="93"/>
        <v>21657.710766480388</v>
      </c>
      <c r="V119" s="194">
        <f t="shared" si="93"/>
        <v>22175.989463730559</v>
      </c>
      <c r="W119" s="184"/>
    </row>
    <row r="120" spans="1:23" x14ac:dyDescent="0.2">
      <c r="A120" s="37" t="s">
        <v>291</v>
      </c>
      <c r="B120" s="37">
        <f>B112-B119</f>
        <v>8516</v>
      </c>
      <c r="C120" s="37">
        <f t="shared" ref="C120:L120" si="94">C112-C119</f>
        <v>8866</v>
      </c>
      <c r="D120" s="37">
        <f t="shared" si="94"/>
        <v>8738</v>
      </c>
      <c r="E120" s="37">
        <f t="shared" si="94"/>
        <v>10191</v>
      </c>
      <c r="F120" s="37">
        <f t="shared" si="94"/>
        <v>10285</v>
      </c>
      <c r="G120" s="37">
        <f t="shared" si="94"/>
        <v>10287</v>
      </c>
      <c r="H120" s="37">
        <f t="shared" si="94"/>
        <v>10007</v>
      </c>
      <c r="I120" s="37">
        <f t="shared" si="94"/>
        <v>8347</v>
      </c>
      <c r="J120" s="37">
        <f t="shared" si="94"/>
        <v>7953</v>
      </c>
      <c r="K120" s="37">
        <f t="shared" si="94"/>
        <v>7617</v>
      </c>
      <c r="L120" s="87">
        <f t="shared" si="94"/>
        <v>7274.8177851621731</v>
      </c>
      <c r="M120" s="87">
        <f t="shared" ref="M120" si="95">M112-M119</f>
        <v>6969.4075452129073</v>
      </c>
      <c r="N120" s="87">
        <f t="shared" ref="N120" si="96">N112-N119</f>
        <v>6700.2217886084654</v>
      </c>
      <c r="O120" s="87">
        <f t="shared" ref="O120" si="97">O112-O119</f>
        <v>6466.771858964923</v>
      </c>
      <c r="P120" s="87">
        <f t="shared" ref="P120" si="98">P112-P119</f>
        <v>6268.627059071714</v>
      </c>
      <c r="Q120" s="87">
        <f t="shared" ref="Q120" si="99">Q112-Q119</f>
        <v>6092.5454248814131</v>
      </c>
      <c r="R120" s="87">
        <f t="shared" ref="R120" si="100">R112-R119</f>
        <v>5938.0685509771174</v>
      </c>
      <c r="S120" s="87">
        <f t="shared" ref="S120" si="101">S112-S119</f>
        <v>5804.7690917949367</v>
      </c>
      <c r="T120" s="87">
        <f t="shared" ref="T120" si="102">T112-T119</f>
        <v>5692.2499009389649</v>
      </c>
      <c r="U120" s="87">
        <f t="shared" ref="U120" si="103">U112-U119</f>
        <v>5600.1432163749196</v>
      </c>
      <c r="V120" s="177">
        <f t="shared" ref="V120" si="104">V112-V119</f>
        <v>5528.1098900108555</v>
      </c>
      <c r="W120" s="184"/>
    </row>
    <row r="121" spans="1:23" x14ac:dyDescent="0.2">
      <c r="W121" s="184"/>
    </row>
    <row r="122" spans="1:23" x14ac:dyDescent="0.2">
      <c r="A122" s="37" t="s">
        <v>294</v>
      </c>
      <c r="B122" s="45">
        <f>-B118/B111</f>
        <v>0.79685966633954852</v>
      </c>
      <c r="C122" s="45"/>
      <c r="D122" s="45">
        <f t="shared" ref="D122:K122" si="105">-D118/D111</f>
        <v>0.7119901112484549</v>
      </c>
      <c r="E122" s="45"/>
      <c r="F122" s="45">
        <f t="shared" si="105"/>
        <v>0.96594427244582048</v>
      </c>
      <c r="G122" s="45">
        <f t="shared" si="105"/>
        <v>0.79445506692160617</v>
      </c>
      <c r="H122" s="45">
        <f t="shared" si="105"/>
        <v>0.76745740060140333</v>
      </c>
      <c r="I122" s="45">
        <f t="shared" si="105"/>
        <v>0.54113260312281519</v>
      </c>
      <c r="J122" s="45">
        <f t="shared" si="105"/>
        <v>0.66274797942689201</v>
      </c>
      <c r="K122" s="45">
        <f t="shared" si="105"/>
        <v>0.90519187358916475</v>
      </c>
      <c r="W122" s="184"/>
    </row>
    <row r="123" spans="1:23" x14ac:dyDescent="0.2">
      <c r="A123" s="37" t="s">
        <v>293</v>
      </c>
      <c r="B123" s="86">
        <f>AVERAGE(B122,D122,F122:K122)</f>
        <v>0.76822237171196317</v>
      </c>
      <c r="C123" s="37"/>
      <c r="D123" s="37"/>
      <c r="E123" s="37"/>
      <c r="F123" s="37"/>
      <c r="G123" s="37"/>
      <c r="H123" s="37"/>
      <c r="I123" s="37"/>
      <c r="J123" s="37"/>
      <c r="K123" s="37"/>
      <c r="W123" s="184"/>
    </row>
    <row r="124" spans="1:23" x14ac:dyDescent="0.2">
      <c r="W124" s="184"/>
    </row>
    <row r="125" spans="1:23" x14ac:dyDescent="0.2">
      <c r="B125" s="49">
        <v>2016</v>
      </c>
      <c r="C125" s="49">
        <v>2017</v>
      </c>
      <c r="D125" s="49">
        <f>C125+1</f>
        <v>2018</v>
      </c>
      <c r="E125" s="49">
        <f t="shared" ref="E125" si="106">D125+1</f>
        <v>2019</v>
      </c>
      <c r="F125" s="49">
        <f t="shared" ref="F125" si="107">E125+1</f>
        <v>2020</v>
      </c>
      <c r="G125" s="49">
        <f t="shared" ref="G125" si="108">F125+1</f>
        <v>2021</v>
      </c>
      <c r="H125" s="49">
        <f t="shared" ref="H125" si="109">G125+1</f>
        <v>2022</v>
      </c>
      <c r="I125" s="49">
        <f t="shared" ref="I125" si="110">H125+1</f>
        <v>2023</v>
      </c>
      <c r="J125" s="49">
        <f t="shared" ref="J125" si="111">I125+1</f>
        <v>2024</v>
      </c>
      <c r="K125" s="49">
        <f t="shared" ref="K125" si="112">J125+1</f>
        <v>2025</v>
      </c>
      <c r="L125" s="49">
        <f t="shared" ref="L125" si="113">K125+1</f>
        <v>2026</v>
      </c>
      <c r="M125" s="49">
        <f t="shared" ref="M125" si="114">L125+1</f>
        <v>2027</v>
      </c>
      <c r="N125" s="49">
        <f t="shared" ref="N125" si="115">M125+1</f>
        <v>2028</v>
      </c>
      <c r="O125" s="49">
        <f t="shared" ref="O125" si="116">N125+1</f>
        <v>2029</v>
      </c>
      <c r="P125" s="49">
        <f t="shared" ref="P125" si="117">O125+1</f>
        <v>2030</v>
      </c>
      <c r="Q125" s="49">
        <f t="shared" ref="Q125" si="118">P125+1</f>
        <v>2031</v>
      </c>
      <c r="R125" s="49">
        <f t="shared" ref="R125" si="119">Q125+1</f>
        <v>2032</v>
      </c>
      <c r="S125" s="49">
        <f t="shared" ref="S125" si="120">R125+1</f>
        <v>2033</v>
      </c>
      <c r="T125" s="49">
        <f t="shared" ref="T125" si="121">S125+1</f>
        <v>2034</v>
      </c>
      <c r="U125" s="49">
        <f t="shared" ref="U125" si="122">T125+1</f>
        <v>2035</v>
      </c>
      <c r="V125" s="58">
        <f t="shared" ref="V125" si="123">U125+1</f>
        <v>2036</v>
      </c>
      <c r="W125" s="184"/>
    </row>
    <row r="126" spans="1:23" x14ac:dyDescent="0.2">
      <c r="W126" s="184"/>
    </row>
    <row r="127" spans="1:23" x14ac:dyDescent="0.2">
      <c r="W127" s="184"/>
    </row>
    <row r="128" spans="1:23" x14ac:dyDescent="0.2">
      <c r="A128" s="50" t="s">
        <v>297</v>
      </c>
      <c r="W128" s="184"/>
    </row>
    <row r="129" spans="1:23" x14ac:dyDescent="0.2">
      <c r="A129" s="37" t="s">
        <v>298</v>
      </c>
      <c r="B129" s="37"/>
      <c r="C129" s="91">
        <f>B133</f>
        <v>2320</v>
      </c>
      <c r="D129" s="91">
        <f t="shared" ref="D129:K129" si="124">C133</f>
        <v>2936</v>
      </c>
      <c r="E129" s="91">
        <f t="shared" si="124"/>
        <v>2657</v>
      </c>
      <c r="F129" s="91">
        <f t="shared" si="124"/>
        <v>6379</v>
      </c>
      <c r="G129" s="91">
        <f t="shared" si="124"/>
        <v>5835</v>
      </c>
      <c r="H129" s="91">
        <f t="shared" si="124"/>
        <v>5288</v>
      </c>
      <c r="I129" s="91">
        <f t="shared" si="124"/>
        <v>4699</v>
      </c>
      <c r="J129" s="91">
        <f t="shared" si="124"/>
        <v>1323</v>
      </c>
      <c r="K129" s="91">
        <f t="shared" si="124"/>
        <v>1210</v>
      </c>
      <c r="L129" s="91">
        <f>K133</f>
        <v>1103</v>
      </c>
      <c r="M129" s="91">
        <f t="shared" ref="M129:V129" si="125">L133</f>
        <v>1007.4846641151969</v>
      </c>
      <c r="N129" s="91">
        <f t="shared" si="125"/>
        <v>920.2405697437091</v>
      </c>
      <c r="O129" s="91">
        <f t="shared" si="125"/>
        <v>840.55146084625403</v>
      </c>
      <c r="P129" s="91">
        <f t="shared" si="125"/>
        <v>767.76310625768474</v>
      </c>
      <c r="Q129" s="91">
        <f t="shared" si="125"/>
        <v>701.2779285839199</v>
      </c>
      <c r="R129" s="91">
        <f t="shared" si="125"/>
        <v>640.55009821466149</v>
      </c>
      <c r="S129" s="91">
        <f t="shared" si="125"/>
        <v>585.08105217475486</v>
      </c>
      <c r="T129" s="91">
        <f t="shared" si="125"/>
        <v>534.41540102488568</v>
      </c>
      <c r="U129" s="91">
        <f t="shared" si="125"/>
        <v>488.13719020810987</v>
      </c>
      <c r="V129" s="194">
        <f t="shared" si="125"/>
        <v>445.86648514864328</v>
      </c>
      <c r="W129" s="184"/>
    </row>
    <row r="130" spans="1:23" x14ac:dyDescent="0.2">
      <c r="A130" s="37" t="s">
        <v>300</v>
      </c>
      <c r="B130" s="37"/>
      <c r="C130" s="91">
        <f>-'3M-CFS'!J29</f>
        <v>2023</v>
      </c>
      <c r="D130" s="37">
        <v>0</v>
      </c>
      <c r="E130" s="91">
        <f>-'3M-CFS'!H29</f>
        <v>4984</v>
      </c>
      <c r="F130" s="91">
        <f>-'3M-CFS'!G29</f>
        <v>25</v>
      </c>
      <c r="G130" s="37">
        <v>0</v>
      </c>
      <c r="H130" s="37">
        <v>0</v>
      </c>
      <c r="I130" s="37">
        <v>0</v>
      </c>
      <c r="J130" s="37">
        <v>0</v>
      </c>
      <c r="K130" s="37">
        <v>0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37">
        <v>0</v>
      </c>
      <c r="R130" s="37">
        <v>0</v>
      </c>
      <c r="S130" s="37">
        <v>0</v>
      </c>
      <c r="T130" s="37">
        <v>0</v>
      </c>
      <c r="U130" s="37">
        <v>0</v>
      </c>
      <c r="V130" s="59">
        <v>0</v>
      </c>
      <c r="W130" s="184"/>
    </row>
    <row r="131" spans="1:23" x14ac:dyDescent="0.2">
      <c r="A131" s="37" t="s">
        <v>301</v>
      </c>
      <c r="B131" s="37"/>
      <c r="C131" s="90">
        <f t="shared" ref="C131:K131" si="126">-C9</f>
        <v>-238</v>
      </c>
      <c r="D131" s="90">
        <f t="shared" si="126"/>
        <v>-249</v>
      </c>
      <c r="E131" s="90">
        <f t="shared" si="126"/>
        <v>-341</v>
      </c>
      <c r="F131" s="90">
        <f t="shared" si="126"/>
        <v>-537</v>
      </c>
      <c r="G131" s="90">
        <f t="shared" si="126"/>
        <v>-529</v>
      </c>
      <c r="H131" s="90">
        <f t="shared" si="126"/>
        <v>-498</v>
      </c>
      <c r="I131" s="90">
        <f t="shared" si="126"/>
        <v>-127</v>
      </c>
      <c r="J131" s="90">
        <f t="shared" si="126"/>
        <v>-108</v>
      </c>
      <c r="K131" s="90">
        <f t="shared" si="126"/>
        <v>-104</v>
      </c>
      <c r="L131" s="87">
        <f>-$B$136*L129</f>
        <v>-95.515335884803122</v>
      </c>
      <c r="M131" s="87">
        <f t="shared" ref="M131:V131" si="127">-$B$136*M129</f>
        <v>-87.244094371487847</v>
      </c>
      <c r="N131" s="87">
        <f t="shared" si="127"/>
        <v>-79.6891088974551</v>
      </c>
      <c r="O131" s="87">
        <f t="shared" si="127"/>
        <v>-72.788354588569263</v>
      </c>
      <c r="P131" s="87">
        <f t="shared" si="127"/>
        <v>-66.485177673764781</v>
      </c>
      <c r="Q131" s="87">
        <f t="shared" si="127"/>
        <v>-60.727830369258463</v>
      </c>
      <c r="R131" s="87">
        <f t="shared" si="127"/>
        <v>-55.469046039906637</v>
      </c>
      <c r="S131" s="87">
        <f t="shared" si="127"/>
        <v>-50.665651149869205</v>
      </c>
      <c r="T131" s="87">
        <f t="shared" si="127"/>
        <v>-46.278210816775811</v>
      </c>
      <c r="U131" s="87">
        <f t="shared" si="127"/>
        <v>-42.270705059466586</v>
      </c>
      <c r="V131" s="177">
        <f t="shared" si="127"/>
        <v>-38.610233081368314</v>
      </c>
      <c r="W131" s="184"/>
    </row>
    <row r="132" spans="1:23" x14ac:dyDescent="0.2">
      <c r="A132" s="37" t="s">
        <v>302</v>
      </c>
      <c r="B132" s="37"/>
      <c r="C132" s="91">
        <f>C133-SUM(C129:C131)</f>
        <v>-1169</v>
      </c>
      <c r="D132" s="91">
        <f t="shared" ref="D132:K132" si="128">D133-SUM(D129:D131)</f>
        <v>-30</v>
      </c>
      <c r="E132" s="91">
        <f t="shared" si="128"/>
        <v>-921</v>
      </c>
      <c r="F132" s="91">
        <f t="shared" si="128"/>
        <v>-32</v>
      </c>
      <c r="G132" s="91">
        <f t="shared" si="128"/>
        <v>-18</v>
      </c>
      <c r="H132" s="91">
        <f t="shared" si="128"/>
        <v>-91</v>
      </c>
      <c r="I132" s="91">
        <f t="shared" si="128"/>
        <v>-3249</v>
      </c>
      <c r="J132" s="91">
        <f t="shared" si="128"/>
        <v>-5</v>
      </c>
      <c r="K132" s="91">
        <f t="shared" si="128"/>
        <v>-3</v>
      </c>
      <c r="L132" s="37">
        <v>0</v>
      </c>
      <c r="M132" s="37">
        <v>0</v>
      </c>
      <c r="N132" s="37">
        <v>0</v>
      </c>
      <c r="O132" s="37">
        <v>0</v>
      </c>
      <c r="P132" s="37">
        <v>0</v>
      </c>
      <c r="Q132" s="37">
        <v>0</v>
      </c>
      <c r="R132" s="37">
        <v>0</v>
      </c>
      <c r="S132" s="37">
        <v>0</v>
      </c>
      <c r="T132" s="37">
        <v>0</v>
      </c>
      <c r="U132" s="37">
        <v>0</v>
      </c>
      <c r="V132" s="59">
        <v>0</v>
      </c>
      <c r="W132" s="184"/>
    </row>
    <row r="133" spans="1:23" x14ac:dyDescent="0.2">
      <c r="A133" s="37" t="s">
        <v>303</v>
      </c>
      <c r="B133" s="91">
        <f>VLOOKUP('3M-BS'!$A$40,'3M-BS'!$A$10:$K$79,11, FALSE)</f>
        <v>2320</v>
      </c>
      <c r="C133" s="91">
        <f>VLOOKUP('3M-BS'!$A$40,'3M-BS'!$A$10:$K$79,10, FALSE)</f>
        <v>2936</v>
      </c>
      <c r="D133" s="91">
        <f>VLOOKUP('3M-BS'!$A$40,'3M-BS'!$A$10:$K$79,9, FALSE)</f>
        <v>2657</v>
      </c>
      <c r="E133" s="91">
        <f>VLOOKUP('3M-BS'!$A$40,'3M-BS'!$A$10:$K$79,8, FALSE)</f>
        <v>6379</v>
      </c>
      <c r="F133" s="91">
        <f>VLOOKUP('3M-BS'!$A$40,'3M-BS'!$A$10:$K$79,7, FALSE)</f>
        <v>5835</v>
      </c>
      <c r="G133" s="91">
        <f>VLOOKUP('3M-BS'!$A$40,'3M-BS'!$A$10:$K$79,6, FALSE)</f>
        <v>5288</v>
      </c>
      <c r="H133" s="91">
        <f>VLOOKUP('3M-BS'!$A$40,'3M-BS'!$A$10:$K$79,5, FALSE)</f>
        <v>4699</v>
      </c>
      <c r="I133" s="91">
        <f>VLOOKUP('3M-BS'!$A$40,'3M-BS'!$A$10:$K$79,4, FALSE)</f>
        <v>1323</v>
      </c>
      <c r="J133" s="91">
        <f>VLOOKUP('3M-BS'!$A$40,'3M-BS'!$A$10:$K$79,3, FALSE)</f>
        <v>1210</v>
      </c>
      <c r="K133" s="91">
        <f>VLOOKUP('3M-BS'!$A$40,'3M-BS'!$A$10:$K$79,2, FALSE)</f>
        <v>1103</v>
      </c>
      <c r="L133" s="91">
        <f>SUM(L129:L132)</f>
        <v>1007.4846641151969</v>
      </c>
      <c r="M133" s="91">
        <f t="shared" ref="M133:V133" si="129">SUM(M129:M132)</f>
        <v>920.2405697437091</v>
      </c>
      <c r="N133" s="91">
        <f t="shared" si="129"/>
        <v>840.55146084625403</v>
      </c>
      <c r="O133" s="91">
        <f t="shared" si="129"/>
        <v>767.76310625768474</v>
      </c>
      <c r="P133" s="91">
        <f t="shared" si="129"/>
        <v>701.2779285839199</v>
      </c>
      <c r="Q133" s="91">
        <f t="shared" si="129"/>
        <v>640.55009821466149</v>
      </c>
      <c r="R133" s="91">
        <f t="shared" si="129"/>
        <v>585.08105217475486</v>
      </c>
      <c r="S133" s="91">
        <f t="shared" si="129"/>
        <v>534.41540102488568</v>
      </c>
      <c r="T133" s="91">
        <f t="shared" si="129"/>
        <v>488.13719020810987</v>
      </c>
      <c r="U133" s="91">
        <f t="shared" si="129"/>
        <v>445.86648514864328</v>
      </c>
      <c r="V133" s="194">
        <f t="shared" si="129"/>
        <v>407.25625206727494</v>
      </c>
      <c r="W133" s="184"/>
    </row>
    <row r="135" spans="1:23" x14ac:dyDescent="0.2">
      <c r="A135" s="37" t="s">
        <v>299</v>
      </c>
      <c r="B135" s="37"/>
      <c r="C135" s="84">
        <f>-C131/C129</f>
        <v>0.10258620689655172</v>
      </c>
      <c r="D135" s="84">
        <f t="shared" ref="D135:K135" si="130">-D131/D129</f>
        <v>8.4809264305177115E-2</v>
      </c>
      <c r="E135" s="84">
        <f t="shared" si="130"/>
        <v>0.12834023334587882</v>
      </c>
      <c r="F135" s="84">
        <f t="shared" si="130"/>
        <v>8.418247374196583E-2</v>
      </c>
      <c r="G135" s="84">
        <f t="shared" si="130"/>
        <v>9.0659811482433586E-2</v>
      </c>
      <c r="H135" s="84">
        <f t="shared" si="130"/>
        <v>9.4175491679273832E-2</v>
      </c>
      <c r="I135" s="84">
        <f t="shared" si="130"/>
        <v>2.7027027027027029E-2</v>
      </c>
      <c r="J135" s="84">
        <f t="shared" si="130"/>
        <v>8.1632653061224483E-2</v>
      </c>
      <c r="K135" s="84">
        <f t="shared" si="130"/>
        <v>8.5950413223140495E-2</v>
      </c>
    </row>
    <row r="136" spans="1:23" x14ac:dyDescent="0.2">
      <c r="A136" s="37" t="s">
        <v>293</v>
      </c>
      <c r="B136" s="85">
        <f>AVERAGE(C135:K135)</f>
        <v>8.6595952751408092E-2</v>
      </c>
      <c r="C136" s="37"/>
      <c r="D136" s="37"/>
      <c r="E136" s="37"/>
      <c r="F136" s="37"/>
      <c r="G136" s="37"/>
      <c r="H136" s="37"/>
      <c r="I136" s="37"/>
      <c r="J136" s="37"/>
      <c r="K136" s="37"/>
    </row>
    <row r="138" spans="1:23" x14ac:dyDescent="0.2">
      <c r="A138" s="50" t="s">
        <v>309</v>
      </c>
    </row>
    <row r="139" spans="1:23" x14ac:dyDescent="0.2">
      <c r="B139" s="49">
        <v>2025</v>
      </c>
      <c r="C139" s="49">
        <f>B139+1</f>
        <v>2026</v>
      </c>
      <c r="D139" s="49">
        <f>C139+1</f>
        <v>2027</v>
      </c>
      <c r="E139" s="49">
        <f t="shared" ref="E139" si="131">D139+1</f>
        <v>2028</v>
      </c>
      <c r="F139" s="49">
        <f t="shared" ref="F139" si="132">E139+1</f>
        <v>2029</v>
      </c>
      <c r="G139" s="49">
        <f t="shared" ref="G139" si="133">F139+1</f>
        <v>2030</v>
      </c>
      <c r="H139" s="49">
        <f t="shared" ref="H139" si="134">G139+1</f>
        <v>2031</v>
      </c>
      <c r="I139" s="49">
        <f t="shared" ref="I139" si="135">H139+1</f>
        <v>2032</v>
      </c>
      <c r="J139" s="49">
        <f t="shared" ref="J139" si="136">I139+1</f>
        <v>2033</v>
      </c>
      <c r="K139" s="49">
        <f t="shared" ref="K139" si="137">J139+1</f>
        <v>2034</v>
      </c>
      <c r="L139" s="49">
        <f t="shared" ref="L139" si="138">K139+1</f>
        <v>2035</v>
      </c>
      <c r="M139" s="49">
        <f t="shared" ref="M139" si="139">L139+1</f>
        <v>2036</v>
      </c>
      <c r="N139" s="113"/>
      <c r="O139" s="113"/>
      <c r="P139" s="113"/>
      <c r="Q139" s="113"/>
      <c r="R139" s="113"/>
      <c r="S139" s="113"/>
      <c r="T139" s="113"/>
      <c r="U139" s="113"/>
      <c r="V139" s="113"/>
    </row>
    <row r="140" spans="1:23" x14ac:dyDescent="0.2">
      <c r="A140" s="37" t="s">
        <v>327</v>
      </c>
      <c r="B140" s="37"/>
      <c r="C140" s="37">
        <f>B143</f>
        <v>12602</v>
      </c>
      <c r="D140" s="37">
        <f>C143</f>
        <v>12102</v>
      </c>
      <c r="E140" s="37">
        <f t="shared" ref="E140:M140" si="140">D143</f>
        <v>11602</v>
      </c>
      <c r="F140" s="37">
        <f t="shared" si="140"/>
        <v>11102</v>
      </c>
      <c r="G140" s="37">
        <f t="shared" si="140"/>
        <v>10602</v>
      </c>
      <c r="H140" s="37">
        <f t="shared" si="140"/>
        <v>10102</v>
      </c>
      <c r="I140" s="37">
        <f t="shared" si="140"/>
        <v>9602</v>
      </c>
      <c r="J140" s="37">
        <f t="shared" si="140"/>
        <v>9602</v>
      </c>
      <c r="K140" s="37">
        <f t="shared" si="140"/>
        <v>9602</v>
      </c>
      <c r="L140" s="37">
        <f t="shared" si="140"/>
        <v>9602</v>
      </c>
      <c r="M140" s="37">
        <f t="shared" si="140"/>
        <v>9102</v>
      </c>
    </row>
    <row r="141" spans="1:23" x14ac:dyDescent="0.2">
      <c r="A141" s="37" t="s">
        <v>363</v>
      </c>
      <c r="B141" s="37"/>
      <c r="C141" s="37">
        <v>-1670</v>
      </c>
      <c r="D141" s="37">
        <v>-863</v>
      </c>
      <c r="E141" s="37">
        <f>-863</f>
        <v>-863</v>
      </c>
      <c r="F141" s="37">
        <f>-1793</f>
        <v>-1793</v>
      </c>
      <c r="G141" s="37">
        <f>-1728</f>
        <v>-1728</v>
      </c>
      <c r="H141" s="37">
        <f>-587</f>
        <v>-587</v>
      </c>
      <c r="I141" s="37">
        <v>0</v>
      </c>
      <c r="J141" s="37">
        <v>0</v>
      </c>
      <c r="K141" s="37">
        <v>0</v>
      </c>
      <c r="L141" s="37">
        <f>-550</f>
        <v>-550</v>
      </c>
      <c r="M141" s="37">
        <v>0</v>
      </c>
    </row>
    <row r="142" spans="1:23" x14ac:dyDescent="0.2">
      <c r="A142" s="37" t="s">
        <v>332</v>
      </c>
      <c r="B142" s="37"/>
      <c r="C142" s="37">
        <f>IF(-C141&gt;500, -C141-500,0)</f>
        <v>1170</v>
      </c>
      <c r="D142" s="37">
        <f t="shared" ref="D142:M142" si="141">IF(-D141&gt;500, -D141-500,0)</f>
        <v>363</v>
      </c>
      <c r="E142" s="37">
        <f t="shared" si="141"/>
        <v>363</v>
      </c>
      <c r="F142" s="37">
        <f t="shared" si="141"/>
        <v>1293</v>
      </c>
      <c r="G142" s="37">
        <f t="shared" si="141"/>
        <v>1228</v>
      </c>
      <c r="H142" s="37">
        <f t="shared" si="141"/>
        <v>87</v>
      </c>
      <c r="I142" s="37">
        <f t="shared" si="141"/>
        <v>0</v>
      </c>
      <c r="J142" s="37">
        <f t="shared" si="141"/>
        <v>0</v>
      </c>
      <c r="K142" s="37">
        <f t="shared" si="141"/>
        <v>0</v>
      </c>
      <c r="L142" s="37">
        <f t="shared" si="141"/>
        <v>50</v>
      </c>
      <c r="M142" s="37">
        <f t="shared" si="141"/>
        <v>0</v>
      </c>
    </row>
    <row r="143" spans="1:23" x14ac:dyDescent="0.2">
      <c r="A143" s="37" t="s">
        <v>333</v>
      </c>
      <c r="B143" s="37">
        <v>12602</v>
      </c>
      <c r="C143" s="37">
        <f>C140+C141+C142</f>
        <v>12102</v>
      </c>
      <c r="D143" s="37">
        <f t="shared" ref="D143:M143" si="142">D140+D141+D142</f>
        <v>11602</v>
      </c>
      <c r="E143" s="37">
        <f t="shared" si="142"/>
        <v>11102</v>
      </c>
      <c r="F143" s="37">
        <f t="shared" si="142"/>
        <v>10602</v>
      </c>
      <c r="G143" s="37">
        <f t="shared" si="142"/>
        <v>10102</v>
      </c>
      <c r="H143" s="37">
        <f t="shared" si="142"/>
        <v>9602</v>
      </c>
      <c r="I143" s="37">
        <f t="shared" si="142"/>
        <v>9602</v>
      </c>
      <c r="J143" s="37">
        <f t="shared" si="142"/>
        <v>9602</v>
      </c>
      <c r="K143" s="37">
        <f t="shared" si="142"/>
        <v>9602</v>
      </c>
      <c r="L143" s="37">
        <f t="shared" si="142"/>
        <v>9102</v>
      </c>
      <c r="M143" s="37">
        <f t="shared" si="142"/>
        <v>9102</v>
      </c>
      <c r="S143" s="176"/>
    </row>
    <row r="144" spans="1:23" x14ac:dyDescent="0.2">
      <c r="A144" s="37" t="s">
        <v>364</v>
      </c>
      <c r="B144" s="37">
        <f>-C141</f>
        <v>1670</v>
      </c>
      <c r="C144" s="37">
        <f t="shared" ref="C144:M144" si="143">-D141</f>
        <v>863</v>
      </c>
      <c r="D144" s="37">
        <f t="shared" si="143"/>
        <v>863</v>
      </c>
      <c r="E144" s="37">
        <f t="shared" si="143"/>
        <v>1793</v>
      </c>
      <c r="F144" s="37">
        <f t="shared" si="143"/>
        <v>1728</v>
      </c>
      <c r="G144" s="37">
        <f t="shared" si="143"/>
        <v>587</v>
      </c>
      <c r="H144" s="37">
        <f t="shared" si="143"/>
        <v>0</v>
      </c>
      <c r="I144" s="37">
        <f t="shared" si="143"/>
        <v>0</v>
      </c>
      <c r="J144" s="37">
        <f t="shared" si="143"/>
        <v>0</v>
      </c>
      <c r="K144" s="37">
        <f t="shared" si="143"/>
        <v>550</v>
      </c>
      <c r="L144" s="37">
        <f t="shared" si="143"/>
        <v>0</v>
      </c>
      <c r="M144" s="37">
        <f t="shared" si="143"/>
        <v>0</v>
      </c>
    </row>
    <row r="145" spans="1:22" x14ac:dyDescent="0.2">
      <c r="A145" s="39" t="s">
        <v>334</v>
      </c>
      <c r="B145" s="39"/>
      <c r="C145" s="39">
        <f t="shared" ref="C145:M145" si="144">AVERAGE(C143,C140)</f>
        <v>12352</v>
      </c>
      <c r="D145" s="39">
        <f t="shared" si="144"/>
        <v>11852</v>
      </c>
      <c r="E145" s="39">
        <f t="shared" si="144"/>
        <v>11352</v>
      </c>
      <c r="F145" s="39">
        <f t="shared" si="144"/>
        <v>10852</v>
      </c>
      <c r="G145" s="39">
        <f t="shared" si="144"/>
        <v>10352</v>
      </c>
      <c r="H145" s="39">
        <f t="shared" si="144"/>
        <v>9852</v>
      </c>
      <c r="I145" s="39">
        <f t="shared" si="144"/>
        <v>9602</v>
      </c>
      <c r="J145" s="39">
        <f t="shared" si="144"/>
        <v>9602</v>
      </c>
      <c r="K145" s="39">
        <f t="shared" si="144"/>
        <v>9602</v>
      </c>
      <c r="L145" s="39">
        <f t="shared" si="144"/>
        <v>9352</v>
      </c>
      <c r="M145" s="39">
        <f t="shared" si="144"/>
        <v>9102</v>
      </c>
    </row>
    <row r="146" spans="1:22" x14ac:dyDescent="0.2">
      <c r="A146" s="39" t="s">
        <v>310</v>
      </c>
      <c r="B146" s="130">
        <f>WACC!E6</f>
        <v>0</v>
      </c>
      <c r="K146" s="42"/>
    </row>
    <row r="147" spans="1:22" x14ac:dyDescent="0.2">
      <c r="A147" s="37" t="s">
        <v>328</v>
      </c>
      <c r="B147" s="37">
        <f>467</f>
        <v>467</v>
      </c>
      <c r="C147" s="87">
        <f>$B$146*C145</f>
        <v>0</v>
      </c>
      <c r="D147" s="87">
        <f t="shared" ref="D147:M147" si="145">$B$146*D145</f>
        <v>0</v>
      </c>
      <c r="E147" s="87">
        <f t="shared" si="145"/>
        <v>0</v>
      </c>
      <c r="F147" s="87">
        <f t="shared" si="145"/>
        <v>0</v>
      </c>
      <c r="G147" s="87">
        <f t="shared" si="145"/>
        <v>0</v>
      </c>
      <c r="H147" s="87">
        <f t="shared" si="145"/>
        <v>0</v>
      </c>
      <c r="I147" s="87">
        <f t="shared" si="145"/>
        <v>0</v>
      </c>
      <c r="J147" s="87">
        <f t="shared" si="145"/>
        <v>0</v>
      </c>
      <c r="K147" s="87">
        <f t="shared" si="145"/>
        <v>0</v>
      </c>
      <c r="L147" s="87">
        <f t="shared" si="145"/>
        <v>0</v>
      </c>
      <c r="M147" s="87">
        <f t="shared" si="145"/>
        <v>0</v>
      </c>
    </row>
    <row r="148" spans="1:22" x14ac:dyDescent="0.2">
      <c r="A148" s="37" t="s">
        <v>335</v>
      </c>
      <c r="B148" s="90">
        <f>K24-B147</f>
        <v>471</v>
      </c>
      <c r="C148" s="87">
        <f>'Litigation related payments'!B41</f>
        <v>212.73719999999997</v>
      </c>
      <c r="D148" s="87">
        <f>'Litigation related payments'!C41</f>
        <v>182.16900000000001</v>
      </c>
      <c r="E148" s="87">
        <f>'Litigation related payments'!D41</f>
        <v>111.22020000000001</v>
      </c>
      <c r="F148" s="87">
        <f>'Litigation related payments'!E41</f>
        <v>84.341400000000007</v>
      </c>
      <c r="G148" s="87">
        <f>'Litigation related payments'!F41</f>
        <v>57.751200000000004</v>
      </c>
      <c r="H148" s="87">
        <f>'Litigation related payments'!G41</f>
        <v>47.4084</v>
      </c>
      <c r="I148" s="87">
        <f>'Litigation related payments'!H41</f>
        <v>37.978200000000001</v>
      </c>
      <c r="J148" s="87">
        <f>'Litigation related payments'!I41</f>
        <v>29.039400000000001</v>
      </c>
      <c r="K148" s="87">
        <f>'Litigation related payments'!J41</f>
        <v>20.826000000000001</v>
      </c>
      <c r="L148" s="87">
        <f>'Litigation related payments'!K41</f>
        <v>13.1274</v>
      </c>
      <c r="M148" s="87">
        <f>'Litigation related payments'!L41</f>
        <v>6.4116</v>
      </c>
    </row>
    <row r="149" spans="1:22" x14ac:dyDescent="0.2">
      <c r="A149" s="37" t="s">
        <v>365</v>
      </c>
      <c r="B149" s="90"/>
      <c r="C149" s="37">
        <f>50</f>
        <v>50</v>
      </c>
      <c r="D149" s="37">
        <f>50</f>
        <v>50</v>
      </c>
      <c r="E149" s="37">
        <f>50</f>
        <v>50</v>
      </c>
      <c r="F149" s="37">
        <f>50</f>
        <v>50</v>
      </c>
      <c r="G149" s="37">
        <f>50</f>
        <v>50</v>
      </c>
      <c r="H149" s="37">
        <f>50</f>
        <v>50</v>
      </c>
      <c r="I149" s="37">
        <f>50</f>
        <v>50</v>
      </c>
      <c r="J149" s="37">
        <f>50</f>
        <v>50</v>
      </c>
      <c r="K149" s="37">
        <f>50</f>
        <v>50</v>
      </c>
      <c r="L149" s="37">
        <f>50</f>
        <v>50</v>
      </c>
      <c r="M149" s="37">
        <f>50</f>
        <v>50</v>
      </c>
    </row>
    <row r="150" spans="1:22" x14ac:dyDescent="0.2">
      <c r="A150" s="39" t="s">
        <v>350</v>
      </c>
      <c r="B150" s="129">
        <f>SUM(B147:B148)</f>
        <v>938</v>
      </c>
      <c r="C150" s="129">
        <f>SUM(C147:C149)</f>
        <v>262.73719999999997</v>
      </c>
      <c r="D150" s="129">
        <f t="shared" ref="D150:M150" si="146">SUM(D147:D149)</f>
        <v>232.16900000000001</v>
      </c>
      <c r="E150" s="129">
        <f t="shared" si="146"/>
        <v>161.22020000000001</v>
      </c>
      <c r="F150" s="129">
        <f t="shared" si="146"/>
        <v>134.34140000000002</v>
      </c>
      <c r="G150" s="129">
        <f t="shared" si="146"/>
        <v>107.75120000000001</v>
      </c>
      <c r="H150" s="129">
        <f t="shared" si="146"/>
        <v>97.4084</v>
      </c>
      <c r="I150" s="129">
        <f t="shared" si="146"/>
        <v>87.978200000000001</v>
      </c>
      <c r="J150" s="129">
        <f t="shared" si="146"/>
        <v>79.039400000000001</v>
      </c>
      <c r="K150" s="129">
        <f t="shared" si="146"/>
        <v>70.825999999999993</v>
      </c>
      <c r="L150" s="129">
        <f t="shared" si="146"/>
        <v>63.127400000000002</v>
      </c>
      <c r="M150" s="129">
        <f t="shared" si="146"/>
        <v>56.4116</v>
      </c>
    </row>
    <row r="152" spans="1:22" x14ac:dyDescent="0.2">
      <c r="B152" s="131">
        <v>2016</v>
      </c>
      <c r="C152" s="131">
        <v>2017</v>
      </c>
      <c r="D152" s="131">
        <f>C152+1</f>
        <v>2018</v>
      </c>
      <c r="E152" s="131">
        <f t="shared" ref="E152" si="147">D152+1</f>
        <v>2019</v>
      </c>
      <c r="F152" s="131">
        <f t="shared" ref="F152" si="148">E152+1</f>
        <v>2020</v>
      </c>
      <c r="G152" s="131">
        <f t="shared" ref="G152" si="149">F152+1</f>
        <v>2021</v>
      </c>
      <c r="H152" s="131">
        <f t="shared" ref="H152" si="150">G152+1</f>
        <v>2022</v>
      </c>
      <c r="I152" s="131">
        <f t="shared" ref="I152" si="151">H152+1</f>
        <v>2023</v>
      </c>
      <c r="J152" s="131">
        <f t="shared" ref="J152" si="152">I152+1</f>
        <v>2024</v>
      </c>
      <c r="K152" s="131">
        <f t="shared" ref="K152" si="153">J152+1</f>
        <v>2025</v>
      </c>
      <c r="L152" s="131">
        <f t="shared" ref="L152" si="154">K152+1</f>
        <v>2026</v>
      </c>
      <c r="M152" s="131">
        <f t="shared" ref="M152" si="155">L152+1</f>
        <v>2027</v>
      </c>
      <c r="N152" s="131">
        <f t="shared" ref="N152" si="156">M152+1</f>
        <v>2028</v>
      </c>
      <c r="O152" s="131">
        <f t="shared" ref="O152" si="157">N152+1</f>
        <v>2029</v>
      </c>
      <c r="P152" s="131">
        <f t="shared" ref="P152" si="158">O152+1</f>
        <v>2030</v>
      </c>
      <c r="Q152" s="131">
        <f t="shared" ref="Q152" si="159">P152+1</f>
        <v>2031</v>
      </c>
      <c r="R152" s="131">
        <f t="shared" ref="R152" si="160">Q152+1</f>
        <v>2032</v>
      </c>
      <c r="S152" s="131">
        <f t="shared" ref="S152" si="161">R152+1</f>
        <v>2033</v>
      </c>
      <c r="T152" s="131">
        <f t="shared" ref="T152" si="162">S152+1</f>
        <v>2034</v>
      </c>
      <c r="U152" s="131">
        <f t="shared" ref="U152" si="163">T152+1</f>
        <v>2035</v>
      </c>
      <c r="V152" s="131">
        <f t="shared" ref="V152" si="164">U152+1</f>
        <v>2036</v>
      </c>
    </row>
    <row r="153" spans="1:22" x14ac:dyDescent="0.2">
      <c r="A153" s="37" t="s">
        <v>330</v>
      </c>
      <c r="B153" s="91">
        <f>VLOOKUP('3M-BS'!$A$11,'3M-BS'!$A$10:$K$17,11,FALSE)</f>
        <v>2678</v>
      </c>
      <c r="C153" s="91">
        <f>VLOOKUP('3M-BS'!$A$11,'3M-BS'!$A$10:$K$17,10,FALSE)</f>
        <v>4129</v>
      </c>
      <c r="D153" s="91">
        <f>VLOOKUP('3M-BS'!$A$11,'3M-BS'!$A$10:$K$17,9,FALSE)</f>
        <v>3233</v>
      </c>
      <c r="E153" s="91">
        <f>VLOOKUP('3M-BS'!$A$11,'3M-BS'!$A$10:$K$17,8,FALSE)</f>
        <v>2921</v>
      </c>
      <c r="F153" s="91">
        <f>VLOOKUP('3M-BS'!$A$11,'3M-BS'!$A$10:$K$17,7,FALSE)</f>
        <v>5038</v>
      </c>
      <c r="G153" s="91">
        <f>VLOOKUP('3M-BS'!$A$11,'3M-BS'!$A$10:$K$17,6,FALSE)</f>
        <v>4765</v>
      </c>
      <c r="H153" s="91">
        <f>VLOOKUP('3M-BS'!$A$11,'3M-BS'!$A$10:$K$17,5,FALSE)</f>
        <v>3893</v>
      </c>
      <c r="I153" s="91">
        <f>VLOOKUP('3M-BS'!$A$11,'3M-BS'!$A$10:$K$17,4,FALSE)</f>
        <v>5785</v>
      </c>
      <c r="J153" s="91">
        <f>VLOOKUP('3M-BS'!$A$11,'3M-BS'!$A$10:$K$17,3,FALSE)</f>
        <v>7728</v>
      </c>
      <c r="K153" s="91">
        <f>VLOOKUP('3M-BS'!$A$11,'3M-BS'!$A$10:$K$17,2,FALSE)</f>
        <v>5933</v>
      </c>
      <c r="L153" s="87">
        <f ca="1">'BS-Reorg'!L4</f>
        <v>6354.9985068385904</v>
      </c>
      <c r="M153" s="87">
        <f ca="1">'BS-Reorg'!M4</f>
        <v>5097.3340943485309</v>
      </c>
      <c r="N153" s="87">
        <f ca="1">'BS-Reorg'!N4</f>
        <v>5968.128837405995</v>
      </c>
      <c r="O153" s="87">
        <f ca="1">'BS-Reorg'!O4</f>
        <v>6995.730136466249</v>
      </c>
      <c r="P153" s="87">
        <f ca="1">'BS-Reorg'!P4</f>
        <v>9319.5397080508446</v>
      </c>
      <c r="Q153" s="87">
        <f ca="1">'BS-Reorg'!Q4</f>
        <v>11955.260968983028</v>
      </c>
      <c r="R153" s="87">
        <f ca="1">'BS-Reorg'!R4</f>
        <v>15397.067202366656</v>
      </c>
      <c r="S153" s="87">
        <f ca="1">'BS-Reorg'!S4</f>
        <v>19097.038208055274</v>
      </c>
      <c r="T153" s="87">
        <f ca="1">'BS-Reorg'!T4</f>
        <v>23133.803094609233</v>
      </c>
      <c r="U153" s="87">
        <f ca="1">'BS-Reorg'!U4</f>
        <v>27014.051739058577</v>
      </c>
      <c r="V153" s="87">
        <f ca="1">'BS-Reorg'!V4</f>
        <v>31757.122210849906</v>
      </c>
    </row>
    <row r="154" spans="1:22" x14ac:dyDescent="0.2">
      <c r="A154" s="37" t="s">
        <v>329</v>
      </c>
      <c r="B154" s="90">
        <f t="shared" ref="B154:K154" si="165">B22</f>
        <v>29</v>
      </c>
      <c r="C154" s="90">
        <f t="shared" si="165"/>
        <v>50</v>
      </c>
      <c r="D154" s="90">
        <f t="shared" si="165"/>
        <v>70</v>
      </c>
      <c r="E154" s="90">
        <f t="shared" si="165"/>
        <v>80</v>
      </c>
      <c r="F154" s="90">
        <f t="shared" si="165"/>
        <v>29</v>
      </c>
      <c r="G154" s="90">
        <f t="shared" si="165"/>
        <v>26</v>
      </c>
      <c r="H154" s="90">
        <f t="shared" si="165"/>
        <v>67</v>
      </c>
      <c r="I154" s="90">
        <f t="shared" si="165"/>
        <v>250</v>
      </c>
      <c r="J154" s="90">
        <f t="shared" si="165"/>
        <v>452</v>
      </c>
      <c r="K154" s="90">
        <f t="shared" si="165"/>
        <v>232</v>
      </c>
      <c r="L154" s="87">
        <f ca="1">L153*$B$156</f>
        <v>153.28782107975144</v>
      </c>
      <c r="M154" s="87">
        <f t="shared" ref="M154:V154" ca="1" si="166">M153*$B$156</f>
        <v>122.95191506298492</v>
      </c>
      <c r="N154" s="87">
        <f t="shared" ca="1" si="166"/>
        <v>143.9562046198339</v>
      </c>
      <c r="O154" s="87">
        <f t="shared" ca="1" si="166"/>
        <v>168.74279802377617</v>
      </c>
      <c r="P154" s="87">
        <f t="shared" ca="1" si="166"/>
        <v>224.79500723344873</v>
      </c>
      <c r="Q154" s="87">
        <f t="shared" ca="1" si="166"/>
        <v>288.370784415316</v>
      </c>
      <c r="R154" s="87">
        <f t="shared" ca="1" si="166"/>
        <v>371.38999795664859</v>
      </c>
      <c r="S154" s="87">
        <f t="shared" ca="1" si="166"/>
        <v>460.63635936962856</v>
      </c>
      <c r="T154" s="87">
        <f t="shared" ca="1" si="166"/>
        <v>558.00646779770011</v>
      </c>
      <c r="U154" s="87">
        <f t="shared" ca="1" si="166"/>
        <v>651.60127499006103</v>
      </c>
      <c r="V154" s="87">
        <f t="shared" ca="1" si="166"/>
        <v>766.00805841671638</v>
      </c>
    </row>
    <row r="155" spans="1:22" x14ac:dyDescent="0.2">
      <c r="A155" s="37" t="s">
        <v>351</v>
      </c>
      <c r="B155" s="84">
        <f>B154/B153</f>
        <v>1.0828976848394324E-2</v>
      </c>
      <c r="C155" s="84">
        <f t="shared" ref="C155:K155" si="167">C154/C153</f>
        <v>1.2109469605231292E-2</v>
      </c>
      <c r="D155" s="84">
        <f t="shared" si="167"/>
        <v>2.1651716671821836E-2</v>
      </c>
      <c r="E155" s="84">
        <f t="shared" si="167"/>
        <v>2.7387880862718247E-2</v>
      </c>
      <c r="F155" s="84">
        <f t="shared" si="167"/>
        <v>5.7562524811433109E-3</v>
      </c>
      <c r="G155" s="84">
        <f t="shared" si="167"/>
        <v>5.4564533053515218E-3</v>
      </c>
      <c r="H155" s="84">
        <f t="shared" si="167"/>
        <v>1.7210377600821988E-2</v>
      </c>
      <c r="I155" s="84">
        <f t="shared" si="167"/>
        <v>4.3215211754537596E-2</v>
      </c>
      <c r="J155" s="84">
        <f t="shared" si="167"/>
        <v>5.848861283643892E-2</v>
      </c>
      <c r="K155" s="84">
        <f t="shared" si="167"/>
        <v>3.9103320411259058E-2</v>
      </c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 spans="1:22" x14ac:dyDescent="0.2">
      <c r="A156" s="37" t="s">
        <v>331</v>
      </c>
      <c r="B156" s="85">
        <f>AVERAGE(B155:K155)</f>
        <v>2.4120827237771807E-2</v>
      </c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</sheetData>
  <mergeCells count="3">
    <mergeCell ref="L1:V1"/>
    <mergeCell ref="B1:K1"/>
    <mergeCell ref="X2:Y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9AC3-6EBB-498F-BDE7-C9D3777AED83}">
  <dimension ref="A1:L44"/>
  <sheetViews>
    <sheetView workbookViewId="0">
      <selection activeCell="I49" sqref="I49"/>
    </sheetView>
  </sheetViews>
  <sheetFormatPr defaultColWidth="8.7109375" defaultRowHeight="12.75" x14ac:dyDescent="0.2"/>
  <cols>
    <col min="1" max="1" width="28.140625" style="6" customWidth="1"/>
    <col min="2" max="2" width="15.28515625" style="6" customWidth="1"/>
    <col min="3" max="3" width="16.85546875" style="6" customWidth="1"/>
    <col min="4" max="4" width="19.28515625" style="6" customWidth="1"/>
    <col min="5" max="5" width="15.42578125" style="6" customWidth="1"/>
    <col min="6" max="16384" width="8.7109375" style="6"/>
  </cols>
  <sheetData>
    <row r="1" spans="1:7" x14ac:dyDescent="0.2">
      <c r="A1" s="6" t="s">
        <v>336</v>
      </c>
    </row>
    <row r="3" spans="1:7" x14ac:dyDescent="0.2">
      <c r="A3" s="6" t="s">
        <v>337</v>
      </c>
      <c r="D3" s="198" t="s">
        <v>437</v>
      </c>
    </row>
    <row r="4" spans="1:7" x14ac:dyDescent="0.2">
      <c r="A4" s="6" t="s">
        <v>338</v>
      </c>
      <c r="B4" s="98">
        <v>2.3400000000000001E-2</v>
      </c>
    </row>
    <row r="5" spans="1:7" x14ac:dyDescent="0.2">
      <c r="A5" s="6" t="s">
        <v>341</v>
      </c>
      <c r="B5" s="6">
        <v>12.5</v>
      </c>
      <c r="C5" s="6" t="s">
        <v>340</v>
      </c>
      <c r="D5" s="6" t="s">
        <v>868</v>
      </c>
      <c r="E5" s="6" t="s">
        <v>869</v>
      </c>
    </row>
    <row r="6" spans="1:7" x14ac:dyDescent="0.2">
      <c r="A6" s="6" t="s">
        <v>339</v>
      </c>
      <c r="B6" s="6">
        <v>10.3</v>
      </c>
      <c r="C6" s="6" t="s">
        <v>340</v>
      </c>
    </row>
    <row r="8" spans="1:7" x14ac:dyDescent="0.2">
      <c r="A8" s="6" t="s">
        <v>342</v>
      </c>
    </row>
    <row r="9" spans="1:7" x14ac:dyDescent="0.2">
      <c r="A9" s="303" t="s">
        <v>870</v>
      </c>
      <c r="B9" s="303"/>
      <c r="C9" s="303"/>
      <c r="D9" s="303"/>
      <c r="E9" s="303"/>
    </row>
    <row r="10" spans="1:7" ht="27.6" customHeight="1" x14ac:dyDescent="0.2">
      <c r="A10" s="123" t="s">
        <v>343</v>
      </c>
      <c r="B10" s="123" t="s">
        <v>344</v>
      </c>
      <c r="C10" s="123" t="s">
        <v>345</v>
      </c>
      <c r="D10" s="123" t="s">
        <v>346</v>
      </c>
      <c r="E10" s="123" t="s">
        <v>347</v>
      </c>
      <c r="G10"/>
    </row>
    <row r="11" spans="1:7" x14ac:dyDescent="0.2">
      <c r="A11" s="119">
        <v>2024</v>
      </c>
      <c r="B11" s="124">
        <v>10300</v>
      </c>
      <c r="C11" s="124">
        <f>B11*$B$4</f>
        <v>241.02</v>
      </c>
      <c r="D11" s="124">
        <v>2900</v>
      </c>
      <c r="E11" s="120">
        <f t="shared" ref="E11:E23" si="0">ROUND(B11+C11-D11,0)</f>
        <v>7641</v>
      </c>
    </row>
    <row r="12" spans="1:7" x14ac:dyDescent="0.2">
      <c r="A12" s="119">
        <v>2025</v>
      </c>
      <c r="B12" s="124">
        <v>7641</v>
      </c>
      <c r="C12" s="124">
        <f t="shared" ref="C12:C23" si="1">B12*$B$4</f>
        <v>178.79939999999999</v>
      </c>
      <c r="D12" s="124">
        <v>1100</v>
      </c>
      <c r="E12" s="120">
        <f t="shared" si="0"/>
        <v>6720</v>
      </c>
    </row>
    <row r="13" spans="1:7" x14ac:dyDescent="0.2">
      <c r="A13" s="119">
        <v>2026</v>
      </c>
      <c r="B13" s="124">
        <v>6720</v>
      </c>
      <c r="C13" s="124">
        <f t="shared" si="1"/>
        <v>157.24799999999999</v>
      </c>
      <c r="D13" s="124">
        <v>900</v>
      </c>
      <c r="E13" s="120">
        <f t="shared" si="0"/>
        <v>5977</v>
      </c>
    </row>
    <row r="14" spans="1:7" x14ac:dyDescent="0.2">
      <c r="A14" s="119">
        <v>2027</v>
      </c>
      <c r="B14" s="124">
        <v>5977</v>
      </c>
      <c r="C14" s="124">
        <f t="shared" si="1"/>
        <v>139.86180000000002</v>
      </c>
      <c r="D14" s="124">
        <v>2600</v>
      </c>
      <c r="E14" s="120">
        <f t="shared" si="0"/>
        <v>3517</v>
      </c>
    </row>
    <row r="15" spans="1:7" x14ac:dyDescent="0.2">
      <c r="A15" s="119">
        <v>2028</v>
      </c>
      <c r="B15" s="124">
        <v>3517</v>
      </c>
      <c r="C15" s="124">
        <f t="shared" si="1"/>
        <v>82.297800000000009</v>
      </c>
      <c r="D15" s="124">
        <v>650</v>
      </c>
      <c r="E15" s="120">
        <f t="shared" si="0"/>
        <v>2949</v>
      </c>
    </row>
    <row r="16" spans="1:7" x14ac:dyDescent="0.2">
      <c r="A16" s="119">
        <v>2029</v>
      </c>
      <c r="B16" s="124">
        <v>2949</v>
      </c>
      <c r="C16" s="124">
        <f t="shared" si="1"/>
        <v>69.006600000000006</v>
      </c>
      <c r="D16" s="124">
        <v>550</v>
      </c>
      <c r="E16" s="120">
        <f t="shared" si="0"/>
        <v>2468</v>
      </c>
    </row>
    <row r="17" spans="1:5" x14ac:dyDescent="0.2">
      <c r="A17" s="119">
        <v>2030</v>
      </c>
      <c r="B17" s="124">
        <v>2468</v>
      </c>
      <c r="C17" s="124">
        <f t="shared" si="1"/>
        <v>57.751200000000004</v>
      </c>
      <c r="D17" s="124">
        <v>500</v>
      </c>
      <c r="E17" s="120">
        <f t="shared" si="0"/>
        <v>2026</v>
      </c>
    </row>
    <row r="18" spans="1:5" x14ac:dyDescent="0.2">
      <c r="A18" s="119">
        <v>2031</v>
      </c>
      <c r="B18" s="124">
        <v>2026</v>
      </c>
      <c r="C18" s="124">
        <f t="shared" si="1"/>
        <v>47.4084</v>
      </c>
      <c r="D18" s="124">
        <v>450</v>
      </c>
      <c r="E18" s="120">
        <f t="shared" si="0"/>
        <v>1623</v>
      </c>
    </row>
    <row r="19" spans="1:5" x14ac:dyDescent="0.2">
      <c r="A19" s="119">
        <v>2032</v>
      </c>
      <c r="B19" s="124">
        <v>1623</v>
      </c>
      <c r="C19" s="124">
        <f t="shared" si="1"/>
        <v>37.978200000000001</v>
      </c>
      <c r="D19" s="124">
        <v>420</v>
      </c>
      <c r="E19" s="120">
        <f t="shared" si="0"/>
        <v>1241</v>
      </c>
    </row>
    <row r="20" spans="1:5" x14ac:dyDescent="0.2">
      <c r="A20" s="119">
        <v>2033</v>
      </c>
      <c r="B20" s="124">
        <v>1241</v>
      </c>
      <c r="C20" s="124">
        <f t="shared" si="1"/>
        <v>29.039400000000001</v>
      </c>
      <c r="D20" s="124">
        <v>380</v>
      </c>
      <c r="E20" s="120">
        <f t="shared" si="0"/>
        <v>890</v>
      </c>
    </row>
    <row r="21" spans="1:5" x14ac:dyDescent="0.2">
      <c r="A21" s="119">
        <v>2034</v>
      </c>
      <c r="B21" s="124">
        <v>890</v>
      </c>
      <c r="C21" s="124">
        <f t="shared" si="1"/>
        <v>20.826000000000001</v>
      </c>
      <c r="D21" s="124">
        <v>350</v>
      </c>
      <c r="E21" s="120">
        <f t="shared" si="0"/>
        <v>561</v>
      </c>
    </row>
    <row r="22" spans="1:5" x14ac:dyDescent="0.2">
      <c r="A22" s="119">
        <v>2035</v>
      </c>
      <c r="B22" s="124">
        <v>561</v>
      </c>
      <c r="C22" s="124">
        <f t="shared" si="1"/>
        <v>13.1274</v>
      </c>
      <c r="D22" s="124">
        <v>300</v>
      </c>
      <c r="E22" s="120">
        <f t="shared" si="0"/>
        <v>274</v>
      </c>
    </row>
    <row r="23" spans="1:5" ht="13.5" thickBot="1" x14ac:dyDescent="0.25">
      <c r="A23" s="119">
        <v>2036</v>
      </c>
      <c r="B23" s="124">
        <v>274</v>
      </c>
      <c r="C23" s="124">
        <f t="shared" si="1"/>
        <v>6.4116</v>
      </c>
      <c r="D23" s="124">
        <v>280</v>
      </c>
      <c r="E23" s="120">
        <f t="shared" si="0"/>
        <v>0</v>
      </c>
    </row>
    <row r="24" spans="1:5" ht="13.5" thickBot="1" x14ac:dyDescent="0.25">
      <c r="A24" s="121" t="s">
        <v>348</v>
      </c>
      <c r="B24" s="125"/>
      <c r="C24" s="126">
        <f>SUM(C11:C23)</f>
        <v>1080.7758000000001</v>
      </c>
      <c r="D24" s="126">
        <f>SUM(D11:D23)</f>
        <v>11380</v>
      </c>
      <c r="E24" s="122"/>
    </row>
    <row r="25" spans="1:5" x14ac:dyDescent="0.2">
      <c r="A25" s="299" t="s">
        <v>864</v>
      </c>
      <c r="B25" s="296"/>
      <c r="C25" s="297"/>
      <c r="D25" s="297"/>
      <c r="E25" s="298"/>
    </row>
    <row r="26" spans="1:5" x14ac:dyDescent="0.2">
      <c r="A26" s="299" t="s">
        <v>865</v>
      </c>
      <c r="B26" s="296"/>
      <c r="C26" s="297"/>
      <c r="D26" s="297"/>
      <c r="E26" s="298"/>
    </row>
    <row r="28" spans="1:5" x14ac:dyDescent="0.2">
      <c r="A28" s="6" t="s">
        <v>438</v>
      </c>
      <c r="C28" s="98">
        <v>1.5599999999999999E-2</v>
      </c>
    </row>
    <row r="30" spans="1:5" x14ac:dyDescent="0.2">
      <c r="A30" s="304" t="s">
        <v>863</v>
      </c>
      <c r="B30" s="304"/>
      <c r="C30" s="304"/>
      <c r="D30" s="304"/>
      <c r="E30" s="304"/>
    </row>
    <row r="31" spans="1:5" ht="25.5" x14ac:dyDescent="0.2">
      <c r="A31" s="123" t="s">
        <v>343</v>
      </c>
      <c r="B31" s="123" t="s">
        <v>344</v>
      </c>
      <c r="C31" s="123" t="s">
        <v>345</v>
      </c>
      <c r="D31" s="123" t="s">
        <v>346</v>
      </c>
      <c r="E31" s="123" t="s">
        <v>347</v>
      </c>
    </row>
    <row r="32" spans="1:5" x14ac:dyDescent="0.2">
      <c r="A32" s="127">
        <v>2024</v>
      </c>
      <c r="B32" s="124">
        <v>5700</v>
      </c>
      <c r="C32" s="124">
        <f>$C$28*B32</f>
        <v>88.92</v>
      </c>
      <c r="D32" s="124">
        <v>1400</v>
      </c>
      <c r="E32" s="124">
        <f t="shared" ref="E32:E37" si="2">MAX(0,ROUND(B32+C32-D32,0))</f>
        <v>4389</v>
      </c>
    </row>
    <row r="33" spans="1:12" x14ac:dyDescent="0.2">
      <c r="A33" s="127">
        <v>2025</v>
      </c>
      <c r="B33" s="124">
        <v>4389</v>
      </c>
      <c r="C33" s="124">
        <f t="shared" ref="C33:C37" si="3">$C$28*B33</f>
        <v>68.468400000000003</v>
      </c>
      <c r="D33" s="124">
        <v>900</v>
      </c>
      <c r="E33" s="124">
        <f t="shared" si="2"/>
        <v>3557</v>
      </c>
    </row>
    <row r="34" spans="1:12" x14ac:dyDescent="0.2">
      <c r="A34" s="127">
        <v>2026</v>
      </c>
      <c r="B34" s="124">
        <v>3557</v>
      </c>
      <c r="C34" s="124">
        <f t="shared" si="3"/>
        <v>55.489199999999997</v>
      </c>
      <c r="D34" s="124">
        <v>900</v>
      </c>
      <c r="E34" s="124">
        <f t="shared" si="2"/>
        <v>2712</v>
      </c>
    </row>
    <row r="35" spans="1:12" x14ac:dyDescent="0.2">
      <c r="A35" s="127">
        <v>2027</v>
      </c>
      <c r="B35" s="124">
        <v>2712</v>
      </c>
      <c r="C35" s="124">
        <f t="shared" si="3"/>
        <v>42.307199999999995</v>
      </c>
      <c r="D35" s="124">
        <v>900</v>
      </c>
      <c r="E35" s="124">
        <f t="shared" si="2"/>
        <v>1854</v>
      </c>
    </row>
    <row r="36" spans="1:12" x14ac:dyDescent="0.2">
      <c r="A36" s="127">
        <v>2028</v>
      </c>
      <c r="B36" s="124">
        <v>1854</v>
      </c>
      <c r="C36" s="124">
        <f t="shared" si="3"/>
        <v>28.9224</v>
      </c>
      <c r="D36" s="124">
        <v>900</v>
      </c>
      <c r="E36" s="124">
        <f t="shared" si="2"/>
        <v>983</v>
      </c>
    </row>
    <row r="37" spans="1:12" ht="13.5" thickBot="1" x14ac:dyDescent="0.25">
      <c r="A37" s="127">
        <v>2029</v>
      </c>
      <c r="B37" s="124">
        <v>983</v>
      </c>
      <c r="C37" s="124">
        <f t="shared" si="3"/>
        <v>15.3348</v>
      </c>
      <c r="D37" s="124">
        <v>1000</v>
      </c>
      <c r="E37" s="124">
        <f t="shared" si="2"/>
        <v>0</v>
      </c>
    </row>
    <row r="38" spans="1:12" ht="13.5" thickBot="1" x14ac:dyDescent="0.25">
      <c r="A38" s="128" t="s">
        <v>348</v>
      </c>
      <c r="B38" s="125"/>
      <c r="C38" s="126">
        <f>SUM(C32:C37)</f>
        <v>299.44199999999995</v>
      </c>
      <c r="D38" s="126">
        <f>SUM(D32:D37)</f>
        <v>6000</v>
      </c>
      <c r="E38" s="125"/>
    </row>
    <row r="40" spans="1:12" x14ac:dyDescent="0.2">
      <c r="A40" s="37"/>
      <c r="B40" s="39">
        <v>2026</v>
      </c>
      <c r="C40" s="39">
        <v>2027</v>
      </c>
      <c r="D40" s="39">
        <v>2028</v>
      </c>
      <c r="E40" s="39">
        <v>2029</v>
      </c>
      <c r="F40" s="39">
        <f>E40+1</f>
        <v>2030</v>
      </c>
      <c r="G40" s="39">
        <f t="shared" ref="G40:L40" si="4">F40+1</f>
        <v>2031</v>
      </c>
      <c r="H40" s="39">
        <f t="shared" si="4"/>
        <v>2032</v>
      </c>
      <c r="I40" s="39">
        <f t="shared" si="4"/>
        <v>2033</v>
      </c>
      <c r="J40" s="39">
        <f t="shared" si="4"/>
        <v>2034</v>
      </c>
      <c r="K40" s="39">
        <f t="shared" si="4"/>
        <v>2035</v>
      </c>
      <c r="L40" s="39">
        <f t="shared" si="4"/>
        <v>2036</v>
      </c>
    </row>
    <row r="41" spans="1:12" x14ac:dyDescent="0.2">
      <c r="A41" s="39" t="s">
        <v>349</v>
      </c>
      <c r="B41" s="181">
        <f>C34+C13</f>
        <v>212.73719999999997</v>
      </c>
      <c r="C41" s="181">
        <f>C35+C14</f>
        <v>182.16900000000001</v>
      </c>
      <c r="D41" s="181">
        <f>C36+C15</f>
        <v>111.22020000000001</v>
      </c>
      <c r="E41" s="181">
        <f>C16+C37</f>
        <v>84.341400000000007</v>
      </c>
      <c r="F41" s="181">
        <f>C17</f>
        <v>57.751200000000004</v>
      </c>
      <c r="G41" s="181">
        <f>C18</f>
        <v>47.4084</v>
      </c>
      <c r="H41" s="181">
        <f>C19</f>
        <v>37.978200000000001</v>
      </c>
      <c r="I41" s="181">
        <f>C20</f>
        <v>29.039400000000001</v>
      </c>
      <c r="J41" s="181">
        <f>C21</f>
        <v>20.826000000000001</v>
      </c>
      <c r="K41" s="181">
        <f>C22</f>
        <v>13.1274</v>
      </c>
      <c r="L41" s="181">
        <f>C23</f>
        <v>6.4116</v>
      </c>
    </row>
    <row r="43" spans="1:12" x14ac:dyDescent="0.2">
      <c r="A43" s="6" t="s">
        <v>866</v>
      </c>
    </row>
    <row r="44" spans="1:12" x14ac:dyDescent="0.2">
      <c r="A44" s="6" t="s">
        <v>867</v>
      </c>
    </row>
  </sheetData>
  <mergeCells count="2">
    <mergeCell ref="A9:E9"/>
    <mergeCell ref="A30:E30"/>
  </mergeCells>
  <hyperlinks>
    <hyperlink ref="D3" r:id="rId1" xr:uid="{67988CF1-B8FE-4D2E-8867-F1C6106FAB86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BC3B-8B6E-460F-B3BA-40F453A21C66}">
  <dimension ref="A1:X106"/>
  <sheetViews>
    <sheetView topLeftCell="A28" zoomScale="93" workbookViewId="0">
      <selection activeCell="A8" sqref="A8"/>
    </sheetView>
  </sheetViews>
  <sheetFormatPr defaultColWidth="8.7109375" defaultRowHeight="12.75" x14ac:dyDescent="0.2"/>
  <cols>
    <col min="1" max="1" width="34.140625" style="135" customWidth="1"/>
    <col min="2" max="2" width="12.140625" style="135" hidden="1" customWidth="1"/>
    <col min="3" max="5" width="10.140625" style="135" hidden="1" customWidth="1"/>
    <col min="6" max="11" width="10.140625" style="135" bestFit="1" customWidth="1"/>
    <col min="12" max="12" width="10.140625" style="135" customWidth="1"/>
    <col min="13" max="13" width="11.140625" style="135" customWidth="1"/>
    <col min="14" max="22" width="10.140625" style="135" customWidth="1"/>
    <col min="23" max="16384" width="8.7109375" style="135"/>
  </cols>
  <sheetData>
    <row r="1" spans="1:24" x14ac:dyDescent="0.2">
      <c r="L1" s="305" t="s">
        <v>196</v>
      </c>
      <c r="M1" s="305"/>
      <c r="N1" s="305"/>
      <c r="O1" s="305"/>
      <c r="P1" s="305"/>
      <c r="Q1" s="305"/>
      <c r="R1" s="305"/>
      <c r="S1" s="305"/>
      <c r="T1" s="305"/>
      <c r="U1" s="305"/>
      <c r="V1" s="305"/>
    </row>
    <row r="2" spans="1:24" x14ac:dyDescent="0.2">
      <c r="A2" s="136" t="s">
        <v>191</v>
      </c>
      <c r="B2" s="137">
        <v>2016</v>
      </c>
      <c r="C2" s="137">
        <v>2017</v>
      </c>
      <c r="D2" s="137">
        <f>C2+1</f>
        <v>2018</v>
      </c>
      <c r="E2" s="137">
        <f t="shared" ref="E2:K2" si="0">D2+1</f>
        <v>2019</v>
      </c>
      <c r="F2" s="137">
        <f t="shared" si="0"/>
        <v>2020</v>
      </c>
      <c r="G2" s="137">
        <f t="shared" si="0"/>
        <v>2021</v>
      </c>
      <c r="H2" s="137">
        <f t="shared" si="0"/>
        <v>2022</v>
      </c>
      <c r="I2" s="137">
        <f t="shared" si="0"/>
        <v>2023</v>
      </c>
      <c r="J2" s="137">
        <f t="shared" si="0"/>
        <v>2024</v>
      </c>
      <c r="K2" s="137">
        <f t="shared" si="0"/>
        <v>2025</v>
      </c>
      <c r="L2" s="138">
        <v>2026</v>
      </c>
      <c r="M2" s="138">
        <f>L2+1</f>
        <v>2027</v>
      </c>
      <c r="N2" s="138">
        <f t="shared" ref="N2:V2" si="1">M2+1</f>
        <v>2028</v>
      </c>
      <c r="O2" s="138">
        <f t="shared" si="1"/>
        <v>2029</v>
      </c>
      <c r="P2" s="138">
        <f t="shared" si="1"/>
        <v>2030</v>
      </c>
      <c r="Q2" s="138">
        <f t="shared" si="1"/>
        <v>2031</v>
      </c>
      <c r="R2" s="138">
        <f t="shared" si="1"/>
        <v>2032</v>
      </c>
      <c r="S2" s="138">
        <f t="shared" si="1"/>
        <v>2033</v>
      </c>
      <c r="T2" s="138">
        <f t="shared" si="1"/>
        <v>2034</v>
      </c>
      <c r="U2" s="138">
        <f t="shared" si="1"/>
        <v>2035</v>
      </c>
      <c r="V2" s="139">
        <f t="shared" si="1"/>
        <v>2036</v>
      </c>
    </row>
    <row r="3" spans="1:24" x14ac:dyDescent="0.2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2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</row>
    <row r="4" spans="1:24" x14ac:dyDescent="0.2">
      <c r="A4" s="132" t="s">
        <v>114</v>
      </c>
      <c r="B4" s="132">
        <f>B5+B6</f>
        <v>2678</v>
      </c>
      <c r="C4" s="132">
        <f t="shared" ref="C4:K4" si="2">C5+C6</f>
        <v>4129</v>
      </c>
      <c r="D4" s="132">
        <f t="shared" si="2"/>
        <v>3233</v>
      </c>
      <c r="E4" s="132">
        <f t="shared" si="2"/>
        <v>2921</v>
      </c>
      <c r="F4" s="132">
        <f t="shared" si="2"/>
        <v>5038</v>
      </c>
      <c r="G4" s="132">
        <f t="shared" si="2"/>
        <v>4765</v>
      </c>
      <c r="H4" s="132">
        <f t="shared" si="2"/>
        <v>3893</v>
      </c>
      <c r="I4" s="132">
        <f t="shared" si="2"/>
        <v>5785</v>
      </c>
      <c r="J4" s="132">
        <f t="shared" si="2"/>
        <v>7728</v>
      </c>
      <c r="K4" s="143">
        <f t="shared" si="2"/>
        <v>5933</v>
      </c>
      <c r="L4" s="157">
        <f ca="1">L71-(L7+L11+L15+L19+L28+L31+L34+L35)</f>
        <v>6354.9985068385904</v>
      </c>
      <c r="M4" s="157">
        <f t="shared" ref="M4:V4" ca="1" si="3">M71-(M7+M11+M15+M19+M28+M31+M34+M35)</f>
        <v>5097.3340943485309</v>
      </c>
      <c r="N4" s="157">
        <f t="shared" ca="1" si="3"/>
        <v>5968.128837405995</v>
      </c>
      <c r="O4" s="157">
        <f t="shared" ca="1" si="3"/>
        <v>6995.730136466249</v>
      </c>
      <c r="P4" s="157">
        <f t="shared" ca="1" si="3"/>
        <v>9319.5397080508446</v>
      </c>
      <c r="Q4" s="157">
        <f t="shared" ca="1" si="3"/>
        <v>11955.260968983028</v>
      </c>
      <c r="R4" s="157">
        <f t="shared" ca="1" si="3"/>
        <v>15397.067202366656</v>
      </c>
      <c r="S4" s="157">
        <f t="shared" ca="1" si="3"/>
        <v>19097.038208055274</v>
      </c>
      <c r="T4" s="157">
        <f t="shared" ca="1" si="3"/>
        <v>23133.803094609233</v>
      </c>
      <c r="U4" s="157">
        <f t="shared" ca="1" si="3"/>
        <v>27014.051739058577</v>
      </c>
      <c r="V4" s="157">
        <f t="shared" ca="1" si="3"/>
        <v>31757.122210849906</v>
      </c>
      <c r="X4" s="300" t="s">
        <v>871</v>
      </c>
    </row>
    <row r="5" spans="1:24" x14ac:dyDescent="0.2">
      <c r="A5" s="133" t="s">
        <v>115</v>
      </c>
      <c r="B5" s="133">
        <f>VLOOKUP($A5,'3M-BS'!$A$12:$K$79,11, FALSE)</f>
        <v>2398</v>
      </c>
      <c r="C5" s="133">
        <f>VLOOKUP($A5,'3M-BS'!$A$12:$K$79,10, FALSE)</f>
        <v>3053</v>
      </c>
      <c r="D5" s="133">
        <f>VLOOKUP($A5,'3M-BS'!$A$12:$K$79,9, FALSE)</f>
        <v>2853</v>
      </c>
      <c r="E5" s="133">
        <f>VLOOKUP($A5,'3M-BS'!$A$12:$K$79,8, FALSE)</f>
        <v>2353</v>
      </c>
      <c r="F5" s="133">
        <f>VLOOKUP($A5,'3M-BS'!$A$12:$K$79,7, FALSE)</f>
        <v>4634</v>
      </c>
      <c r="G5" s="133">
        <f>VLOOKUP($A5,'3M-BS'!$A$12:$K$79,6, FALSE)</f>
        <v>4564</v>
      </c>
      <c r="H5" s="133">
        <f>VLOOKUP($A5,'3M-BS'!$A$12:$K$79,5, FALSE)</f>
        <v>3655</v>
      </c>
      <c r="I5" s="133">
        <f>VLOOKUP($A5,'3M-BS'!$A$12:$K$79,4, FALSE)</f>
        <v>5735</v>
      </c>
      <c r="J5" s="133">
        <f>VLOOKUP($A5,'3M-BS'!$A$12:$K$79,3, FALSE)</f>
        <v>5600</v>
      </c>
      <c r="K5" s="144">
        <f>VLOOKUP($A5,'3M-BS'!$A$12:$K$79,2, FALSE)</f>
        <v>5235</v>
      </c>
      <c r="L5" s="155">
        <f ca="1">$K$5/$K$4*L4</f>
        <v>5607.3516236811092</v>
      </c>
      <c r="M5" s="155">
        <f t="shared" ref="M5:V5" ca="1" si="4">$K$5/$K$4*M4</f>
        <v>4497.6477303075271</v>
      </c>
      <c r="N5" s="155">
        <f t="shared" ca="1" si="4"/>
        <v>5265.99603300529</v>
      </c>
      <c r="O5" s="155">
        <f t="shared" ca="1" si="4"/>
        <v>6172.7030615878666</v>
      </c>
      <c r="P5" s="155">
        <f t="shared" ca="1" si="4"/>
        <v>8223.1232718095689</v>
      </c>
      <c r="Q5" s="155">
        <f t="shared" ca="1" si="4"/>
        <v>10548.759678514436</v>
      </c>
      <c r="R5" s="155">
        <f t="shared" ca="1" si="4"/>
        <v>13585.64753149999</v>
      </c>
      <c r="S5" s="155">
        <f t="shared" ca="1" si="4"/>
        <v>16850.327830637005</v>
      </c>
      <c r="T5" s="155">
        <f t="shared" ca="1" si="4"/>
        <v>20412.179201125793</v>
      </c>
      <c r="U5" s="155">
        <f t="shared" ca="1" si="4"/>
        <v>23835.928005051686</v>
      </c>
      <c r="V5" s="155">
        <f t="shared" ca="1" si="4"/>
        <v>28020.990186044033</v>
      </c>
      <c r="X5" s="300" t="s">
        <v>872</v>
      </c>
    </row>
    <row r="6" spans="1:24" x14ac:dyDescent="0.2">
      <c r="A6" s="133" t="s">
        <v>116</v>
      </c>
      <c r="B6" s="133">
        <f>VLOOKUP($A6,'3M-BS'!$A$12:$K$79,11, FALSE)</f>
        <v>280</v>
      </c>
      <c r="C6" s="133">
        <f>VLOOKUP($A6,'3M-BS'!$A$12:$K$79,10, FALSE)</f>
        <v>1076</v>
      </c>
      <c r="D6" s="133">
        <f>VLOOKUP($A6,'3M-BS'!$A$12:$K$79,9, FALSE)</f>
        <v>380</v>
      </c>
      <c r="E6" s="133">
        <f>VLOOKUP($A6,'3M-BS'!$A$12:$K$79,8, FALSE)</f>
        <v>568</v>
      </c>
      <c r="F6" s="133">
        <f>VLOOKUP($A6,'3M-BS'!$A$12:$K$79,7, FALSE)</f>
        <v>404</v>
      </c>
      <c r="G6" s="133">
        <f>VLOOKUP($A6,'3M-BS'!$A$12:$K$79,6, FALSE)</f>
        <v>201</v>
      </c>
      <c r="H6" s="133">
        <f>VLOOKUP($A6,'3M-BS'!$A$12:$K$79,5, FALSE)</f>
        <v>238</v>
      </c>
      <c r="I6" s="133">
        <f>VLOOKUP($A6,'3M-BS'!$A$12:$K$79,4, FALSE)</f>
        <v>50</v>
      </c>
      <c r="J6" s="133">
        <f>VLOOKUP($A6,'3M-BS'!$A$12:$K$79,3, FALSE)</f>
        <v>2128</v>
      </c>
      <c r="K6" s="144">
        <f>VLOOKUP($A6,'3M-BS'!$A$12:$K$79,2, FALSE)</f>
        <v>698</v>
      </c>
      <c r="L6" s="155">
        <f ca="1">$K$6/$K$5*L4</f>
        <v>847.3331342451454</v>
      </c>
      <c r="M6" s="155">
        <f t="shared" ref="M6:V6" ca="1" si="5">$K$6/$K$5*M4</f>
        <v>679.64454591313745</v>
      </c>
      <c r="N6" s="155">
        <f t="shared" ca="1" si="5"/>
        <v>795.75051165413265</v>
      </c>
      <c r="O6" s="155">
        <f t="shared" ca="1" si="5"/>
        <v>932.76401819549983</v>
      </c>
      <c r="P6" s="155">
        <f t="shared" ca="1" si="5"/>
        <v>1242.6052944067792</v>
      </c>
      <c r="Q6" s="155">
        <f t="shared" ca="1" si="5"/>
        <v>1594.0347958644038</v>
      </c>
      <c r="R6" s="155">
        <f t="shared" ca="1" si="5"/>
        <v>2052.9422936488872</v>
      </c>
      <c r="S6" s="155">
        <f t="shared" ca="1" si="5"/>
        <v>2546.2717610740365</v>
      </c>
      <c r="T6" s="155">
        <f t="shared" ca="1" si="5"/>
        <v>3084.5070792812312</v>
      </c>
      <c r="U6" s="155">
        <f t="shared" ca="1" si="5"/>
        <v>3601.8735652078103</v>
      </c>
      <c r="V6" s="155">
        <f t="shared" ca="1" si="5"/>
        <v>4234.2829614466536</v>
      </c>
    </row>
    <row r="7" spans="1:24" x14ac:dyDescent="0.2">
      <c r="A7" s="132" t="str">
        <f>'3M-BS'!A14</f>
        <v>Short-Term Receivables</v>
      </c>
      <c r="B7" s="145">
        <f>VLOOKUP($A7,'3M-BS'!$A$12:$K$79,11, FALSE)</f>
        <v>4392</v>
      </c>
      <c r="C7" s="145">
        <f>VLOOKUP($A7,'3M-BS'!$A$12:$K$79,10, FALSE)</f>
        <v>4911</v>
      </c>
      <c r="D7" s="145">
        <f>VLOOKUP($A7,'3M-BS'!$A$12:$K$79,9, FALSE)</f>
        <v>5020</v>
      </c>
      <c r="E7" s="145">
        <f>VLOOKUP($A7,'3M-BS'!$A$12:$K$79,8, FALSE)</f>
        <v>4791</v>
      </c>
      <c r="F7" s="145">
        <f>VLOOKUP($A7,'3M-BS'!$A$12:$K$79,7, FALSE)</f>
        <v>4705</v>
      </c>
      <c r="G7" s="145">
        <f>VLOOKUP($A7,'3M-BS'!$A$12:$K$79,6, FALSE)</f>
        <v>4660</v>
      </c>
      <c r="H7" s="145">
        <f>VLOOKUP($A7,'3M-BS'!$A$12:$K$79,5, FALSE)</f>
        <v>4532</v>
      </c>
      <c r="I7" s="145">
        <f>VLOOKUP($A7,'3M-BS'!$A$12:$K$79,4, FALSE)</f>
        <v>3601</v>
      </c>
      <c r="J7" s="145">
        <f>VLOOKUP($A7,'3M-BS'!$A$12:$K$79,3, FALSE)</f>
        <v>3194</v>
      </c>
      <c r="K7" s="146">
        <f>VLOOKUP($A7,'3M-BS'!$A$12:$K$79,2, FALSE)</f>
        <v>3533</v>
      </c>
      <c r="L7" s="167">
        <f>L8</f>
        <v>3584.7289658489663</v>
      </c>
      <c r="M7" s="167">
        <f t="shared" ref="M7:V7" si="6">M8</f>
        <v>3728.1181244829249</v>
      </c>
      <c r="N7" s="167">
        <f t="shared" si="6"/>
        <v>3866.6492897642579</v>
      </c>
      <c r="O7" s="167">
        <f t="shared" si="6"/>
        <v>4032.3325634407315</v>
      </c>
      <c r="P7" s="167">
        <f t="shared" si="6"/>
        <v>4193.6258659783607</v>
      </c>
      <c r="Q7" s="167">
        <f t="shared" si="6"/>
        <v>4319.4346419577123</v>
      </c>
      <c r="R7" s="167">
        <f t="shared" si="6"/>
        <v>4436.8618952021907</v>
      </c>
      <c r="S7" s="167">
        <f t="shared" si="6"/>
        <v>4582.4882116529379</v>
      </c>
      <c r="T7" s="167">
        <f t="shared" si="6"/>
        <v>4719.9628580025255</v>
      </c>
      <c r="U7" s="167">
        <f t="shared" si="6"/>
        <v>4861.5617437426008</v>
      </c>
      <c r="V7" s="167">
        <f t="shared" si="6"/>
        <v>4993.727151803364</v>
      </c>
    </row>
    <row r="8" spans="1:24" x14ac:dyDescent="0.2">
      <c r="A8" s="133" t="str">
        <f>'3M-BS'!A15</f>
        <v>Accounts Receivables, Net</v>
      </c>
      <c r="B8" s="147">
        <f>VLOOKUP($A8,'3M-BS'!$A$12:$K$79,11, FALSE)</f>
        <v>4392</v>
      </c>
      <c r="C8" s="147">
        <f>VLOOKUP($A8,'3M-BS'!$A$12:$K$79,10, FALSE)</f>
        <v>4911</v>
      </c>
      <c r="D8" s="147">
        <f>VLOOKUP($A8,'3M-BS'!$A$12:$K$79,9, FALSE)</f>
        <v>5020</v>
      </c>
      <c r="E8" s="147">
        <f>VLOOKUP($A8,'3M-BS'!$A$12:$K$79,8, FALSE)</f>
        <v>4791</v>
      </c>
      <c r="F8" s="147">
        <f>VLOOKUP($A8,'3M-BS'!$A$12:$K$79,7, FALSE)</f>
        <v>4705</v>
      </c>
      <c r="G8" s="147">
        <f>VLOOKUP($A8,'3M-BS'!$A$12:$K$79,6, FALSE)</f>
        <v>4660</v>
      </c>
      <c r="H8" s="147">
        <f>VLOOKUP($A8,'3M-BS'!$A$12:$K$79,5, FALSE)</f>
        <v>4532</v>
      </c>
      <c r="I8" s="147">
        <f>VLOOKUP($A8,'3M-BS'!$A$12:$K$79,4, FALSE)</f>
        <v>3601</v>
      </c>
      <c r="J8" s="147">
        <f>VLOOKUP($A8,'3M-BS'!$A$12:$K$79,3, FALSE)</f>
        <v>3194</v>
      </c>
      <c r="K8" s="148">
        <f>VLOOKUP($A8,'3M-BS'!$A$12:$K$79,2, FALSE)</f>
        <v>3533</v>
      </c>
      <c r="L8" s="166">
        <f>L95</f>
        <v>3584.7289658489663</v>
      </c>
      <c r="M8" s="166">
        <f t="shared" ref="M8:V8" si="7">M95</f>
        <v>3728.1181244829249</v>
      </c>
      <c r="N8" s="166">
        <f t="shared" si="7"/>
        <v>3866.6492897642579</v>
      </c>
      <c r="O8" s="166">
        <f t="shared" si="7"/>
        <v>4032.3325634407315</v>
      </c>
      <c r="P8" s="166">
        <f t="shared" si="7"/>
        <v>4193.6258659783607</v>
      </c>
      <c r="Q8" s="166">
        <f t="shared" si="7"/>
        <v>4319.4346419577123</v>
      </c>
      <c r="R8" s="166">
        <f t="shared" si="7"/>
        <v>4436.8618952021907</v>
      </c>
      <c r="S8" s="166">
        <f t="shared" si="7"/>
        <v>4582.4882116529379</v>
      </c>
      <c r="T8" s="166">
        <f t="shared" si="7"/>
        <v>4719.9628580025255</v>
      </c>
      <c r="U8" s="166">
        <f t="shared" si="7"/>
        <v>4861.5617437426008</v>
      </c>
      <c r="V8" s="166">
        <f t="shared" si="7"/>
        <v>4993.727151803364</v>
      </c>
    </row>
    <row r="9" spans="1:24" x14ac:dyDescent="0.2">
      <c r="A9" s="133" t="str">
        <f>'3M-BS'!A16</f>
        <v>Accounts Receivables, Gross</v>
      </c>
      <c r="B9" s="147">
        <f>VLOOKUP($A9,'3M-BS'!$A$12:$K$79,11, FALSE)</f>
        <v>4480</v>
      </c>
      <c r="C9" s="147">
        <f>VLOOKUP($A9,'3M-BS'!$A$12:$K$79,10, FALSE)</f>
        <v>5014</v>
      </c>
      <c r="D9" s="147">
        <f>VLOOKUP($A9,'3M-BS'!$A$12:$K$79,9, FALSE)</f>
        <v>5115</v>
      </c>
      <c r="E9" s="147">
        <f>VLOOKUP($A9,'3M-BS'!$A$12:$K$79,8, FALSE)</f>
        <v>4952</v>
      </c>
      <c r="F9" s="147">
        <f>VLOOKUP($A9,'3M-BS'!$A$12:$K$79,7, FALSE)</f>
        <v>4938</v>
      </c>
      <c r="G9" s="147">
        <f>VLOOKUP($A9,'3M-BS'!$A$12:$K$79,6, FALSE)</f>
        <v>4849</v>
      </c>
      <c r="H9" s="147">
        <f>VLOOKUP($A9,'3M-BS'!$A$12:$K$79,5, FALSE)</f>
        <v>4706</v>
      </c>
      <c r="I9" s="147">
        <f>VLOOKUP($A9,'3M-BS'!$A$12:$K$79,4, FALSE)</f>
        <v>3663</v>
      </c>
      <c r="J9" s="147">
        <f>VLOOKUP($A9,'3M-BS'!$A$12:$K$79,3, FALSE)</f>
        <v>3254</v>
      </c>
      <c r="K9" s="148">
        <f>VLOOKUP($A9,'3M-BS'!$A$12:$K$79,2, FALSE)</f>
        <v>3594</v>
      </c>
      <c r="L9" s="155">
        <f>L8-L10</f>
        <v>3645.7289658489663</v>
      </c>
      <c r="M9" s="155">
        <f t="shared" ref="M9:V9" si="8">M8-M10</f>
        <v>3789.1181244829249</v>
      </c>
      <c r="N9" s="155">
        <f t="shared" si="8"/>
        <v>3927.6492897642579</v>
      </c>
      <c r="O9" s="155">
        <f t="shared" si="8"/>
        <v>4093.3325634407315</v>
      </c>
      <c r="P9" s="155">
        <f t="shared" si="8"/>
        <v>4254.6258659783607</v>
      </c>
      <c r="Q9" s="155">
        <f t="shared" si="8"/>
        <v>4380.4346419577123</v>
      </c>
      <c r="R9" s="155">
        <f t="shared" si="8"/>
        <v>4497.8618952021907</v>
      </c>
      <c r="S9" s="155">
        <f t="shared" si="8"/>
        <v>4643.4882116529379</v>
      </c>
      <c r="T9" s="155">
        <f t="shared" si="8"/>
        <v>4780.9628580025255</v>
      </c>
      <c r="U9" s="155">
        <f t="shared" si="8"/>
        <v>4922.5617437426008</v>
      </c>
      <c r="V9" s="155">
        <f t="shared" si="8"/>
        <v>5054.727151803364</v>
      </c>
    </row>
    <row r="10" spans="1:24" x14ac:dyDescent="0.2">
      <c r="A10" s="133" t="str">
        <f>'3M-BS'!A17</f>
        <v>Bad Debt/Doubtful Accounts</v>
      </c>
      <c r="B10" s="147">
        <f>VLOOKUP($A10,'3M-BS'!$A$12:$K$79,11, FALSE)</f>
        <v>-88</v>
      </c>
      <c r="C10" s="147">
        <f>VLOOKUP($A10,'3M-BS'!$A$12:$K$79,10, FALSE)</f>
        <v>-103</v>
      </c>
      <c r="D10" s="147">
        <f>VLOOKUP($A10,'3M-BS'!$A$12:$K$79,9, FALSE)</f>
        <v>-95</v>
      </c>
      <c r="E10" s="147">
        <f>VLOOKUP($A10,'3M-BS'!$A$12:$K$79,8, FALSE)</f>
        <v>-161</v>
      </c>
      <c r="F10" s="147">
        <f>VLOOKUP($A10,'3M-BS'!$A$12:$K$79,7, FALSE)</f>
        <v>-233</v>
      </c>
      <c r="G10" s="147">
        <f>VLOOKUP($A10,'3M-BS'!$A$12:$K$79,6, FALSE)</f>
        <v>-189</v>
      </c>
      <c r="H10" s="147">
        <f>VLOOKUP($A10,'3M-BS'!$A$12:$K$79,5, FALSE)</f>
        <v>-174</v>
      </c>
      <c r="I10" s="147">
        <f>VLOOKUP($A10,'3M-BS'!$A$12:$K$79,4, FALSE)</f>
        <v>-62</v>
      </c>
      <c r="J10" s="147">
        <f>VLOOKUP($A10,'3M-BS'!$A$12:$K$79,3, FALSE)</f>
        <v>-60</v>
      </c>
      <c r="K10" s="148">
        <f>VLOOKUP($A10,'3M-BS'!$A$12:$K$79,2, FALSE)</f>
        <v>-61</v>
      </c>
      <c r="L10" s="155">
        <f>K10</f>
        <v>-61</v>
      </c>
      <c r="M10" s="155">
        <f t="shared" ref="M10:V10" si="9">L10</f>
        <v>-61</v>
      </c>
      <c r="N10" s="155">
        <f t="shared" si="9"/>
        <v>-61</v>
      </c>
      <c r="O10" s="155">
        <f t="shared" si="9"/>
        <v>-61</v>
      </c>
      <c r="P10" s="155">
        <f t="shared" si="9"/>
        <v>-61</v>
      </c>
      <c r="Q10" s="155">
        <f t="shared" si="9"/>
        <v>-61</v>
      </c>
      <c r="R10" s="155">
        <f t="shared" si="9"/>
        <v>-61</v>
      </c>
      <c r="S10" s="155">
        <f t="shared" si="9"/>
        <v>-61</v>
      </c>
      <c r="T10" s="155">
        <f t="shared" si="9"/>
        <v>-61</v>
      </c>
      <c r="U10" s="155">
        <f t="shared" si="9"/>
        <v>-61</v>
      </c>
      <c r="V10" s="155">
        <f t="shared" si="9"/>
        <v>-61</v>
      </c>
    </row>
    <row r="11" spans="1:24" x14ac:dyDescent="0.2">
      <c r="A11" s="132" t="str">
        <f>'3M-BS'!A18</f>
        <v>Inventories</v>
      </c>
      <c r="B11" s="145">
        <f>VLOOKUP($A11,'3M-BS'!$A$12:$K$79,11, FALSE)</f>
        <v>3385</v>
      </c>
      <c r="C11" s="145">
        <f>VLOOKUP($A11,'3M-BS'!$A$12:$K$79,10, FALSE)</f>
        <v>4034</v>
      </c>
      <c r="D11" s="145">
        <f>VLOOKUP($A11,'3M-BS'!$A$12:$K$79,9, FALSE)</f>
        <v>4366</v>
      </c>
      <c r="E11" s="145">
        <f>VLOOKUP($A11,'3M-BS'!$A$12:$K$79,8, FALSE)</f>
        <v>4134</v>
      </c>
      <c r="F11" s="145">
        <f>VLOOKUP($A11,'3M-BS'!$A$12:$K$79,7, FALSE)</f>
        <v>4239</v>
      </c>
      <c r="G11" s="145">
        <f>VLOOKUP($A11,'3M-BS'!$A$12:$K$79,6, FALSE)</f>
        <v>4985</v>
      </c>
      <c r="H11" s="145">
        <f>VLOOKUP($A11,'3M-BS'!$A$12:$K$79,5, FALSE)</f>
        <v>5372</v>
      </c>
      <c r="I11" s="145">
        <f>VLOOKUP($A11,'3M-BS'!$A$12:$K$79,4, FALSE)</f>
        <v>3944</v>
      </c>
      <c r="J11" s="145">
        <f>VLOOKUP($A11,'3M-BS'!$A$12:$K$79,3, FALSE)</f>
        <v>3698</v>
      </c>
      <c r="K11" s="146">
        <f>VLOOKUP($A11,'3M-BS'!$A$12:$K$79,2, FALSE)</f>
        <v>3661</v>
      </c>
      <c r="L11" s="157">
        <f>L96</f>
        <v>3714.603097643098</v>
      </c>
      <c r="M11" s="157">
        <f t="shared" ref="M11:V11" si="10">M96</f>
        <v>3828.1760348286825</v>
      </c>
      <c r="N11" s="157">
        <f t="shared" si="10"/>
        <v>3934.1130501147622</v>
      </c>
      <c r="O11" s="157">
        <f t="shared" si="10"/>
        <v>4064.8190001576968</v>
      </c>
      <c r="P11" s="157">
        <f t="shared" si="10"/>
        <v>4188.0289366252418</v>
      </c>
      <c r="Q11" s="157">
        <f t="shared" si="10"/>
        <v>4273.1054964790737</v>
      </c>
      <c r="R11" s="157">
        <f t="shared" si="10"/>
        <v>4347.6061740891473</v>
      </c>
      <c r="S11" s="157">
        <f t="shared" si="10"/>
        <v>4447.2682719805671</v>
      </c>
      <c r="T11" s="157">
        <f t="shared" si="10"/>
        <v>4536.3606052844307</v>
      </c>
      <c r="U11" s="157">
        <f t="shared" si="10"/>
        <v>4626.7959371417437</v>
      </c>
      <c r="V11" s="157">
        <f t="shared" si="10"/>
        <v>4705.6823838620076</v>
      </c>
    </row>
    <row r="12" spans="1:24" x14ac:dyDescent="0.2">
      <c r="A12" s="133" t="str">
        <f>'3M-BS'!A19</f>
        <v>Finished Goods</v>
      </c>
      <c r="B12" s="147">
        <f>VLOOKUP($A12,'3M-BS'!$A$12:$K$79,11, FALSE)</f>
        <v>1629</v>
      </c>
      <c r="C12" s="147">
        <f>VLOOKUP($A12,'3M-BS'!$A$12:$K$79,10, FALSE)</f>
        <v>1915</v>
      </c>
      <c r="D12" s="147">
        <f>VLOOKUP($A12,'3M-BS'!$A$12:$K$79,9, FALSE)</f>
        <v>2120</v>
      </c>
      <c r="E12" s="147">
        <f>VLOOKUP($A12,'3M-BS'!$A$12:$K$79,8, FALSE)</f>
        <v>2003</v>
      </c>
      <c r="F12" s="147">
        <f>VLOOKUP($A12,'3M-BS'!$A$12:$K$79,7, FALSE)</f>
        <v>2081</v>
      </c>
      <c r="G12" s="147">
        <f>VLOOKUP($A12,'3M-BS'!$A$12:$K$79,6, FALSE)</f>
        <v>2196</v>
      </c>
      <c r="H12" s="147">
        <f>VLOOKUP($A12,'3M-BS'!$A$12:$K$79,5, FALSE)</f>
        <v>2497</v>
      </c>
      <c r="I12" s="147">
        <f>VLOOKUP($A12,'3M-BS'!$A$12:$K$79,4, FALSE)</f>
        <v>1842</v>
      </c>
      <c r="J12" s="147">
        <f>VLOOKUP($A12,'3M-BS'!$A$12:$K$79,3, FALSE)</f>
        <v>1849</v>
      </c>
      <c r="K12" s="148">
        <f>VLOOKUP($A12,'3M-BS'!$A$12:$K$79,2, FALSE)</f>
        <v>1744</v>
      </c>
      <c r="L12" s="155">
        <f>$K$12/$K$11*L$11</f>
        <v>1769.5350456950459</v>
      </c>
      <c r="M12" s="155">
        <f>$K$12/$K$11*M$11</f>
        <v>1823.6380783231964</v>
      </c>
      <c r="N12" s="155">
        <f>$K$12/$K$11*N$11</f>
        <v>1874.1035671674804</v>
      </c>
      <c r="O12" s="155">
        <f t="shared" ref="O12:V12" si="11">$K$12/$K$11*O$11</f>
        <v>1936.3682972616834</v>
      </c>
      <c r="P12" s="155">
        <f t="shared" si="11"/>
        <v>1995.0621320607543</v>
      </c>
      <c r="Q12" s="155">
        <f t="shared" si="11"/>
        <v>2035.5902720184388</v>
      </c>
      <c r="R12" s="155">
        <f t="shared" si="11"/>
        <v>2071.0803517103177</v>
      </c>
      <c r="S12" s="155">
        <f t="shared" si="11"/>
        <v>2118.5566419923816</v>
      </c>
      <c r="T12" s="155">
        <f t="shared" si="11"/>
        <v>2160.9977862922829</v>
      </c>
      <c r="U12" s="155">
        <f t="shared" si="11"/>
        <v>2204.0786982723848</v>
      </c>
      <c r="V12" s="155">
        <f t="shared" si="11"/>
        <v>2241.6580380921446</v>
      </c>
    </row>
    <row r="13" spans="1:24" x14ac:dyDescent="0.2">
      <c r="A13" s="133" t="str">
        <f>'3M-BS'!A20</f>
        <v>Work in Progress</v>
      </c>
      <c r="B13" s="147">
        <f>VLOOKUP($A13,'3M-BS'!$A$12:$K$79,11, FALSE)</f>
        <v>1039</v>
      </c>
      <c r="C13" s="147">
        <f>VLOOKUP($A13,'3M-BS'!$A$12:$K$79,10, FALSE)</f>
        <v>1218</v>
      </c>
      <c r="D13" s="147">
        <f>VLOOKUP($A13,'3M-BS'!$A$12:$K$79,9, FALSE)</f>
        <v>1292</v>
      </c>
      <c r="E13" s="147">
        <f>VLOOKUP($A13,'3M-BS'!$A$12:$K$79,8, FALSE)</f>
        <v>1194</v>
      </c>
      <c r="F13" s="147">
        <f>VLOOKUP($A13,'3M-BS'!$A$12:$K$79,7, FALSE)</f>
        <v>1226</v>
      </c>
      <c r="G13" s="147">
        <f>VLOOKUP($A13,'3M-BS'!$A$12:$K$79,6, FALSE)</f>
        <v>1577</v>
      </c>
      <c r="H13" s="147">
        <f>VLOOKUP($A13,'3M-BS'!$A$12:$K$79,5, FALSE)</f>
        <v>1606</v>
      </c>
      <c r="I13" s="147">
        <f>VLOOKUP($A13,'3M-BS'!$A$12:$K$79,4, FALSE)</f>
        <v>1242</v>
      </c>
      <c r="J13" s="147">
        <f>VLOOKUP($A13,'3M-BS'!$A$12:$K$79,3, FALSE)</f>
        <v>1051</v>
      </c>
      <c r="K13" s="148">
        <f>VLOOKUP($A13,'3M-BS'!$A$12:$K$79,2, FALSE)</f>
        <v>1126</v>
      </c>
      <c r="L13" s="155">
        <f>$K13/$K$11*L$11</f>
        <v>1142.4865031265031</v>
      </c>
      <c r="M13" s="155">
        <f>$K13/$K$11*M$11</f>
        <v>1177.4177042384858</v>
      </c>
      <c r="N13" s="155">
        <f>$K13/$K$11*N$11</f>
        <v>1210.0003535725818</v>
      </c>
      <c r="O13" s="155">
        <f t="shared" ref="O13:V14" si="12">$K13/$K$11*O$11</f>
        <v>1250.2010910072565</v>
      </c>
      <c r="P13" s="155">
        <f t="shared" si="12"/>
        <v>1288.0963077410604</v>
      </c>
      <c r="Q13" s="155">
        <f t="shared" si="12"/>
        <v>1314.2629852596112</v>
      </c>
      <c r="R13" s="155">
        <f t="shared" si="12"/>
        <v>1337.1768784551707</v>
      </c>
      <c r="S13" s="155">
        <f t="shared" si="12"/>
        <v>1367.8295750478335</v>
      </c>
      <c r="T13" s="155">
        <f t="shared" si="12"/>
        <v>1395.2313689020127</v>
      </c>
      <c r="U13" s="155">
        <f t="shared" si="12"/>
        <v>1423.0462237698998</v>
      </c>
      <c r="V13" s="155">
        <f t="shared" si="12"/>
        <v>1447.3090314746298</v>
      </c>
    </row>
    <row r="14" spans="1:24" x14ac:dyDescent="0.2">
      <c r="A14" s="133" t="str">
        <f>'3M-BS'!A21</f>
        <v>Raw Materials</v>
      </c>
      <c r="B14" s="147">
        <f>VLOOKUP($A14,'3M-BS'!$A$12:$K$79,11, FALSE)</f>
        <v>717</v>
      </c>
      <c r="C14" s="147">
        <f>VLOOKUP($A14,'3M-BS'!$A$12:$K$79,10, FALSE)</f>
        <v>901</v>
      </c>
      <c r="D14" s="147">
        <f>VLOOKUP($A14,'3M-BS'!$A$12:$K$79,9, FALSE)</f>
        <v>954</v>
      </c>
      <c r="E14" s="147">
        <f>VLOOKUP($A14,'3M-BS'!$A$12:$K$79,8, FALSE)</f>
        <v>937</v>
      </c>
      <c r="F14" s="147">
        <f>VLOOKUP($A14,'3M-BS'!$A$12:$K$79,7, FALSE)</f>
        <v>932</v>
      </c>
      <c r="G14" s="147">
        <f>VLOOKUP($A14,'3M-BS'!$A$12:$K$79,6, FALSE)</f>
        <v>1212</v>
      </c>
      <c r="H14" s="147">
        <f>VLOOKUP($A14,'3M-BS'!$A$12:$K$79,5, FALSE)</f>
        <v>1269</v>
      </c>
      <c r="I14" s="147">
        <f>VLOOKUP($A14,'3M-BS'!$A$12:$K$79,4, FALSE)</f>
        <v>860</v>
      </c>
      <c r="J14" s="147">
        <f>VLOOKUP($A14,'3M-BS'!$A$12:$K$79,3, FALSE)</f>
        <v>798</v>
      </c>
      <c r="K14" s="148">
        <f>VLOOKUP($A14,'3M-BS'!$A$12:$K$79,2, FALSE)</f>
        <v>791</v>
      </c>
      <c r="L14" s="155">
        <f>$K14/$K$11*L$11</f>
        <v>802.58154882154884</v>
      </c>
      <c r="M14" s="155">
        <f t="shared" ref="M14:N14" si="13">$K14/$K$11*M$11</f>
        <v>827.12025226700018</v>
      </c>
      <c r="N14" s="155">
        <f t="shared" si="13"/>
        <v>850.00912937470002</v>
      </c>
      <c r="O14" s="155">
        <f>$K14/$K$11*O$11</f>
        <v>878.2496118887567</v>
      </c>
      <c r="P14" s="155">
        <f t="shared" si="12"/>
        <v>904.87049682342695</v>
      </c>
      <c r="Q14" s="155">
        <f t="shared" si="12"/>
        <v>923.2522392010236</v>
      </c>
      <c r="R14" s="155">
        <f t="shared" si="12"/>
        <v>939.34894392365891</v>
      </c>
      <c r="S14" s="155">
        <f t="shared" si="12"/>
        <v>960.88205494035196</v>
      </c>
      <c r="T14" s="155">
        <f t="shared" si="12"/>
        <v>980.1314500901351</v>
      </c>
      <c r="U14" s="155">
        <f t="shared" si="12"/>
        <v>999.67101509945894</v>
      </c>
      <c r="V14" s="155">
        <f t="shared" si="12"/>
        <v>1016.7153142952329</v>
      </c>
    </row>
    <row r="15" spans="1:24" x14ac:dyDescent="0.2">
      <c r="A15" s="132" t="str">
        <f>'3M-BS'!A22</f>
        <v>Other Current Assets</v>
      </c>
      <c r="B15" s="145">
        <f>VLOOKUP($A15,'3M-BS'!$A$12:$K$79,11, FALSE)</f>
        <v>1271</v>
      </c>
      <c r="C15" s="145">
        <f>VLOOKUP($A15,'3M-BS'!$A$12:$K$79,10, FALSE)</f>
        <v>1203</v>
      </c>
      <c r="D15" s="145">
        <f>VLOOKUP($A15,'3M-BS'!$A$12:$K$79,9, FALSE)</f>
        <v>1090</v>
      </c>
      <c r="E15" s="145">
        <f>VLOOKUP($A15,'3M-BS'!$A$12:$K$79,8, FALSE)</f>
        <v>1125</v>
      </c>
      <c r="F15" s="145">
        <f>VLOOKUP($A15,'3M-BS'!$A$12:$K$79,7, FALSE)</f>
        <v>1000</v>
      </c>
      <c r="G15" s="145">
        <f>VLOOKUP($A15,'3M-BS'!$A$12:$K$79,6, FALSE)</f>
        <v>993</v>
      </c>
      <c r="H15" s="145">
        <f>VLOOKUP($A15,'3M-BS'!$A$12:$K$79,5, FALSE)</f>
        <v>891</v>
      </c>
      <c r="I15" s="145">
        <f>VLOOKUP($A15,'3M-BS'!$A$12:$K$79,4, FALSE)</f>
        <v>3049</v>
      </c>
      <c r="J15" s="145">
        <f>VLOOKUP($A15,'3M-BS'!$A$12:$K$79,3, FALSE)</f>
        <v>1264</v>
      </c>
      <c r="K15" s="146">
        <f>VLOOKUP($A15,'3M-BS'!$A$12:$K$79,2, FALSE)</f>
        <v>3260</v>
      </c>
      <c r="L15" s="157">
        <f>L16+L17</f>
        <v>3307.7317941317942</v>
      </c>
      <c r="M15" s="157">
        <f t="shared" ref="M15:V15" si="14">M16+M17</f>
        <v>3440.0410658970659</v>
      </c>
      <c r="N15" s="157">
        <f t="shared" si="14"/>
        <v>3577.6427085329487</v>
      </c>
      <c r="O15" s="157">
        <f t="shared" si="14"/>
        <v>3720.7484168742662</v>
      </c>
      <c r="P15" s="157">
        <f t="shared" si="14"/>
        <v>3869.5783535492374</v>
      </c>
      <c r="Q15" s="157">
        <f t="shared" si="14"/>
        <v>3985.6657041557146</v>
      </c>
      <c r="R15" s="157">
        <f t="shared" si="14"/>
        <v>4105.2356752803862</v>
      </c>
      <c r="S15" s="157">
        <f t="shared" si="14"/>
        <v>4228.3927455387984</v>
      </c>
      <c r="T15" s="157">
        <f t="shared" si="14"/>
        <v>4355.2445279049625</v>
      </c>
      <c r="U15" s="157">
        <f t="shared" si="14"/>
        <v>4485.9018637421104</v>
      </c>
      <c r="V15" s="157">
        <f t="shared" si="14"/>
        <v>4620.4789196543752</v>
      </c>
    </row>
    <row r="16" spans="1:24" x14ac:dyDescent="0.2">
      <c r="A16" s="133" t="str">
        <f>'3M-BS'!A23</f>
        <v>Prepaid Expenses</v>
      </c>
      <c r="B16" s="147">
        <f>VLOOKUP($A16,'3M-BS'!$A$12:$K$79,11, FALSE)</f>
        <v>0</v>
      </c>
      <c r="C16" s="147">
        <f>VLOOKUP($A16,'3M-BS'!$A$12:$K$79,10, FALSE)</f>
        <v>937</v>
      </c>
      <c r="D16" s="147">
        <f>VLOOKUP($A16,'3M-BS'!$A$12:$K$79,9, FALSE)</f>
        <v>741</v>
      </c>
      <c r="E16" s="147">
        <f>VLOOKUP($A16,'3M-BS'!$A$12:$K$79,8, FALSE)</f>
        <v>704</v>
      </c>
      <c r="F16" s="147">
        <f>VLOOKUP($A16,'3M-BS'!$A$12:$K$79,7, FALSE)</f>
        <v>675</v>
      </c>
      <c r="G16" s="147">
        <f>VLOOKUP($A16,'3M-BS'!$A$12:$K$79,6, FALSE)</f>
        <v>654</v>
      </c>
      <c r="H16" s="147">
        <f>VLOOKUP($A16,'3M-BS'!$A$12:$K$79,5, FALSE)</f>
        <v>435</v>
      </c>
      <c r="I16" s="147">
        <f>VLOOKUP($A16,'3M-BS'!$A$12:$K$79,4, FALSE)</f>
        <v>344</v>
      </c>
      <c r="J16" s="147">
        <f>VLOOKUP($A16,'3M-BS'!$A$12:$K$79,3, FALSE)</f>
        <v>436</v>
      </c>
      <c r="K16" s="148">
        <f>VLOOKUP($A16,'3M-BS'!$A$12:$K$79,2, FALSE)</f>
        <v>391</v>
      </c>
      <c r="L16" s="155">
        <f>$K$16/$K$85*L85</f>
        <v>396.72488696488699</v>
      </c>
      <c r="M16" s="155">
        <f t="shared" ref="M16:V16" si="15">$K$16/$K$85*M85</f>
        <v>412.59388244348247</v>
      </c>
      <c r="N16" s="155">
        <f t="shared" si="15"/>
        <v>429.09763774122177</v>
      </c>
      <c r="O16" s="155">
        <f t="shared" si="15"/>
        <v>446.2615432508706</v>
      </c>
      <c r="P16" s="155">
        <f t="shared" si="15"/>
        <v>464.11200498090545</v>
      </c>
      <c r="Q16" s="155">
        <f t="shared" si="15"/>
        <v>478.03536513033271</v>
      </c>
      <c r="R16" s="155">
        <f t="shared" si="15"/>
        <v>492.37642608424267</v>
      </c>
      <c r="S16" s="155">
        <f t="shared" si="15"/>
        <v>507.14771886677005</v>
      </c>
      <c r="T16" s="155">
        <f t="shared" si="15"/>
        <v>522.36215043277321</v>
      </c>
      <c r="U16" s="155">
        <f t="shared" si="15"/>
        <v>538.03301494575624</v>
      </c>
      <c r="V16" s="155">
        <f t="shared" si="15"/>
        <v>554.17400539412904</v>
      </c>
    </row>
    <row r="17" spans="1:22" x14ac:dyDescent="0.2">
      <c r="A17" s="133" t="str">
        <f>'3M-BS'!A24</f>
        <v>Miscellaneous Current Assets</v>
      </c>
      <c r="B17" s="147">
        <f>VLOOKUP($A17,'3M-BS'!$A$12:$K$79,11, FALSE)</f>
        <v>1271</v>
      </c>
      <c r="C17" s="147">
        <f>VLOOKUP($A17,'3M-BS'!$A$12:$K$79,10, FALSE)</f>
        <v>266</v>
      </c>
      <c r="D17" s="147">
        <f>VLOOKUP($A17,'3M-BS'!$A$12:$K$79,9, FALSE)</f>
        <v>349</v>
      </c>
      <c r="E17" s="147">
        <f>VLOOKUP($A17,'3M-BS'!$A$12:$K$79,8, FALSE)</f>
        <v>421</v>
      </c>
      <c r="F17" s="147">
        <f>VLOOKUP($A17,'3M-BS'!$A$12:$K$79,7, FALSE)</f>
        <v>325</v>
      </c>
      <c r="G17" s="147">
        <f>VLOOKUP($A17,'3M-BS'!$A$12:$K$79,6, FALSE)</f>
        <v>339</v>
      </c>
      <c r="H17" s="147">
        <f>VLOOKUP($A17,'3M-BS'!$A$12:$K$79,5, FALSE)</f>
        <v>456</v>
      </c>
      <c r="I17" s="147">
        <f>VLOOKUP($A17,'3M-BS'!$A$12:$K$79,4, FALSE)</f>
        <v>2705</v>
      </c>
      <c r="J17" s="147">
        <f>VLOOKUP($A17,'3M-BS'!$A$12:$K$79,3, FALSE)</f>
        <v>828</v>
      </c>
      <c r="K17" s="148">
        <f>VLOOKUP($A17,'3M-BS'!$A$12:$K$79,2, FALSE)</f>
        <v>2869</v>
      </c>
      <c r="L17" s="155">
        <f>$K$17/$K$85*L85</f>
        <v>2911.0069071669072</v>
      </c>
      <c r="M17" s="155">
        <f t="shared" ref="M17:V17" si="16">$K$17/$K$85*M85</f>
        <v>3027.4471834535834</v>
      </c>
      <c r="N17" s="155">
        <f t="shared" si="16"/>
        <v>3148.5450707917271</v>
      </c>
      <c r="O17" s="155">
        <f t="shared" si="16"/>
        <v>3274.4868736233957</v>
      </c>
      <c r="P17" s="155">
        <f t="shared" si="16"/>
        <v>3405.4663485683318</v>
      </c>
      <c r="Q17" s="155">
        <f t="shared" si="16"/>
        <v>3507.630339025382</v>
      </c>
      <c r="R17" s="155">
        <f t="shared" si="16"/>
        <v>3612.8592491961435</v>
      </c>
      <c r="S17" s="155">
        <f t="shared" si="16"/>
        <v>3721.2450266720284</v>
      </c>
      <c r="T17" s="155">
        <f t="shared" si="16"/>
        <v>3832.8823774721895</v>
      </c>
      <c r="U17" s="155">
        <f t="shared" si="16"/>
        <v>3947.8688487963545</v>
      </c>
      <c r="V17" s="155">
        <f t="shared" si="16"/>
        <v>4066.3049142602458</v>
      </c>
    </row>
    <row r="18" spans="1:22" x14ac:dyDescent="0.2">
      <c r="A18" s="133"/>
      <c r="B18" s="147"/>
      <c r="C18" s="147"/>
      <c r="D18" s="147"/>
      <c r="E18" s="147"/>
      <c r="F18" s="147"/>
      <c r="G18" s="147"/>
      <c r="H18" s="147"/>
      <c r="I18" s="147"/>
      <c r="J18" s="147"/>
      <c r="K18" s="148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</row>
    <row r="19" spans="1:22" x14ac:dyDescent="0.2">
      <c r="A19" s="132" t="str">
        <f>'3M-BS'!A26</f>
        <v>Net Property, Plant &amp; Equipment</v>
      </c>
      <c r="B19" s="145">
        <f>VLOOKUP($A19,'3M-BS'!$A$12:$K$79,11, FALSE)</f>
        <v>8516</v>
      </c>
      <c r="C19" s="145">
        <f>VLOOKUP($A19,'3M-BS'!$A$12:$K$79,10, FALSE)</f>
        <v>8866</v>
      </c>
      <c r="D19" s="145">
        <f>VLOOKUP($A19,'3M-BS'!$A$12:$K$79,9, FALSE)</f>
        <v>8738</v>
      </c>
      <c r="E19" s="145">
        <f>VLOOKUP($A19,'3M-BS'!$A$12:$K$79,8, FALSE)</f>
        <v>10191</v>
      </c>
      <c r="F19" s="145">
        <f>VLOOKUP($A19,'3M-BS'!$A$12:$K$79,7, FALSE)</f>
        <v>10285</v>
      </c>
      <c r="G19" s="145">
        <f>VLOOKUP($A19,'3M-BS'!$A$12:$K$79,6, FALSE)</f>
        <v>10287</v>
      </c>
      <c r="H19" s="145">
        <f>VLOOKUP($A19,'3M-BS'!$A$12:$K$79,5, FALSE)</f>
        <v>10007</v>
      </c>
      <c r="I19" s="145">
        <f>VLOOKUP($A19,'3M-BS'!$A$12:$K$79,4, FALSE)</f>
        <v>8347</v>
      </c>
      <c r="J19" s="145">
        <f>VLOOKUP($A19,'3M-BS'!$A$12:$K$79,3, FALSE)</f>
        <v>7953</v>
      </c>
      <c r="K19" s="146">
        <f>VLOOKUP($A19,'3M-BS'!$A$12:$K$79,2, FALSE)</f>
        <v>7617</v>
      </c>
      <c r="L19" s="167">
        <f>'IS-Reorg'!L103</f>
        <v>7274.8177851621731</v>
      </c>
      <c r="M19" s="167">
        <f>'IS-Reorg'!M103</f>
        <v>6969.4075452129073</v>
      </c>
      <c r="N19" s="167">
        <f>'IS-Reorg'!N103</f>
        <v>6700.2217886084654</v>
      </c>
      <c r="O19" s="167">
        <f>'IS-Reorg'!O103</f>
        <v>6466.771858964923</v>
      </c>
      <c r="P19" s="167">
        <f>'IS-Reorg'!P103</f>
        <v>6268.627059071714</v>
      </c>
      <c r="Q19" s="167">
        <f>'IS-Reorg'!Q103</f>
        <v>6092.5454248814131</v>
      </c>
      <c r="R19" s="167">
        <f>'IS-Reorg'!R103</f>
        <v>5938.0685509771174</v>
      </c>
      <c r="S19" s="167">
        <f>'IS-Reorg'!S103</f>
        <v>5804.7690917949367</v>
      </c>
      <c r="T19" s="167">
        <f>'IS-Reorg'!T103</f>
        <v>5692.2499009389649</v>
      </c>
      <c r="U19" s="167">
        <f>'IS-Reorg'!U103</f>
        <v>5600.1432163749196</v>
      </c>
      <c r="V19" s="167">
        <f>'IS-Reorg'!V103</f>
        <v>5528.1098900108555</v>
      </c>
    </row>
    <row r="20" spans="1:22" x14ac:dyDescent="0.2">
      <c r="A20" s="133" t="str">
        <f>'3M-BS'!A27</f>
        <v>Property, Plant &amp; Equipment - Gross</v>
      </c>
      <c r="B20" s="147">
        <f>VLOOKUP($A20,'3M-BS'!$A$12:$K$79,11, FALSE)</f>
        <v>23499</v>
      </c>
      <c r="C20" s="147">
        <f>VLOOKUP($A20,'3M-BS'!$A$12:$K$79,10, FALSE)</f>
        <v>24914</v>
      </c>
      <c r="D20" s="147">
        <f>VLOOKUP($A20,'3M-BS'!$A$12:$K$79,9, FALSE)</f>
        <v>24873</v>
      </c>
      <c r="E20" s="147">
        <f>VLOOKUP($A20,'3M-BS'!$A$12:$K$79,8, FALSE)</f>
        <v>26982</v>
      </c>
      <c r="F20" s="147">
        <f>VLOOKUP($A20,'3M-BS'!$A$12:$K$79,7, FALSE)</f>
        <v>27514</v>
      </c>
      <c r="G20" s="147">
        <f>VLOOKUP($A20,'3M-BS'!$A$12:$K$79,6, FALSE)</f>
        <v>28071</v>
      </c>
      <c r="H20" s="147">
        <f>VLOOKUP($A20,'3M-BS'!$A$12:$K$79,5, FALSE)</f>
        <v>26827</v>
      </c>
      <c r="I20" s="147">
        <f>VLOOKUP($A20,'3M-BS'!$A$12:$K$79,4, FALSE)</f>
        <v>24151</v>
      </c>
      <c r="J20" s="147">
        <f>VLOOKUP($A20,'3M-BS'!$A$12:$K$79,3, FALSE)</f>
        <v>23971</v>
      </c>
      <c r="K20" s="148">
        <f>VLOOKUP($A20,'3M-BS'!$A$12:$K$79,2, FALSE)</f>
        <v>24438</v>
      </c>
      <c r="L20" s="166">
        <f>'IS-Reorg'!L112</f>
        <v>24560.48</v>
      </c>
      <c r="M20" s="166">
        <f>'IS-Reorg'!M112</f>
        <v>24722.060799999999</v>
      </c>
      <c r="N20" s="166">
        <f>'IS-Reorg'!N112</f>
        <v>24922.938368000003</v>
      </c>
      <c r="O20" s="166">
        <f>'IS-Reorg'!O112</f>
        <v>25163.371233280002</v>
      </c>
      <c r="P20" s="166">
        <f>'IS-Reorg'!P112</f>
        <v>25443.680799948801</v>
      </c>
      <c r="Q20" s="166">
        <f>'IS-Reorg'!Q112</f>
        <v>25751.383316430849</v>
      </c>
      <c r="R20" s="166">
        <f>'IS-Reorg'!R112</f>
        <v>26086.541224708017</v>
      </c>
      <c r="S20" s="166">
        <f>'IS-Reorg'!S112</f>
        <v>26449.249213882129</v>
      </c>
      <c r="T20" s="166">
        <f>'IS-Reorg'!T112</f>
        <v>26839.63397263415</v>
      </c>
      <c r="U20" s="166">
        <f>'IS-Reorg'!U112</f>
        <v>27257.853982855308</v>
      </c>
      <c r="V20" s="166">
        <f>'IS-Reorg'!V112</f>
        <v>27704.099353741414</v>
      </c>
    </row>
    <row r="21" spans="1:22" x14ac:dyDescent="0.2">
      <c r="A21" s="133" t="str">
        <f>'3M-BS'!A28</f>
        <v>Buildings</v>
      </c>
      <c r="B21" s="147">
        <f>VLOOKUP($A21,'3M-BS'!$A$12:$K$79,11, FALSE)</f>
        <v>7252</v>
      </c>
      <c r="C21" s="147">
        <f>VLOOKUP($A21,'3M-BS'!$A$12:$K$79,10, FALSE)</f>
        <v>7681</v>
      </c>
      <c r="D21" s="147">
        <f>VLOOKUP($A21,'3M-BS'!$A$12:$K$79,9, FALSE)</f>
        <v>7517</v>
      </c>
      <c r="E21" s="147">
        <f>VLOOKUP($A21,'3M-BS'!$A$12:$K$79,8, FALSE)</f>
        <v>7877</v>
      </c>
      <c r="F21" s="147">
        <f>VLOOKUP($A21,'3M-BS'!$A$12:$K$79,7, FALSE)</f>
        <v>8021</v>
      </c>
      <c r="G21" s="147">
        <f>VLOOKUP($A21,'3M-BS'!$A$12:$K$79,6, FALSE)</f>
        <v>8086</v>
      </c>
      <c r="H21" s="147">
        <f>VLOOKUP($A21,'3M-BS'!$A$12:$K$79,5, FALSE)</f>
        <v>7560</v>
      </c>
      <c r="I21" s="147">
        <f>VLOOKUP($A21,'3M-BS'!$A$12:$K$79,4, FALSE)</f>
        <v>7031</v>
      </c>
      <c r="J21" s="147">
        <f>VLOOKUP($A21,'3M-BS'!$A$12:$K$79,3, FALSE)</f>
        <v>7432</v>
      </c>
      <c r="K21" s="148">
        <f>VLOOKUP($A21,'3M-BS'!$A$12:$K$79,2, FALSE)</f>
        <v>7729</v>
      </c>
      <c r="L21" s="166">
        <f>$K21/$K$20*L20</f>
        <v>7767.736718225713</v>
      </c>
      <c r="M21" s="166">
        <f t="shared" ref="M21:V21" si="17">$K21/$K$20*M20</f>
        <v>7818.8398364514269</v>
      </c>
      <c r="N21" s="166">
        <f t="shared" si="17"/>
        <v>7882.3713334263039</v>
      </c>
      <c r="O21" s="166">
        <f t="shared" si="17"/>
        <v>7958.4129741395009</v>
      </c>
      <c r="P21" s="166">
        <f t="shared" si="17"/>
        <v>8047.0664089861802</v>
      </c>
      <c r="Q21" s="166">
        <f t="shared" si="17"/>
        <v>8144.3834050533605</v>
      </c>
      <c r="R21" s="166">
        <f t="shared" si="17"/>
        <v>8250.3837108506523</v>
      </c>
      <c r="S21" s="166">
        <f t="shared" si="17"/>
        <v>8365.0972736760359</v>
      </c>
      <c r="T21" s="166">
        <f t="shared" si="17"/>
        <v>8488.5641613261851</v>
      </c>
      <c r="U21" s="166">
        <f t="shared" si="17"/>
        <v>8620.8344968282454</v>
      </c>
      <c r="V21" s="166">
        <f t="shared" si="17"/>
        <v>8761.9684059688752</v>
      </c>
    </row>
    <row r="22" spans="1:22" x14ac:dyDescent="0.2">
      <c r="A22" s="133" t="str">
        <f>'3M-BS'!A29</f>
        <v>Land &amp; Improvements</v>
      </c>
      <c r="B22" s="147">
        <f>VLOOKUP($A22,'3M-BS'!$A$12:$K$79,11, FALSE)</f>
        <v>341</v>
      </c>
      <c r="C22" s="147">
        <f>VLOOKUP($A22,'3M-BS'!$A$12:$K$79,10, FALSE)</f>
        <v>348</v>
      </c>
      <c r="D22" s="147">
        <f>VLOOKUP($A22,'3M-BS'!$A$12:$K$79,9, FALSE)</f>
        <v>340</v>
      </c>
      <c r="E22" s="147">
        <f>VLOOKUP($A22,'3M-BS'!$A$12:$K$79,8, FALSE)</f>
        <v>351</v>
      </c>
      <c r="F22" s="147">
        <f>VLOOKUP($A22,'3M-BS'!$A$12:$K$79,7, FALSE)</f>
        <v>338</v>
      </c>
      <c r="G22" s="147">
        <f>VLOOKUP($A22,'3M-BS'!$A$12:$K$79,6, FALSE)</f>
        <v>312</v>
      </c>
      <c r="H22" s="147">
        <f>VLOOKUP($A22,'3M-BS'!$A$12:$K$79,5, FALSE)</f>
        <v>255</v>
      </c>
      <c r="I22" s="147">
        <f>VLOOKUP($A22,'3M-BS'!$A$12:$K$79,4, FALSE)</f>
        <v>215</v>
      </c>
      <c r="J22" s="147">
        <f>VLOOKUP($A22,'3M-BS'!$A$12:$K$79,3, FALSE)</f>
        <v>200</v>
      </c>
      <c r="K22" s="148">
        <f>VLOOKUP($A22,'3M-BS'!$A$12:$K$79,2, FALSE)</f>
        <v>202</v>
      </c>
      <c r="L22" s="166">
        <f>$K22/$K$20*L$20</f>
        <v>203.01239708650465</v>
      </c>
      <c r="M22" s="166">
        <f>$K22/$K$20*M$20</f>
        <v>204.34799417300925</v>
      </c>
      <c r="N22" s="166">
        <f t="shared" ref="N22:V24" si="18">$K22/$K$20*N$20</f>
        <v>206.00841109485231</v>
      </c>
      <c r="O22" s="166">
        <f t="shared" si="18"/>
        <v>207.99578480737216</v>
      </c>
      <c r="P22" s="166">
        <f t="shared" si="18"/>
        <v>210.31277197764376</v>
      </c>
      <c r="Q22" s="166">
        <f t="shared" si="18"/>
        <v>212.85618421798151</v>
      </c>
      <c r="R22" s="166">
        <f t="shared" si="18"/>
        <v>215.62653766228905</v>
      </c>
      <c r="S22" s="166">
        <f t="shared" si="18"/>
        <v>218.62461499321509</v>
      </c>
      <c r="T22" s="166">
        <f t="shared" si="18"/>
        <v>221.85146339602662</v>
      </c>
      <c r="U22" s="166">
        <f t="shared" si="18"/>
        <v>225.30839285280189</v>
      </c>
      <c r="V22" s="166">
        <f t="shared" si="18"/>
        <v>228.99697477108464</v>
      </c>
    </row>
    <row r="23" spans="1:22" x14ac:dyDescent="0.2">
      <c r="A23" s="133" t="str">
        <f>'3M-BS'!A30</f>
        <v>Machinery &amp; Equipment</v>
      </c>
      <c r="B23" s="147">
        <f>VLOOKUP($A23,'3M-BS'!$A$12:$K$79,11, FALSE)</f>
        <v>14935</v>
      </c>
      <c r="C23" s="147">
        <f>VLOOKUP($A23,'3M-BS'!$A$12:$K$79,10, FALSE)</f>
        <v>15907</v>
      </c>
      <c r="D23" s="147">
        <f>VLOOKUP($A23,'3M-BS'!$A$12:$K$79,9, FALSE)</f>
        <v>15680</v>
      </c>
      <c r="E23" s="147">
        <f>VLOOKUP($A23,'3M-BS'!$A$12:$K$79,8, FALSE)</f>
        <v>16586</v>
      </c>
      <c r="F23" s="147">
        <f>VLOOKUP($A23,'3M-BS'!$A$12:$K$79,7, FALSE)</f>
        <v>16866</v>
      </c>
      <c r="G23" s="147">
        <f>VLOOKUP($A23,'3M-BS'!$A$12:$K$79,6, FALSE)</f>
        <v>17305</v>
      </c>
      <c r="H23" s="147">
        <f>VLOOKUP($A23,'3M-BS'!$A$12:$K$79,5, FALSE)</f>
        <v>16455</v>
      </c>
      <c r="I23" s="147">
        <f>VLOOKUP($A23,'3M-BS'!$A$12:$K$79,4, FALSE)</f>
        <v>14716</v>
      </c>
      <c r="J23" s="147">
        <f>VLOOKUP($A23,'3M-BS'!$A$12:$K$79,3, FALSE)</f>
        <v>14780</v>
      </c>
      <c r="K23" s="148">
        <f>VLOOKUP($A23,'3M-BS'!$A$12:$K$79,2, FALSE)</f>
        <v>15328</v>
      </c>
      <c r="L23" s="166">
        <f>$K23/$K$20*L$20</f>
        <v>15404.821893771994</v>
      </c>
      <c r="M23" s="166">
        <f t="shared" ref="M23:M24" si="19">$K23/$K$20*M$20</f>
        <v>15506.168587543989</v>
      </c>
      <c r="N23" s="166">
        <f t="shared" si="18"/>
        <v>15632.16299634602</v>
      </c>
      <c r="O23" s="166">
        <f t="shared" si="18"/>
        <v>15782.96727488812</v>
      </c>
      <c r="P23" s="166">
        <f t="shared" si="18"/>
        <v>15958.783014224373</v>
      </c>
      <c r="Q23" s="166">
        <f t="shared" si="18"/>
        <v>16151.78015689713</v>
      </c>
      <c r="R23" s="166">
        <f t="shared" si="18"/>
        <v>16361.997867760228</v>
      </c>
      <c r="S23" s="166">
        <f t="shared" si="18"/>
        <v>16589.495537702973</v>
      </c>
      <c r="T23" s="166">
        <f t="shared" si="18"/>
        <v>16834.352628387602</v>
      </c>
      <c r="U23" s="166">
        <f t="shared" si="18"/>
        <v>17096.668542810628</v>
      </c>
      <c r="V23" s="166">
        <f t="shared" si="18"/>
        <v>17376.56252124349</v>
      </c>
    </row>
    <row r="24" spans="1:22" x14ac:dyDescent="0.2">
      <c r="A24" s="133" t="str">
        <f>'3M-BS'!A31</f>
        <v>Construction in Progress</v>
      </c>
      <c r="B24" s="147">
        <f>VLOOKUP($A24,'3M-BS'!$A$12:$K$79,11, FALSE)</f>
        <v>809</v>
      </c>
      <c r="C24" s="147">
        <f>VLOOKUP($A24,'3M-BS'!$A$12:$K$79,10, FALSE)</f>
        <v>843</v>
      </c>
      <c r="D24" s="147">
        <f>VLOOKUP($A24,'3M-BS'!$A$12:$K$79,9, FALSE)</f>
        <v>1193</v>
      </c>
      <c r="E24" s="147">
        <f>VLOOKUP($A24,'3M-BS'!$A$12:$K$79,8, FALSE)</f>
        <v>1310</v>
      </c>
      <c r="F24" s="147">
        <f>VLOOKUP($A24,'3M-BS'!$A$12:$K$79,7, FALSE)</f>
        <v>1425</v>
      </c>
      <c r="G24" s="147">
        <f>VLOOKUP($A24,'3M-BS'!$A$12:$K$79,6, FALSE)</f>
        <v>1510</v>
      </c>
      <c r="H24" s="147">
        <f>VLOOKUP($A24,'3M-BS'!$A$12:$K$79,5, FALSE)</f>
        <v>1728</v>
      </c>
      <c r="I24" s="147">
        <f>VLOOKUP($A24,'3M-BS'!$A$12:$K$79,4, FALSE)</f>
        <v>1532</v>
      </c>
      <c r="J24" s="147">
        <f>VLOOKUP($A24,'3M-BS'!$A$12:$K$79,3, FALSE)</f>
        <v>994</v>
      </c>
      <c r="K24" s="148">
        <f>VLOOKUP($A24,'3M-BS'!$A$12:$K$79,2, FALSE)</f>
        <v>663</v>
      </c>
      <c r="L24" s="166">
        <f>$K24/$K$20*L$20</f>
        <v>666.32286766511174</v>
      </c>
      <c r="M24" s="166">
        <f t="shared" si="19"/>
        <v>670.70653533022346</v>
      </c>
      <c r="N24" s="166">
        <f t="shared" si="18"/>
        <v>676.15631958359938</v>
      </c>
      <c r="O24" s="166">
        <f t="shared" si="18"/>
        <v>682.67923429350367</v>
      </c>
      <c r="P24" s="166">
        <f t="shared" si="18"/>
        <v>690.28399911474162</v>
      </c>
      <c r="Q24" s="166">
        <f t="shared" si="18"/>
        <v>698.63193136891948</v>
      </c>
      <c r="R24" s="166">
        <f t="shared" si="18"/>
        <v>707.72472509949318</v>
      </c>
      <c r="S24" s="166">
        <f t="shared" si="18"/>
        <v>717.56494921040394</v>
      </c>
      <c r="T24" s="166">
        <f t="shared" si="18"/>
        <v>728.15604075032502</v>
      </c>
      <c r="U24" s="166">
        <f t="shared" si="18"/>
        <v>739.50229931389924</v>
      </c>
      <c r="V24" s="166">
        <f t="shared" si="18"/>
        <v>751.60888254073814</v>
      </c>
    </row>
    <row r="25" spans="1:22" x14ac:dyDescent="0.2">
      <c r="A25" s="133" t="str">
        <f>'3M-BS'!A32</f>
        <v>Leases</v>
      </c>
      <c r="B25" s="147">
        <f>VLOOKUP($A25,'3M-BS'!$A$12:$K$79,11, FALSE)</f>
        <v>162</v>
      </c>
      <c r="C25" s="147">
        <f>VLOOKUP($A25,'3M-BS'!$A$12:$K$79,10, FALSE)</f>
        <v>135</v>
      </c>
      <c r="D25" s="147">
        <f>VLOOKUP($A25,'3M-BS'!$A$12:$K$79,9, FALSE)</f>
        <v>143</v>
      </c>
      <c r="E25" s="147">
        <f>VLOOKUP($A25,'3M-BS'!$A$12:$K$79,8, FALSE)</f>
        <v>0</v>
      </c>
      <c r="F25" s="147">
        <f>VLOOKUP($A25,'3M-BS'!$A$12:$K$79,7, FALSE)</f>
        <v>0</v>
      </c>
      <c r="G25" s="147">
        <f>VLOOKUP($A25,'3M-BS'!$A$12:$K$79,6, FALSE)</f>
        <v>0</v>
      </c>
      <c r="H25" s="147">
        <f>VLOOKUP($A25,'3M-BS'!$A$12:$K$79,5, FALSE)</f>
        <v>0</v>
      </c>
      <c r="I25" s="147">
        <f>VLOOKUP($A25,'3M-BS'!$A$12:$K$79,4, FALSE)</f>
        <v>0</v>
      </c>
      <c r="J25" s="147">
        <f>VLOOKUP($A25,'3M-BS'!$A$12:$K$79,3, FALSE)</f>
        <v>0</v>
      </c>
      <c r="K25" s="148">
        <f>VLOOKUP($A25,'3M-BS'!$A$12:$K$79,2, FALSE)</f>
        <v>0</v>
      </c>
      <c r="L25" s="155">
        <f>K25</f>
        <v>0</v>
      </c>
      <c r="M25" s="155">
        <f t="shared" ref="M25:V25" si="20">L25</f>
        <v>0</v>
      </c>
      <c r="N25" s="155">
        <f t="shared" si="20"/>
        <v>0</v>
      </c>
      <c r="O25" s="155">
        <f t="shared" si="20"/>
        <v>0</v>
      </c>
      <c r="P25" s="155">
        <f t="shared" si="20"/>
        <v>0</v>
      </c>
      <c r="Q25" s="155">
        <f t="shared" si="20"/>
        <v>0</v>
      </c>
      <c r="R25" s="155">
        <f t="shared" si="20"/>
        <v>0</v>
      </c>
      <c r="S25" s="155">
        <f t="shared" si="20"/>
        <v>0</v>
      </c>
      <c r="T25" s="155">
        <f t="shared" si="20"/>
        <v>0</v>
      </c>
      <c r="U25" s="155">
        <f t="shared" si="20"/>
        <v>0</v>
      </c>
      <c r="V25" s="155">
        <f t="shared" si="20"/>
        <v>0</v>
      </c>
    </row>
    <row r="26" spans="1:22" x14ac:dyDescent="0.2">
      <c r="A26" s="133" t="str">
        <f>'3M-BS'!A33</f>
        <v>Operating Lease Right-of-Use Assets</v>
      </c>
      <c r="B26" s="147">
        <f>VLOOKUP($A26,'3M-BS'!$A$12:$K$79,11, FALSE)</f>
        <v>0</v>
      </c>
      <c r="C26" s="147">
        <f>VLOOKUP($A26,'3M-BS'!$A$12:$K$79,10, FALSE)</f>
        <v>0</v>
      </c>
      <c r="D26" s="147">
        <f>VLOOKUP($A26,'3M-BS'!$A$12:$K$79,9, FALSE)</f>
        <v>0</v>
      </c>
      <c r="E26" s="147">
        <f>VLOOKUP($A26,'3M-BS'!$A$12:$K$79,8, FALSE)</f>
        <v>858</v>
      </c>
      <c r="F26" s="147">
        <f>VLOOKUP($A26,'3M-BS'!$A$12:$K$79,7, FALSE)</f>
        <v>864</v>
      </c>
      <c r="G26" s="147">
        <f>VLOOKUP($A26,'3M-BS'!$A$12:$K$79,6, FALSE)</f>
        <v>858</v>
      </c>
      <c r="H26" s="147">
        <f>VLOOKUP($A26,'3M-BS'!$A$12:$K$79,5, FALSE)</f>
        <v>829</v>
      </c>
      <c r="I26" s="147">
        <f>VLOOKUP($A26,'3M-BS'!$A$12:$K$79,4, FALSE)</f>
        <v>657</v>
      </c>
      <c r="J26" s="147">
        <f>VLOOKUP($A26,'3M-BS'!$A$12:$K$79,3, FALSE)</f>
        <v>565</v>
      </c>
      <c r="K26" s="148">
        <f>VLOOKUP($A26,'3M-BS'!$A$12:$K$79,2, FALSE)</f>
        <v>516</v>
      </c>
      <c r="L26" s="166">
        <f>$K26/$K$20*L$20</f>
        <v>518.5861232506752</v>
      </c>
      <c r="M26" s="166">
        <f t="shared" ref="M26:V26" si="21">$K26/$K$20*M$20</f>
        <v>521.99784650135041</v>
      </c>
      <c r="N26" s="166">
        <f t="shared" si="21"/>
        <v>526.23930754922674</v>
      </c>
      <c r="O26" s="166">
        <f t="shared" si="21"/>
        <v>531.31596515150511</v>
      </c>
      <c r="P26" s="166">
        <f t="shared" si="21"/>
        <v>537.2346056458623</v>
      </c>
      <c r="Q26" s="166">
        <f t="shared" si="21"/>
        <v>543.73163889345767</v>
      </c>
      <c r="R26" s="166">
        <f t="shared" si="21"/>
        <v>550.80838333535223</v>
      </c>
      <c r="S26" s="166">
        <f t="shared" si="21"/>
        <v>558.46683829949995</v>
      </c>
      <c r="T26" s="166">
        <f t="shared" si="21"/>
        <v>566.70967877400858</v>
      </c>
      <c r="U26" s="166">
        <f t="shared" si="21"/>
        <v>575.54025104973152</v>
      </c>
      <c r="V26" s="166">
        <f t="shared" si="21"/>
        <v>584.96256921722602</v>
      </c>
    </row>
    <row r="27" spans="1:22" x14ac:dyDescent="0.2">
      <c r="A27" s="133" t="str">
        <f>'3M-BS'!A34</f>
        <v>Accumulated Depreciation</v>
      </c>
      <c r="B27" s="147">
        <f>VLOOKUP($A27,'3M-BS'!$A$12:$K$79,11, FALSE)</f>
        <v>14983</v>
      </c>
      <c r="C27" s="147">
        <f>VLOOKUP($A27,'3M-BS'!$A$12:$K$79,10, FALSE)</f>
        <v>16048</v>
      </c>
      <c r="D27" s="147">
        <f>VLOOKUP($A27,'3M-BS'!$A$12:$K$79,9, FALSE)</f>
        <v>16135</v>
      </c>
      <c r="E27" s="147">
        <f>VLOOKUP($A27,'3M-BS'!$A$12:$K$79,8, FALSE)</f>
        <v>16791</v>
      </c>
      <c r="F27" s="147">
        <f>VLOOKUP($A27,'3M-BS'!$A$12:$K$79,7, FALSE)</f>
        <v>17229</v>
      </c>
      <c r="G27" s="147">
        <f>VLOOKUP($A27,'3M-BS'!$A$12:$K$79,6, FALSE)</f>
        <v>17784</v>
      </c>
      <c r="H27" s="147">
        <f>VLOOKUP($A27,'3M-BS'!$A$12:$K$79,5, FALSE)</f>
        <v>16820</v>
      </c>
      <c r="I27" s="147">
        <f>VLOOKUP($A27,'3M-BS'!$A$12:$K$79,4, FALSE)</f>
        <v>15804</v>
      </c>
      <c r="J27" s="147">
        <f>VLOOKUP($A27,'3M-BS'!$A$12:$K$79,3, FALSE)</f>
        <v>16018</v>
      </c>
      <c r="K27" s="148">
        <f>VLOOKUP($A27,'3M-BS'!$A$12:$K$79,2, FALSE)</f>
        <v>16821</v>
      </c>
      <c r="L27" s="172">
        <f>'IS-Reorg'!L119</f>
        <v>17285.662214837826</v>
      </c>
      <c r="M27" s="172">
        <f>'IS-Reorg'!M119</f>
        <v>17752.653254787092</v>
      </c>
      <c r="N27" s="172">
        <f>'IS-Reorg'!N119</f>
        <v>18222.716579391537</v>
      </c>
      <c r="O27" s="172">
        <f>'IS-Reorg'!O119</f>
        <v>18696.599374315079</v>
      </c>
      <c r="P27" s="172">
        <f>'IS-Reorg'!P119</f>
        <v>19175.053740877087</v>
      </c>
      <c r="Q27" s="172">
        <f>'IS-Reorg'!Q119</f>
        <v>19658.837891549436</v>
      </c>
      <c r="R27" s="172">
        <f>'IS-Reorg'!R119</f>
        <v>20148.472673730899</v>
      </c>
      <c r="S27" s="172">
        <f>'IS-Reorg'!S119</f>
        <v>20644.480122087192</v>
      </c>
      <c r="T27" s="172">
        <f>'IS-Reorg'!T119</f>
        <v>21147.384071695185</v>
      </c>
      <c r="U27" s="172">
        <f>'IS-Reorg'!U119</f>
        <v>21657.710766480388</v>
      </c>
      <c r="V27" s="172">
        <f>'IS-Reorg'!V119</f>
        <v>22175.989463730559</v>
      </c>
    </row>
    <row r="28" spans="1:22" x14ac:dyDescent="0.2">
      <c r="A28" s="132" t="s">
        <v>137</v>
      </c>
      <c r="B28" s="145">
        <f>VLOOKUP($A28,'3M-BS'!$A$12:$K$79,11, FALSE)</f>
        <v>256</v>
      </c>
      <c r="C28" s="145">
        <f>VLOOKUP($A28,'3M-BS'!$A$12:$K$79,10, FALSE)</f>
        <v>191</v>
      </c>
      <c r="D28" s="145">
        <f>VLOOKUP($A28,'3M-BS'!$A$12:$K$79,9, FALSE)</f>
        <v>246</v>
      </c>
      <c r="E28" s="145">
        <f>VLOOKUP($A28,'3M-BS'!$A$12:$K$79,8, FALSE)</f>
        <v>263</v>
      </c>
      <c r="F28" s="145">
        <f>VLOOKUP($A28,'3M-BS'!$A$12:$K$79,7, FALSE)</f>
        <v>224</v>
      </c>
      <c r="G28" s="145">
        <f>VLOOKUP($A28,'3M-BS'!$A$12:$K$79,6, FALSE)</f>
        <v>303</v>
      </c>
      <c r="H28" s="145">
        <f>VLOOKUP($A28,'3M-BS'!$A$12:$K$79,5, FALSE)</f>
        <v>976</v>
      </c>
      <c r="I28" s="145">
        <f>VLOOKUP($A28,'3M-BS'!$A$12:$K$79,4, FALSE)</f>
        <v>221</v>
      </c>
      <c r="J28" s="145">
        <f>VLOOKUP($A28,'3M-BS'!$A$12:$K$79,3, FALSE)</f>
        <v>2583</v>
      </c>
      <c r="K28" s="146">
        <f>VLOOKUP($A28,'3M-BS'!$A$12:$K$79,2, FALSE)</f>
        <v>161</v>
      </c>
      <c r="L28" s="157">
        <f>L29+L30</f>
        <v>163.35730639730639</v>
      </c>
      <c r="M28" s="157">
        <f t="shared" ref="M28:V28" si="22">M29+M30</f>
        <v>169.89159865319866</v>
      </c>
      <c r="N28" s="157">
        <f t="shared" si="22"/>
        <v>176.6872625993266</v>
      </c>
      <c r="O28" s="157">
        <f t="shared" si="22"/>
        <v>183.75475310329966</v>
      </c>
      <c r="P28" s="157">
        <f t="shared" si="22"/>
        <v>191.10494322743165</v>
      </c>
      <c r="Q28" s="157">
        <f t="shared" si="22"/>
        <v>196.83809152425462</v>
      </c>
      <c r="R28" s="157">
        <f t="shared" si="22"/>
        <v>202.74323426998225</v>
      </c>
      <c r="S28" s="157">
        <f t="shared" si="22"/>
        <v>208.82553129808176</v>
      </c>
      <c r="T28" s="157">
        <f t="shared" si="22"/>
        <v>215.09029723702423</v>
      </c>
      <c r="U28" s="157">
        <f t="shared" si="22"/>
        <v>221.54300615413493</v>
      </c>
      <c r="V28" s="157">
        <f t="shared" si="22"/>
        <v>228.18929633875902</v>
      </c>
    </row>
    <row r="29" spans="1:22" x14ac:dyDescent="0.2">
      <c r="A29" s="133" t="s">
        <v>138</v>
      </c>
      <c r="B29" s="147">
        <f>VLOOKUP($A29,'3M-BS'!$A$12:$K$79,11, FALSE)</f>
        <v>60</v>
      </c>
      <c r="C29" s="147">
        <f>VLOOKUP($A29,'3M-BS'!$A$12:$K$79,10, FALSE)</f>
        <v>70</v>
      </c>
      <c r="D29" s="147">
        <f>VLOOKUP($A29,'3M-BS'!$A$12:$K$79,9, FALSE)</f>
        <v>70</v>
      </c>
      <c r="E29" s="147">
        <f>VLOOKUP($A29,'3M-BS'!$A$12:$K$79,8, FALSE)</f>
        <v>70</v>
      </c>
      <c r="F29" s="147">
        <f>VLOOKUP($A29,'3M-BS'!$A$12:$K$79,7, FALSE)</f>
        <v>134</v>
      </c>
      <c r="G29" s="147">
        <f>VLOOKUP($A29,'3M-BS'!$A$12:$K$79,6, FALSE)</f>
        <v>129</v>
      </c>
      <c r="H29" s="147">
        <f>VLOOKUP($A29,'3M-BS'!$A$12:$K$79,5, FALSE)</f>
        <v>81</v>
      </c>
      <c r="I29" s="147">
        <f>VLOOKUP($A29,'3M-BS'!$A$12:$K$79,4, FALSE)</f>
        <v>73</v>
      </c>
      <c r="J29" s="147">
        <f>VLOOKUP($A29,'3M-BS'!$A$12:$K$79,3, FALSE)</f>
        <v>75</v>
      </c>
      <c r="K29" s="148">
        <f>VLOOKUP($A29,'3M-BS'!$A$12:$K$79,2, FALSE)</f>
        <v>0</v>
      </c>
      <c r="L29" s="155">
        <f>K29</f>
        <v>0</v>
      </c>
      <c r="M29" s="155">
        <f t="shared" ref="M29:V29" si="23">L29</f>
        <v>0</v>
      </c>
      <c r="N29" s="155">
        <f t="shared" si="23"/>
        <v>0</v>
      </c>
      <c r="O29" s="155">
        <f t="shared" si="23"/>
        <v>0</v>
      </c>
      <c r="P29" s="155">
        <f t="shared" si="23"/>
        <v>0</v>
      </c>
      <c r="Q29" s="155">
        <f t="shared" si="23"/>
        <v>0</v>
      </c>
      <c r="R29" s="155">
        <f t="shared" si="23"/>
        <v>0</v>
      </c>
      <c r="S29" s="155">
        <f t="shared" si="23"/>
        <v>0</v>
      </c>
      <c r="T29" s="155">
        <f t="shared" si="23"/>
        <v>0</v>
      </c>
      <c r="U29" s="155">
        <f t="shared" si="23"/>
        <v>0</v>
      </c>
      <c r="V29" s="155">
        <f t="shared" si="23"/>
        <v>0</v>
      </c>
    </row>
    <row r="30" spans="1:22" x14ac:dyDescent="0.2">
      <c r="A30" s="133" t="s">
        <v>139</v>
      </c>
      <c r="B30" s="147">
        <f>VLOOKUP($A30,'3M-BS'!$A$12:$K$79,11, FALSE)</f>
        <v>196</v>
      </c>
      <c r="C30" s="147">
        <f>VLOOKUP($A30,'3M-BS'!$A$12:$K$79,10, FALSE)</f>
        <v>121</v>
      </c>
      <c r="D30" s="147">
        <f>VLOOKUP($A30,'3M-BS'!$A$12:$K$79,9, FALSE)</f>
        <v>176</v>
      </c>
      <c r="E30" s="147">
        <f>VLOOKUP($A30,'3M-BS'!$A$12:$K$79,8, FALSE)</f>
        <v>193</v>
      </c>
      <c r="F30" s="147">
        <f>VLOOKUP($A30,'3M-BS'!$A$12:$K$79,7, FALSE)</f>
        <v>90</v>
      </c>
      <c r="G30" s="147">
        <f>VLOOKUP($A30,'3M-BS'!$A$12:$K$79,6, FALSE)</f>
        <v>174</v>
      </c>
      <c r="H30" s="147">
        <f>VLOOKUP($A30,'3M-BS'!$A$12:$K$79,5, FALSE)</f>
        <v>895</v>
      </c>
      <c r="I30" s="147">
        <f>VLOOKUP($A30,'3M-BS'!$A$12:$K$79,4, FALSE)</f>
        <v>148</v>
      </c>
      <c r="J30" s="147">
        <f>VLOOKUP($A30,'3M-BS'!$A$12:$K$79,3, FALSE)</f>
        <v>2508</v>
      </c>
      <c r="K30" s="148">
        <f>VLOOKUP($A30,'3M-BS'!$A$12:$K$79,2, FALSE)</f>
        <v>161</v>
      </c>
      <c r="L30" s="155">
        <f>$K$30/$K$85*L85</f>
        <v>163.35730639730639</v>
      </c>
      <c r="M30" s="155">
        <f t="shared" ref="M30:V30" si="24">$K$30/$K$85*M85</f>
        <v>169.89159865319866</v>
      </c>
      <c r="N30" s="155">
        <f t="shared" si="24"/>
        <v>176.6872625993266</v>
      </c>
      <c r="O30" s="155">
        <f t="shared" si="24"/>
        <v>183.75475310329966</v>
      </c>
      <c r="P30" s="155">
        <f t="shared" si="24"/>
        <v>191.10494322743165</v>
      </c>
      <c r="Q30" s="155">
        <f t="shared" si="24"/>
        <v>196.83809152425462</v>
      </c>
      <c r="R30" s="155">
        <f t="shared" si="24"/>
        <v>202.74323426998225</v>
      </c>
      <c r="S30" s="155">
        <f t="shared" si="24"/>
        <v>208.82553129808176</v>
      </c>
      <c r="T30" s="155">
        <f t="shared" si="24"/>
        <v>215.09029723702423</v>
      </c>
      <c r="U30" s="155">
        <f t="shared" si="24"/>
        <v>221.54300615413493</v>
      </c>
      <c r="V30" s="155">
        <f t="shared" si="24"/>
        <v>228.18929633875902</v>
      </c>
    </row>
    <row r="31" spans="1:22" x14ac:dyDescent="0.2">
      <c r="A31" s="132" t="str">
        <f>'3M-BS'!A38</f>
        <v>Intangible Assets</v>
      </c>
      <c r="B31" s="145">
        <f>VLOOKUP($A31,'3M-BS'!$A$12:$K$79,11, FALSE)</f>
        <v>11486</v>
      </c>
      <c r="C31" s="145">
        <f>VLOOKUP($A31,'3M-BS'!$A$12:$K$79,10, FALSE)</f>
        <v>13449</v>
      </c>
      <c r="D31" s="145">
        <f>VLOOKUP($A31,'3M-BS'!$A$12:$K$79,9, FALSE)</f>
        <v>12708</v>
      </c>
      <c r="E31" s="145">
        <f>VLOOKUP($A31,'3M-BS'!$A$12:$K$79,8, FALSE)</f>
        <v>19823</v>
      </c>
      <c r="F31" s="145">
        <f>VLOOKUP($A31,'3M-BS'!$A$12:$K$79,7, FALSE)</f>
        <v>19637</v>
      </c>
      <c r="G31" s="145">
        <f>VLOOKUP($A31,'3M-BS'!$A$12:$K$79,6, FALSE)</f>
        <v>18774</v>
      </c>
      <c r="H31" s="145">
        <f>VLOOKUP($A31,'3M-BS'!$A$12:$K$79,5, FALSE)</f>
        <v>17489</v>
      </c>
      <c r="I31" s="145">
        <f>VLOOKUP($A31,'3M-BS'!$A$12:$K$79,4, FALSE)</f>
        <v>7705</v>
      </c>
      <c r="J31" s="145">
        <f>VLOOKUP($A31,'3M-BS'!$A$12:$K$79,3, FALSE)</f>
        <v>7491</v>
      </c>
      <c r="K31" s="146">
        <f>VLOOKUP($A31,'3M-BS'!$A$12:$K$79,2, FALSE)</f>
        <v>7522</v>
      </c>
      <c r="L31" s="157">
        <f>L32+L33</f>
        <v>7426.4846641151971</v>
      </c>
      <c r="M31" s="157">
        <f t="shared" ref="M31:V31" si="25">M32+M33</f>
        <v>7339.2405697437089</v>
      </c>
      <c r="N31" s="157">
        <f t="shared" si="25"/>
        <v>7259.5514608462545</v>
      </c>
      <c r="O31" s="157">
        <f t="shared" si="25"/>
        <v>7186.7631062576847</v>
      </c>
      <c r="P31" s="157">
        <f t="shared" si="25"/>
        <v>7120.2779285839197</v>
      </c>
      <c r="Q31" s="157">
        <f t="shared" si="25"/>
        <v>7059.5500982146614</v>
      </c>
      <c r="R31" s="157">
        <f t="shared" si="25"/>
        <v>7004.0810521747553</v>
      </c>
      <c r="S31" s="157">
        <f t="shared" si="25"/>
        <v>6953.4154010248858</v>
      </c>
      <c r="T31" s="157">
        <f t="shared" si="25"/>
        <v>6907.13719020811</v>
      </c>
      <c r="U31" s="157">
        <f t="shared" si="25"/>
        <v>6864.8664851486428</v>
      </c>
      <c r="V31" s="157">
        <f t="shared" si="25"/>
        <v>6826.2562520672745</v>
      </c>
    </row>
    <row r="32" spans="1:22" x14ac:dyDescent="0.2">
      <c r="A32" s="133" t="str">
        <f>'3M-BS'!A39</f>
        <v>Goodwill</v>
      </c>
      <c r="B32" s="147">
        <f>VLOOKUP($A32,'3M-BS'!$A$12:$K$79,11, FALSE)</f>
        <v>9166</v>
      </c>
      <c r="C32" s="147">
        <f>VLOOKUP($A32,'3M-BS'!$A$12:$K$79,10, FALSE)</f>
        <v>10513</v>
      </c>
      <c r="D32" s="147">
        <f>VLOOKUP($A32,'3M-BS'!$A$12:$K$79,9, FALSE)</f>
        <v>10051</v>
      </c>
      <c r="E32" s="147">
        <f>VLOOKUP($A32,'3M-BS'!$A$12:$K$79,8, FALSE)</f>
        <v>13444</v>
      </c>
      <c r="F32" s="147">
        <f>VLOOKUP($A32,'3M-BS'!$A$12:$K$79,7, FALSE)</f>
        <v>13802</v>
      </c>
      <c r="G32" s="147">
        <f>VLOOKUP($A32,'3M-BS'!$A$12:$K$79,6, FALSE)</f>
        <v>13486</v>
      </c>
      <c r="H32" s="147">
        <f>VLOOKUP($A32,'3M-BS'!$A$12:$K$79,5, FALSE)</f>
        <v>12790</v>
      </c>
      <c r="I32" s="147">
        <f>VLOOKUP($A32,'3M-BS'!$A$12:$K$79,4, FALSE)</f>
        <v>6382</v>
      </c>
      <c r="J32" s="147">
        <f>VLOOKUP($A32,'3M-BS'!$A$12:$K$79,3, FALSE)</f>
        <v>6281</v>
      </c>
      <c r="K32" s="148">
        <f>VLOOKUP($A32,'3M-BS'!$A$12:$K$79,2, FALSE)</f>
        <v>6419</v>
      </c>
      <c r="L32" s="155">
        <f>K32</f>
        <v>6419</v>
      </c>
      <c r="M32" s="155">
        <f t="shared" ref="M32:V32" si="26">L32</f>
        <v>6419</v>
      </c>
      <c r="N32" s="155">
        <f t="shared" si="26"/>
        <v>6419</v>
      </c>
      <c r="O32" s="155">
        <f t="shared" si="26"/>
        <v>6419</v>
      </c>
      <c r="P32" s="155">
        <f t="shared" si="26"/>
        <v>6419</v>
      </c>
      <c r="Q32" s="155">
        <f t="shared" si="26"/>
        <v>6419</v>
      </c>
      <c r="R32" s="155">
        <f t="shared" si="26"/>
        <v>6419</v>
      </c>
      <c r="S32" s="155">
        <f t="shared" si="26"/>
        <v>6419</v>
      </c>
      <c r="T32" s="155">
        <f t="shared" si="26"/>
        <v>6419</v>
      </c>
      <c r="U32" s="155">
        <f t="shared" si="26"/>
        <v>6419</v>
      </c>
      <c r="V32" s="155">
        <f t="shared" si="26"/>
        <v>6419</v>
      </c>
    </row>
    <row r="33" spans="1:22" x14ac:dyDescent="0.2">
      <c r="A33" s="133" t="str">
        <f>'3M-BS'!A40</f>
        <v>Other Intangible Assets</v>
      </c>
      <c r="B33" s="147">
        <f>VLOOKUP($A33,'3M-BS'!$A$12:$K$79,11, FALSE)</f>
        <v>2320</v>
      </c>
      <c r="C33" s="147">
        <f>VLOOKUP($A33,'3M-BS'!$A$12:$K$79,10, FALSE)</f>
        <v>2936</v>
      </c>
      <c r="D33" s="147">
        <f>VLOOKUP($A33,'3M-BS'!$A$12:$K$79,9, FALSE)</f>
        <v>2657</v>
      </c>
      <c r="E33" s="147">
        <f>VLOOKUP($A33,'3M-BS'!$A$12:$K$79,8, FALSE)</f>
        <v>6379</v>
      </c>
      <c r="F33" s="147">
        <f>VLOOKUP($A33,'3M-BS'!$A$12:$K$79,7, FALSE)</f>
        <v>5835</v>
      </c>
      <c r="G33" s="147">
        <f>VLOOKUP($A33,'3M-BS'!$A$12:$K$79,6, FALSE)</f>
        <v>5288</v>
      </c>
      <c r="H33" s="147">
        <f>VLOOKUP($A33,'3M-BS'!$A$12:$K$79,5, FALSE)</f>
        <v>4699</v>
      </c>
      <c r="I33" s="147">
        <f>VLOOKUP($A33,'3M-BS'!$A$12:$K$79,4, FALSE)</f>
        <v>1323</v>
      </c>
      <c r="J33" s="147">
        <f>VLOOKUP($A33,'3M-BS'!$A$12:$K$79,3, FALSE)</f>
        <v>1210</v>
      </c>
      <c r="K33" s="148">
        <f>VLOOKUP($A33,'3M-BS'!$A$12:$K$79,2, FALSE)</f>
        <v>1103</v>
      </c>
      <c r="L33" s="172">
        <f>'IS-Reorg'!L133</f>
        <v>1007.4846641151969</v>
      </c>
      <c r="M33" s="172">
        <f>'IS-Reorg'!M133</f>
        <v>920.2405697437091</v>
      </c>
      <c r="N33" s="172">
        <f>'IS-Reorg'!N133</f>
        <v>840.55146084625403</v>
      </c>
      <c r="O33" s="172">
        <f>'IS-Reorg'!O133</f>
        <v>767.76310625768474</v>
      </c>
      <c r="P33" s="172">
        <f>'IS-Reorg'!P133</f>
        <v>701.2779285839199</v>
      </c>
      <c r="Q33" s="172">
        <f>'IS-Reorg'!Q133</f>
        <v>640.55009821466149</v>
      </c>
      <c r="R33" s="172">
        <f>'IS-Reorg'!R133</f>
        <v>585.08105217475486</v>
      </c>
      <c r="S33" s="172">
        <f>'IS-Reorg'!S133</f>
        <v>534.41540102488568</v>
      </c>
      <c r="T33" s="172">
        <f>'IS-Reorg'!T133</f>
        <v>488.13719020810987</v>
      </c>
      <c r="U33" s="172">
        <f>'IS-Reorg'!U133</f>
        <v>445.86648514864328</v>
      </c>
      <c r="V33" s="172">
        <f>'IS-Reorg'!V133</f>
        <v>407.25625206727494</v>
      </c>
    </row>
    <row r="34" spans="1:22" x14ac:dyDescent="0.2">
      <c r="A34" s="132" t="str">
        <f>'3M-BS'!A41</f>
        <v>Deferred Tax Assets</v>
      </c>
      <c r="B34" s="145">
        <f>VLOOKUP($A34,'3M-BS'!$A$12:$K$79,11, FALSE)</f>
        <v>422</v>
      </c>
      <c r="C34" s="145">
        <f>VLOOKUP($A34,'3M-BS'!$A$12:$K$79,10, FALSE)</f>
        <v>511</v>
      </c>
      <c r="D34" s="145">
        <f>VLOOKUP($A34,'3M-BS'!$A$12:$K$79,9, FALSE)</f>
        <v>365</v>
      </c>
      <c r="E34" s="145">
        <f>VLOOKUP($A34,'3M-BS'!$A$12:$K$79,8, FALSE)</f>
        <v>521</v>
      </c>
      <c r="F34" s="145">
        <f>VLOOKUP($A34,'3M-BS'!$A$12:$K$79,7, FALSE)</f>
        <v>871</v>
      </c>
      <c r="G34" s="145">
        <f>VLOOKUP($A34,'3M-BS'!$A$12:$K$79,6, FALSE)</f>
        <v>581</v>
      </c>
      <c r="H34" s="145">
        <f>VLOOKUP($A34,'3M-BS'!$A$12:$K$79,5, FALSE)</f>
        <v>959</v>
      </c>
      <c r="I34" s="145">
        <f>VLOOKUP($A34,'3M-BS'!$A$12:$K$79,4, FALSE)</f>
        <v>4779</v>
      </c>
      <c r="J34" s="145">
        <f>VLOOKUP($A34,'3M-BS'!$A$12:$K$79,3, FALSE)</f>
        <v>4146</v>
      </c>
      <c r="K34" s="146">
        <f>VLOOKUP($A34,'3M-BS'!$A$12:$K$79,2, FALSE)</f>
        <v>3826</v>
      </c>
      <c r="L34" s="157">
        <f>K34</f>
        <v>3826</v>
      </c>
      <c r="M34" s="157">
        <f t="shared" ref="M34:V34" si="27">L34</f>
        <v>3826</v>
      </c>
      <c r="N34" s="157">
        <f t="shared" si="27"/>
        <v>3826</v>
      </c>
      <c r="O34" s="157">
        <f t="shared" si="27"/>
        <v>3826</v>
      </c>
      <c r="P34" s="157">
        <f t="shared" si="27"/>
        <v>3826</v>
      </c>
      <c r="Q34" s="157">
        <f t="shared" si="27"/>
        <v>3826</v>
      </c>
      <c r="R34" s="157">
        <f t="shared" si="27"/>
        <v>3826</v>
      </c>
      <c r="S34" s="157">
        <f t="shared" si="27"/>
        <v>3826</v>
      </c>
      <c r="T34" s="157">
        <f t="shared" si="27"/>
        <v>3826</v>
      </c>
      <c r="U34" s="157">
        <f t="shared" si="27"/>
        <v>3826</v>
      </c>
      <c r="V34" s="157">
        <f t="shared" si="27"/>
        <v>3826</v>
      </c>
    </row>
    <row r="35" spans="1:22" x14ac:dyDescent="0.2">
      <c r="A35" s="132" t="str">
        <f>'3M-BS'!A42</f>
        <v>Other Assets</v>
      </c>
      <c r="B35" s="145">
        <f>VLOOKUP($A35,'3M-BS'!$A$12:$K$79,11, FALSE)</f>
        <v>500</v>
      </c>
      <c r="C35" s="145">
        <f>VLOOKUP($A35,'3M-BS'!$A$12:$K$79,10, FALSE)</f>
        <v>693</v>
      </c>
      <c r="D35" s="145">
        <f>VLOOKUP($A35,'3M-BS'!$A$12:$K$79,9, FALSE)</f>
        <v>734</v>
      </c>
      <c r="E35" s="145">
        <f>VLOOKUP($A35,'3M-BS'!$A$12:$K$79,8, FALSE)</f>
        <v>890</v>
      </c>
      <c r="F35" s="145">
        <f>VLOOKUP($A35,'3M-BS'!$A$12:$K$79,7, FALSE)</f>
        <v>1345</v>
      </c>
      <c r="G35" s="145">
        <f>VLOOKUP($A35,'3M-BS'!$A$12:$K$79,6, FALSE)</f>
        <v>1724</v>
      </c>
      <c r="H35" s="145">
        <f>VLOOKUP($A35,'3M-BS'!$A$12:$K$79,5, FALSE)</f>
        <v>2336</v>
      </c>
      <c r="I35" s="145">
        <f>VLOOKUP($A35,'3M-BS'!$A$12:$K$79,4, FALSE)</f>
        <v>13149</v>
      </c>
      <c r="J35" s="145">
        <f>VLOOKUP($A35,'3M-BS'!$A$12:$K$79,3, FALSE)</f>
        <v>1811</v>
      </c>
      <c r="K35" s="146">
        <f>VLOOKUP($A35,'3M-BS'!$A$12:$K$79,2, FALSE)</f>
        <v>2220</v>
      </c>
      <c r="L35" s="157">
        <f>L36+L37</f>
        <v>2220</v>
      </c>
      <c r="M35" s="157">
        <f t="shared" ref="M35:V35" si="28">M36+M37</f>
        <v>2220</v>
      </c>
      <c r="N35" s="157">
        <f t="shared" si="28"/>
        <v>2220</v>
      </c>
      <c r="O35" s="157">
        <f t="shared" si="28"/>
        <v>2220</v>
      </c>
      <c r="P35" s="157">
        <f t="shared" si="28"/>
        <v>2220</v>
      </c>
      <c r="Q35" s="157">
        <f t="shared" si="28"/>
        <v>2220</v>
      </c>
      <c r="R35" s="157">
        <f t="shared" si="28"/>
        <v>2220</v>
      </c>
      <c r="S35" s="157">
        <f t="shared" si="28"/>
        <v>2220</v>
      </c>
      <c r="T35" s="157">
        <f t="shared" si="28"/>
        <v>2220</v>
      </c>
      <c r="U35" s="157">
        <f t="shared" si="28"/>
        <v>2220</v>
      </c>
      <c r="V35" s="157">
        <f t="shared" si="28"/>
        <v>2220</v>
      </c>
    </row>
    <row r="36" spans="1:22" x14ac:dyDescent="0.2">
      <c r="A36" s="133" t="str">
        <f>'3M-BS'!A43</f>
        <v>Deferred Charges</v>
      </c>
      <c r="B36" s="147">
        <f>VLOOKUP($A36,'3M-BS'!$A$12:$K$79,11, FALSE)</f>
        <v>52</v>
      </c>
      <c r="C36" s="147">
        <f>VLOOKUP($A36,'3M-BS'!$A$12:$K$79,10, FALSE)</f>
        <v>237</v>
      </c>
      <c r="D36" s="147">
        <f>VLOOKUP($A36,'3M-BS'!$A$12:$K$79,9, FALSE)</f>
        <v>208</v>
      </c>
      <c r="E36" s="147">
        <f>VLOOKUP($A36,'3M-BS'!$A$12:$K$79,8, FALSE)</f>
        <v>230</v>
      </c>
      <c r="F36" s="147">
        <f>VLOOKUP($A36,'3M-BS'!$A$12:$K$79,7, FALSE)</f>
        <v>630</v>
      </c>
      <c r="G36" s="147">
        <f>VLOOKUP($A36,'3M-BS'!$A$12:$K$79,6, FALSE)</f>
        <v>943</v>
      </c>
      <c r="H36" s="147">
        <f>VLOOKUP($A36,'3M-BS'!$A$12:$K$79,5, FALSE)</f>
        <v>1225</v>
      </c>
      <c r="I36" s="147">
        <f>VLOOKUP($A36,'3M-BS'!$A$12:$K$79,4, FALSE)</f>
        <v>1239</v>
      </c>
      <c r="J36" s="147">
        <f>VLOOKUP($A36,'3M-BS'!$A$12:$K$79,3, FALSE)</f>
        <v>1243</v>
      </c>
      <c r="K36" s="148">
        <f>VLOOKUP($A36,'3M-BS'!$A$12:$K$79,2, FALSE)</f>
        <v>0</v>
      </c>
      <c r="L36" s="155">
        <f>K36</f>
        <v>0</v>
      </c>
      <c r="M36" s="155">
        <f t="shared" ref="M36:V36" si="29">L36</f>
        <v>0</v>
      </c>
      <c r="N36" s="155">
        <f t="shared" si="29"/>
        <v>0</v>
      </c>
      <c r="O36" s="155">
        <f t="shared" si="29"/>
        <v>0</v>
      </c>
      <c r="P36" s="155">
        <f t="shared" si="29"/>
        <v>0</v>
      </c>
      <c r="Q36" s="155">
        <f t="shared" si="29"/>
        <v>0</v>
      </c>
      <c r="R36" s="155">
        <f t="shared" si="29"/>
        <v>0</v>
      </c>
      <c r="S36" s="155">
        <f t="shared" si="29"/>
        <v>0</v>
      </c>
      <c r="T36" s="155">
        <f t="shared" si="29"/>
        <v>0</v>
      </c>
      <c r="U36" s="155">
        <f t="shared" si="29"/>
        <v>0</v>
      </c>
      <c r="V36" s="155">
        <f t="shared" si="29"/>
        <v>0</v>
      </c>
    </row>
    <row r="37" spans="1:22" x14ac:dyDescent="0.2">
      <c r="A37" s="133" t="str">
        <f>'3M-BS'!A44</f>
        <v>Tangible Other Assets</v>
      </c>
      <c r="B37" s="147">
        <f>VLOOKUP($A37,'3M-BS'!$A$12:$K$79,11, FALSE)</f>
        <v>448</v>
      </c>
      <c r="C37" s="147">
        <f>VLOOKUP($A37,'3M-BS'!$A$12:$K$79,10, FALSE)</f>
        <v>456</v>
      </c>
      <c r="D37" s="147">
        <f>VLOOKUP($A37,'3M-BS'!$A$12:$K$79,9, FALSE)</f>
        <v>526</v>
      </c>
      <c r="E37" s="147">
        <f>VLOOKUP($A37,'3M-BS'!$A$12:$K$79,8, FALSE)</f>
        <v>660</v>
      </c>
      <c r="F37" s="147">
        <f>VLOOKUP($A37,'3M-BS'!$A$12:$K$79,7, FALSE)</f>
        <v>715</v>
      </c>
      <c r="G37" s="147">
        <f>VLOOKUP($A37,'3M-BS'!$A$12:$K$79,6, FALSE)</f>
        <v>781</v>
      </c>
      <c r="H37" s="147">
        <f>VLOOKUP($A37,'3M-BS'!$A$12:$K$79,5, FALSE)</f>
        <v>1111</v>
      </c>
      <c r="I37" s="147">
        <f>VLOOKUP($A37,'3M-BS'!$A$12:$K$79,4, FALSE)</f>
        <v>11910</v>
      </c>
      <c r="J37" s="147">
        <f>VLOOKUP($A37,'3M-BS'!$A$12:$K$79,3, FALSE)</f>
        <v>568</v>
      </c>
      <c r="K37" s="148">
        <f>VLOOKUP($A37,'3M-BS'!$A$12:$K$79,2, FALSE)</f>
        <v>2220</v>
      </c>
      <c r="L37" s="155">
        <f>K37</f>
        <v>2220</v>
      </c>
      <c r="M37" s="155">
        <f t="shared" ref="M37:V37" si="30">L37</f>
        <v>2220</v>
      </c>
      <c r="N37" s="155">
        <f t="shared" si="30"/>
        <v>2220</v>
      </c>
      <c r="O37" s="155">
        <f t="shared" si="30"/>
        <v>2220</v>
      </c>
      <c r="P37" s="155">
        <f t="shared" si="30"/>
        <v>2220</v>
      </c>
      <c r="Q37" s="155">
        <f t="shared" si="30"/>
        <v>2220</v>
      </c>
      <c r="R37" s="155">
        <f t="shared" si="30"/>
        <v>2220</v>
      </c>
      <c r="S37" s="155">
        <f t="shared" si="30"/>
        <v>2220</v>
      </c>
      <c r="T37" s="155">
        <f t="shared" si="30"/>
        <v>2220</v>
      </c>
      <c r="U37" s="155">
        <f t="shared" si="30"/>
        <v>2220</v>
      </c>
      <c r="V37" s="155">
        <f t="shared" si="30"/>
        <v>2220</v>
      </c>
    </row>
    <row r="38" spans="1:22" x14ac:dyDescent="0.2">
      <c r="A38" s="132" t="s">
        <v>146</v>
      </c>
      <c r="B38" s="149">
        <f>B35+B34+B31+B19+B15+B11+B7+B4+B28</f>
        <v>32906</v>
      </c>
      <c r="C38" s="149">
        <f t="shared" ref="C38:V38" si="31">C35+C34+C31+C19+C15+C11+C7+C4+C28</f>
        <v>37987</v>
      </c>
      <c r="D38" s="149">
        <f t="shared" si="31"/>
        <v>36500</v>
      </c>
      <c r="E38" s="149">
        <f t="shared" si="31"/>
        <v>44659</v>
      </c>
      <c r="F38" s="149">
        <f t="shared" si="31"/>
        <v>47344</v>
      </c>
      <c r="G38" s="149">
        <f t="shared" si="31"/>
        <v>47072</v>
      </c>
      <c r="H38" s="149">
        <f t="shared" si="31"/>
        <v>46455</v>
      </c>
      <c r="I38" s="149">
        <f t="shared" si="31"/>
        <v>50580</v>
      </c>
      <c r="J38" s="149">
        <f t="shared" si="31"/>
        <v>39868</v>
      </c>
      <c r="K38" s="150">
        <f t="shared" si="31"/>
        <v>37733</v>
      </c>
      <c r="L38" s="150">
        <f t="shared" ca="1" si="31"/>
        <v>37872.722120137136</v>
      </c>
      <c r="M38" s="150">
        <f t="shared" ca="1" si="31"/>
        <v>36618.209033167026</v>
      </c>
      <c r="N38" s="150">
        <f t="shared" ca="1" si="31"/>
        <v>37528.994397872011</v>
      </c>
      <c r="O38" s="150">
        <f t="shared" ca="1" si="31"/>
        <v>38696.919835264845</v>
      </c>
      <c r="P38" s="150">
        <f t="shared" ca="1" si="31"/>
        <v>41196.78279508675</v>
      </c>
      <c r="Q38" s="150">
        <f t="shared" ca="1" si="31"/>
        <v>43928.400426195854</v>
      </c>
      <c r="R38" s="150">
        <f t="shared" ca="1" si="31"/>
        <v>47477.663784360229</v>
      </c>
      <c r="S38" s="150">
        <f t="shared" ca="1" si="31"/>
        <v>51368.197461345488</v>
      </c>
      <c r="T38" s="150">
        <f t="shared" ca="1" si="31"/>
        <v>55605.848474185252</v>
      </c>
      <c r="U38" s="150">
        <f t="shared" ca="1" si="31"/>
        <v>59720.863991362727</v>
      </c>
      <c r="V38" s="150">
        <f t="shared" ca="1" si="31"/>
        <v>64705.566104586534</v>
      </c>
    </row>
    <row r="39" spans="1:22" x14ac:dyDescent="0.2">
      <c r="A39" s="140" t="s">
        <v>183</v>
      </c>
      <c r="B39" s="151">
        <f>B35+B34+B31+B19+B15+B11+B7</f>
        <v>29972</v>
      </c>
      <c r="C39" s="151">
        <f t="shared" ref="C39:V39" si="32">C35+C34+C31+C19+C15+C11+C7</f>
        <v>33667</v>
      </c>
      <c r="D39" s="151">
        <f t="shared" si="32"/>
        <v>33021</v>
      </c>
      <c r="E39" s="151">
        <f t="shared" si="32"/>
        <v>41475</v>
      </c>
      <c r="F39" s="151">
        <f t="shared" si="32"/>
        <v>42082</v>
      </c>
      <c r="G39" s="151">
        <f t="shared" si="32"/>
        <v>42004</v>
      </c>
      <c r="H39" s="151">
        <f t="shared" si="32"/>
        <v>41586</v>
      </c>
      <c r="I39" s="151">
        <f t="shared" si="32"/>
        <v>44574</v>
      </c>
      <c r="J39" s="151">
        <f t="shared" si="32"/>
        <v>29557</v>
      </c>
      <c r="K39" s="152">
        <f t="shared" si="32"/>
        <v>31639</v>
      </c>
      <c r="L39" s="152">
        <f t="shared" si="32"/>
        <v>31354.366306901233</v>
      </c>
      <c r="M39" s="152">
        <f t="shared" si="32"/>
        <v>31350.98334016529</v>
      </c>
      <c r="N39" s="152">
        <f t="shared" si="32"/>
        <v>31384.178297866689</v>
      </c>
      <c r="O39" s="152">
        <f t="shared" si="32"/>
        <v>31517.434945695299</v>
      </c>
      <c r="P39" s="152">
        <f t="shared" si="32"/>
        <v>31686.138143808475</v>
      </c>
      <c r="Q39" s="152">
        <f t="shared" si="32"/>
        <v>31776.301365688578</v>
      </c>
      <c r="R39" s="152">
        <f t="shared" si="32"/>
        <v>31877.853347723594</v>
      </c>
      <c r="S39" s="152">
        <f t="shared" si="32"/>
        <v>32062.333721992127</v>
      </c>
      <c r="T39" s="152">
        <f t="shared" si="32"/>
        <v>32256.955082338995</v>
      </c>
      <c r="U39" s="152">
        <f t="shared" si="32"/>
        <v>32485.269246150016</v>
      </c>
      <c r="V39" s="152">
        <f t="shared" si="32"/>
        <v>32720.254597397874</v>
      </c>
    </row>
    <row r="40" spans="1:22" x14ac:dyDescent="0.2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44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</row>
    <row r="41" spans="1:22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2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</row>
    <row r="42" spans="1:22" x14ac:dyDescent="0.2">
      <c r="A42" s="153" t="s">
        <v>149</v>
      </c>
      <c r="B42" s="132">
        <f>VLOOKUP($A42,'3M-BS'!$A$48:$K$64,11, FALSE)</f>
        <v>972</v>
      </c>
      <c r="C42" s="132">
        <f>VLOOKUP($A42,'3M-BS'!$A$48:$K$64,10, FALSE)</f>
        <v>1853</v>
      </c>
      <c r="D42" s="132">
        <f>VLOOKUP($A42,'3M-BS'!$A$48:$K$64,9, FALSE)</f>
        <v>1211</v>
      </c>
      <c r="E42" s="132">
        <f>VLOOKUP($A42,'3M-BS'!$A$48:$K$64,8, FALSE)</f>
        <v>3063</v>
      </c>
      <c r="F42" s="132">
        <f>VLOOKUP($A42,'3M-BS'!$A$48:$K$64,7, FALSE)</f>
        <v>1084</v>
      </c>
      <c r="G42" s="132">
        <f>VLOOKUP($A42,'3M-BS'!$A$48:$K$64,6, FALSE)</f>
        <v>1577</v>
      </c>
      <c r="H42" s="132">
        <f>VLOOKUP($A42,'3M-BS'!$A$48:$K$64,5, FALSE)</f>
        <v>2210</v>
      </c>
      <c r="I42" s="132">
        <f>VLOOKUP($A42,'3M-BS'!$A$48:$K$64,4, FALSE)</f>
        <v>3139</v>
      </c>
      <c r="J42" s="132">
        <f>VLOOKUP($A42,'3M-BS'!$A$48:$K$64,3, FALSE)</f>
        <v>2082</v>
      </c>
      <c r="K42" s="143">
        <f>VLOOKUP($A42,'3M-BS'!$A$48:$K$64,2, FALSE)</f>
        <v>1837</v>
      </c>
      <c r="L42" s="132">
        <f>'IS-Reorg'!C144</f>
        <v>863</v>
      </c>
      <c r="M42" s="132">
        <f>'IS-Reorg'!D144</f>
        <v>863</v>
      </c>
      <c r="N42" s="132">
        <f>'IS-Reorg'!E144</f>
        <v>1793</v>
      </c>
      <c r="O42" s="132">
        <f>'IS-Reorg'!F144</f>
        <v>1728</v>
      </c>
      <c r="P42" s="132">
        <f>'IS-Reorg'!G144</f>
        <v>587</v>
      </c>
      <c r="Q42" s="132">
        <f>'IS-Reorg'!H144</f>
        <v>0</v>
      </c>
      <c r="R42" s="132">
        <f>'IS-Reorg'!I144</f>
        <v>0</v>
      </c>
      <c r="S42" s="132">
        <f>'IS-Reorg'!J144</f>
        <v>0</v>
      </c>
      <c r="T42" s="132">
        <f>'IS-Reorg'!K144</f>
        <v>550</v>
      </c>
      <c r="U42" s="132">
        <f>'IS-Reorg'!L144</f>
        <v>0</v>
      </c>
      <c r="V42" s="132">
        <f>'IS-Reorg'!M144</f>
        <v>0</v>
      </c>
    </row>
    <row r="43" spans="1:22" x14ac:dyDescent="0.2">
      <c r="A43" s="132" t="str">
        <f>'3M-BS'!A49</f>
        <v>Accounts Payable</v>
      </c>
      <c r="B43" s="145">
        <f>VLOOKUP($A43,'3M-BS'!$A$48:$K$64,11, FALSE)</f>
        <v>1798</v>
      </c>
      <c r="C43" s="145">
        <f>VLOOKUP($A43,'3M-BS'!$A$48:$K$64,10, FALSE)</f>
        <v>1945</v>
      </c>
      <c r="D43" s="145">
        <f>VLOOKUP($A43,'3M-BS'!$A$48:$K$64,9, FALSE)</f>
        <v>2266</v>
      </c>
      <c r="E43" s="145">
        <f>VLOOKUP($A43,'3M-BS'!$A$48:$K$64,8, FALSE)</f>
        <v>2228</v>
      </c>
      <c r="F43" s="145">
        <f>VLOOKUP($A43,'3M-BS'!$A$48:$K$64,7, FALSE)</f>
        <v>2561</v>
      </c>
      <c r="G43" s="145">
        <f>VLOOKUP($A43,'3M-BS'!$A$48:$K$64,6, FALSE)</f>
        <v>2994</v>
      </c>
      <c r="H43" s="145">
        <f>VLOOKUP($A43,'3M-BS'!$A$48:$K$64,5, FALSE)</f>
        <v>3183</v>
      </c>
      <c r="I43" s="145">
        <f>VLOOKUP($A43,'3M-BS'!$A$48:$K$64,4, FALSE)</f>
        <v>2776</v>
      </c>
      <c r="J43" s="145">
        <f>VLOOKUP($A43,'3M-BS'!$A$48:$K$64,3, FALSE)</f>
        <v>2660</v>
      </c>
      <c r="K43" s="146">
        <f>VLOOKUP($A43,'3M-BS'!$A$48:$K$64,2, FALSE)</f>
        <v>2702</v>
      </c>
      <c r="L43" s="157">
        <f>L97</f>
        <v>2741.5617508417508</v>
      </c>
      <c r="M43" s="157">
        <f t="shared" ref="M43:V43" si="33">M97</f>
        <v>2825.3842245580713</v>
      </c>
      <c r="N43" s="157">
        <f t="shared" si="33"/>
        <v>2911.5259973703505</v>
      </c>
      <c r="O43" s="157">
        <f t="shared" si="33"/>
        <v>3000.0384972483189</v>
      </c>
      <c r="P43" s="157">
        <f t="shared" si="33"/>
        <v>3090.9735555207326</v>
      </c>
      <c r="Q43" s="157">
        <f t="shared" si="33"/>
        <v>3153.7642861203108</v>
      </c>
      <c r="R43" s="157">
        <f t="shared" si="33"/>
        <v>3217.5405843558933</v>
      </c>
      <c r="S43" s="157">
        <f t="shared" si="33"/>
        <v>3282.3050726281044</v>
      </c>
      <c r="T43" s="157">
        <f t="shared" si="33"/>
        <v>3348.0596436707265</v>
      </c>
      <c r="U43" s="157">
        <f t="shared" si="33"/>
        <v>3414.8054144105408</v>
      </c>
      <c r="V43" s="157">
        <f t="shared" si="33"/>
        <v>3482.5426777154398</v>
      </c>
    </row>
    <row r="44" spans="1:22" x14ac:dyDescent="0.2">
      <c r="A44" s="132" t="str">
        <f>'3M-BS'!A50</f>
        <v>Income Tax Payable</v>
      </c>
      <c r="B44" s="145">
        <f>VLOOKUP($A44,'3M-BS'!$A$48:$K$64,11, FALSE)</f>
        <v>299</v>
      </c>
      <c r="C44" s="145">
        <f>VLOOKUP($A44,'3M-BS'!$A$48:$K$64,10, FALSE)</f>
        <v>310</v>
      </c>
      <c r="D44" s="145">
        <f>VLOOKUP($A44,'3M-BS'!$A$48:$K$64,9, FALSE)</f>
        <v>243</v>
      </c>
      <c r="E44" s="145">
        <f>VLOOKUP($A44,'3M-BS'!$A$48:$K$64,8, FALSE)</f>
        <v>194</v>
      </c>
      <c r="F44" s="145">
        <f>VLOOKUP($A44,'3M-BS'!$A$48:$K$64,7, FALSE)</f>
        <v>300</v>
      </c>
      <c r="G44" s="145">
        <f>VLOOKUP($A44,'3M-BS'!$A$48:$K$64,6, FALSE)</f>
        <v>260</v>
      </c>
      <c r="H44" s="145">
        <f>VLOOKUP($A44,'3M-BS'!$A$48:$K$64,5, FALSE)</f>
        <v>259</v>
      </c>
      <c r="I44" s="145">
        <f>VLOOKUP($A44,'3M-BS'!$A$48:$K$64,4, FALSE)</f>
        <v>304</v>
      </c>
      <c r="J44" s="145">
        <f>VLOOKUP($A44,'3M-BS'!$A$48:$K$64,3, FALSE)</f>
        <v>331</v>
      </c>
      <c r="K44" s="146">
        <f>VLOOKUP($A44,'3M-BS'!$A$48:$K$64,2, FALSE)</f>
        <v>0</v>
      </c>
      <c r="L44" s="155">
        <f>K44</f>
        <v>0</v>
      </c>
      <c r="M44" s="155">
        <f t="shared" ref="M44:V44" si="34">L44</f>
        <v>0</v>
      </c>
      <c r="N44" s="155">
        <f t="shared" si="34"/>
        <v>0</v>
      </c>
      <c r="O44" s="155">
        <f t="shared" si="34"/>
        <v>0</v>
      </c>
      <c r="P44" s="155">
        <f t="shared" si="34"/>
        <v>0</v>
      </c>
      <c r="Q44" s="155">
        <f t="shared" si="34"/>
        <v>0</v>
      </c>
      <c r="R44" s="155">
        <f t="shared" si="34"/>
        <v>0</v>
      </c>
      <c r="S44" s="155">
        <f t="shared" si="34"/>
        <v>0</v>
      </c>
      <c r="T44" s="155">
        <f t="shared" si="34"/>
        <v>0</v>
      </c>
      <c r="U44" s="155">
        <f t="shared" si="34"/>
        <v>0</v>
      </c>
      <c r="V44" s="155">
        <f t="shared" si="34"/>
        <v>0</v>
      </c>
    </row>
    <row r="45" spans="1:22" x14ac:dyDescent="0.2">
      <c r="A45" s="132" t="str">
        <f>'3M-BS'!A51</f>
        <v>Other Current Liabilities</v>
      </c>
      <c r="B45" s="145">
        <f>VLOOKUP($A45,'3M-BS'!$A$48:$K$64,11, FALSE)</f>
        <v>3150</v>
      </c>
      <c r="C45" s="145">
        <f>VLOOKUP($A45,'3M-BS'!$A$48:$K$64,10, FALSE)</f>
        <v>3579</v>
      </c>
      <c r="D45" s="145">
        <f>VLOOKUP($A45,'3M-BS'!$A$48:$K$64,9, FALSE)</f>
        <v>3524</v>
      </c>
      <c r="E45" s="145">
        <f>VLOOKUP($A45,'3M-BS'!$A$48:$K$64,8, FALSE)</f>
        <v>3737</v>
      </c>
      <c r="F45" s="145">
        <f>VLOOKUP($A45,'3M-BS'!$A$48:$K$64,7, FALSE)</f>
        <v>4003</v>
      </c>
      <c r="G45" s="145">
        <f>VLOOKUP($A45,'3M-BS'!$A$48:$K$64,6, FALSE)</f>
        <v>4204</v>
      </c>
      <c r="H45" s="145">
        <f>VLOOKUP($A45,'3M-BS'!$A$48:$K$64,5, FALSE)</f>
        <v>3871</v>
      </c>
      <c r="I45" s="145">
        <f>VLOOKUP($A45,'3M-BS'!$A$48:$K$64,4, FALSE)</f>
        <v>9078</v>
      </c>
      <c r="J45" s="145">
        <f>VLOOKUP($A45,'3M-BS'!$A$48:$K$64,3, FALSE)</f>
        <v>6183</v>
      </c>
      <c r="K45" s="146">
        <f>VLOOKUP($A45,'3M-BS'!$A$48:$K$64,2, FALSE)</f>
        <v>5056</v>
      </c>
      <c r="L45" s="157">
        <f>$K$45/$K$85*L85</f>
        <v>5130.028205868206</v>
      </c>
      <c r="M45" s="157">
        <f t="shared" ref="M45:V45" si="35">$K$45/$K$85*M85</f>
        <v>5335.2293341029344</v>
      </c>
      <c r="N45" s="157">
        <f t="shared" si="35"/>
        <v>5548.6385074670516</v>
      </c>
      <c r="O45" s="157">
        <f t="shared" si="35"/>
        <v>5770.584047765733</v>
      </c>
      <c r="P45" s="157">
        <f t="shared" si="35"/>
        <v>6001.4074096763634</v>
      </c>
      <c r="Q45" s="157">
        <f t="shared" si="35"/>
        <v>6181.449631966655</v>
      </c>
      <c r="R45" s="157">
        <f t="shared" si="35"/>
        <v>6366.8931209256543</v>
      </c>
      <c r="S45" s="157">
        <f t="shared" si="35"/>
        <v>6557.8999145534244</v>
      </c>
      <c r="T45" s="157">
        <f t="shared" si="35"/>
        <v>6754.6369119900282</v>
      </c>
      <c r="U45" s="157">
        <f t="shared" si="35"/>
        <v>6957.2760193497279</v>
      </c>
      <c r="V45" s="157">
        <f t="shared" si="35"/>
        <v>7165.9942999302211</v>
      </c>
    </row>
    <row r="46" spans="1:22" x14ac:dyDescent="0.2">
      <c r="A46" s="133" t="str">
        <f>'3M-BS'!A52</f>
        <v>Accrued Payroll</v>
      </c>
      <c r="B46" s="147">
        <f>VLOOKUP($A46,'3M-BS'!$A$48:$K$64,11, FALSE)</f>
        <v>899</v>
      </c>
      <c r="C46" s="147">
        <f>VLOOKUP($A46,'3M-BS'!$A$48:$K$64,10, FALSE)</f>
        <v>1147</v>
      </c>
      <c r="D46" s="147">
        <f>VLOOKUP($A46,'3M-BS'!$A$48:$K$64,9, FALSE)</f>
        <v>1053</v>
      </c>
      <c r="E46" s="147">
        <f>VLOOKUP($A46,'3M-BS'!$A$48:$K$64,8, FALSE)</f>
        <v>998</v>
      </c>
      <c r="F46" s="147">
        <f>VLOOKUP($A46,'3M-BS'!$A$48:$K$64,7, FALSE)</f>
        <v>1010</v>
      </c>
      <c r="G46" s="147">
        <f>VLOOKUP($A46,'3M-BS'!$A$48:$K$64,6, FALSE)</f>
        <v>1317</v>
      </c>
      <c r="H46" s="147">
        <f>VLOOKUP($A46,'3M-BS'!$A$48:$K$64,5, FALSE)</f>
        <v>1016</v>
      </c>
      <c r="I46" s="147">
        <f>VLOOKUP($A46,'3M-BS'!$A$48:$K$64,4, FALSE)</f>
        <v>998</v>
      </c>
      <c r="J46" s="147">
        <f>VLOOKUP($A46,'3M-BS'!$A$48:$K$64,3, FALSE)</f>
        <v>968</v>
      </c>
      <c r="K46" s="148">
        <f>VLOOKUP($A46,'3M-BS'!$A$48:$K$64,2, FALSE)</f>
        <v>718</v>
      </c>
      <c r="L46" s="157">
        <f>$K$46/$K$85*L85</f>
        <v>728.51270803270802</v>
      </c>
      <c r="M46" s="157">
        <f t="shared" ref="M46:V46" si="36">$K$46/$K$85*M85</f>
        <v>757.65321635401631</v>
      </c>
      <c r="N46" s="157">
        <f t="shared" si="36"/>
        <v>787.95934500817702</v>
      </c>
      <c r="O46" s="157">
        <f t="shared" si="36"/>
        <v>819.47771880850405</v>
      </c>
      <c r="P46" s="157">
        <f t="shared" si="36"/>
        <v>852.25682756084427</v>
      </c>
      <c r="Q46" s="157">
        <f t="shared" si="36"/>
        <v>877.82453238766971</v>
      </c>
      <c r="R46" s="157">
        <f t="shared" si="36"/>
        <v>904.15926835929974</v>
      </c>
      <c r="S46" s="157">
        <f t="shared" si="36"/>
        <v>931.28404641007887</v>
      </c>
      <c r="T46" s="157">
        <f t="shared" si="36"/>
        <v>959.22256780238138</v>
      </c>
      <c r="U46" s="157">
        <f t="shared" si="36"/>
        <v>987.99924483645259</v>
      </c>
      <c r="V46" s="157">
        <f t="shared" si="36"/>
        <v>1017.6392221815464</v>
      </c>
    </row>
    <row r="47" spans="1:22" x14ac:dyDescent="0.2">
      <c r="A47" s="133" t="str">
        <f>'3M-BS'!A53</f>
        <v>Miscellaneous Current Liabilities</v>
      </c>
      <c r="B47" s="147">
        <f>VLOOKUP($A47,'3M-BS'!$A$48:$K$64,11, FALSE)</f>
        <v>2251</v>
      </c>
      <c r="C47" s="147">
        <f>VLOOKUP($A47,'3M-BS'!$A$48:$K$64,10, FALSE)</f>
        <v>2432</v>
      </c>
      <c r="D47" s="147">
        <f>VLOOKUP($A47,'3M-BS'!$A$48:$K$64,9, FALSE)</f>
        <v>2471</v>
      </c>
      <c r="E47" s="147">
        <f>VLOOKUP($A47,'3M-BS'!$A$48:$K$64,8, FALSE)</f>
        <v>2739</v>
      </c>
      <c r="F47" s="147">
        <f>VLOOKUP($A47,'3M-BS'!$A$48:$K$64,7, FALSE)</f>
        <v>2993</v>
      </c>
      <c r="G47" s="147">
        <f>VLOOKUP($A47,'3M-BS'!$A$48:$K$64,6, FALSE)</f>
        <v>2887</v>
      </c>
      <c r="H47" s="147">
        <f>VLOOKUP($A47,'3M-BS'!$A$48:$K$64,5, FALSE)</f>
        <v>2855</v>
      </c>
      <c r="I47" s="147">
        <f>VLOOKUP($A47,'3M-BS'!$A$48:$K$64,4, FALSE)</f>
        <v>8080</v>
      </c>
      <c r="J47" s="147">
        <f>VLOOKUP($A47,'3M-BS'!$A$48:$K$64,3, FALSE)</f>
        <v>5215</v>
      </c>
      <c r="K47" s="148">
        <f>VLOOKUP($A47,'3M-BS'!$A$48:$K$64,2, FALSE)</f>
        <v>4338</v>
      </c>
      <c r="L47" s="157">
        <f>$K$47/$K$85*L85</f>
        <v>4401.5154978354976</v>
      </c>
      <c r="M47" s="157">
        <f t="shared" ref="M47:V47" si="37">$K$47/$K$85*M85</f>
        <v>4577.5761177489176</v>
      </c>
      <c r="N47" s="157">
        <f t="shared" si="37"/>
        <v>4760.679162458875</v>
      </c>
      <c r="O47" s="157">
        <f t="shared" si="37"/>
        <v>4951.1063289572294</v>
      </c>
      <c r="P47" s="157">
        <f t="shared" si="37"/>
        <v>5149.1505821155188</v>
      </c>
      <c r="Q47" s="157">
        <f t="shared" si="37"/>
        <v>5303.6250995789851</v>
      </c>
      <c r="R47" s="157">
        <f t="shared" si="37"/>
        <v>5462.7338525663545</v>
      </c>
      <c r="S47" s="157">
        <f t="shared" si="37"/>
        <v>5626.6158681433462</v>
      </c>
      <c r="T47" s="157">
        <f t="shared" si="37"/>
        <v>5795.4143441876467</v>
      </c>
      <c r="U47" s="157">
        <f t="shared" si="37"/>
        <v>5969.2767745132751</v>
      </c>
      <c r="V47" s="157">
        <f t="shared" si="37"/>
        <v>6148.3550777486744</v>
      </c>
    </row>
    <row r="48" spans="1:22" x14ac:dyDescent="0.2">
      <c r="A48" s="132" t="s">
        <v>156</v>
      </c>
      <c r="B48" s="145">
        <f>VLOOKUP($A48,'3M-BS'!$A$48:$K$64,11, FALSE)</f>
        <v>10723</v>
      </c>
      <c r="C48" s="145">
        <f>VLOOKUP($A48,'3M-BS'!$A$48:$K$64,10, FALSE)</f>
        <v>12156</v>
      </c>
      <c r="D48" s="145">
        <f>VLOOKUP($A48,'3M-BS'!$A$48:$K$64,9, FALSE)</f>
        <v>13486</v>
      </c>
      <c r="E48" s="145">
        <f>VLOOKUP($A48,'3M-BS'!$A$48:$K$64,8, FALSE)</f>
        <v>18236</v>
      </c>
      <c r="F48" s="145">
        <f>VLOOKUP($A48,'3M-BS'!$A$48:$K$64,7, FALSE)</f>
        <v>18691</v>
      </c>
      <c r="G48" s="145">
        <f>VLOOKUP($A48,'3M-BS'!$A$48:$K$64,6, FALSE)</f>
        <v>16740</v>
      </c>
      <c r="H48" s="145">
        <f>VLOOKUP($A48,'3M-BS'!$A$48:$K$64,5, FALSE)</f>
        <v>14656</v>
      </c>
      <c r="I48" s="145">
        <f>VLOOKUP($A48,'3M-BS'!$A$48:$K$64,4, FALSE)</f>
        <v>13612</v>
      </c>
      <c r="J48" s="145">
        <f>VLOOKUP($A48,'3M-BS'!$A$48:$K$64,3, FALSE)</f>
        <v>11577</v>
      </c>
      <c r="K48" s="146">
        <f>VLOOKUP($A48,'3M-BS'!$A$48:$K$64,2, FALSE)</f>
        <v>11295</v>
      </c>
      <c r="L48" s="173">
        <f>L49+L50</f>
        <v>11602</v>
      </c>
      <c r="M48" s="173">
        <f t="shared" ref="M48:V48" si="38">M49+M50</f>
        <v>11102</v>
      </c>
      <c r="N48" s="173">
        <f t="shared" si="38"/>
        <v>9672</v>
      </c>
      <c r="O48" s="173">
        <f t="shared" si="38"/>
        <v>9237</v>
      </c>
      <c r="P48" s="173">
        <f t="shared" si="38"/>
        <v>9878</v>
      </c>
      <c r="Q48" s="173">
        <f t="shared" si="38"/>
        <v>9965</v>
      </c>
      <c r="R48" s="173">
        <f t="shared" si="38"/>
        <v>9965</v>
      </c>
      <c r="S48" s="173">
        <f t="shared" si="38"/>
        <v>9965</v>
      </c>
      <c r="T48" s="173">
        <f t="shared" si="38"/>
        <v>9415</v>
      </c>
      <c r="U48" s="173">
        <f t="shared" si="38"/>
        <v>9465</v>
      </c>
      <c r="V48" s="173">
        <f t="shared" si="38"/>
        <v>9465</v>
      </c>
    </row>
    <row r="49" spans="1:22" s="154" customFormat="1" x14ac:dyDescent="0.2">
      <c r="A49" s="133" t="s">
        <v>157</v>
      </c>
      <c r="B49" s="147">
        <f>VLOOKUP($A49,'3M-BS'!$A$48:$K$64,11, FALSE)</f>
        <v>10678</v>
      </c>
      <c r="C49" s="147">
        <f>VLOOKUP($A49,'3M-BS'!$A$48:$K$64,10, FALSE)</f>
        <v>12096</v>
      </c>
      <c r="D49" s="147">
        <f>VLOOKUP($A49,'3M-BS'!$A$48:$K$64,9, FALSE)</f>
        <v>13411</v>
      </c>
      <c r="E49" s="147">
        <f>VLOOKUP($A49,'3M-BS'!$A$48:$K$64,8, FALSE)</f>
        <v>17518</v>
      </c>
      <c r="F49" s="147">
        <f>VLOOKUP($A49,'3M-BS'!$A$48:$K$64,7, FALSE)</f>
        <v>17989</v>
      </c>
      <c r="G49" s="147">
        <f>VLOOKUP($A49,'3M-BS'!$A$48:$K$64,6, FALSE)</f>
        <v>16056</v>
      </c>
      <c r="H49" s="147">
        <f>VLOOKUP($A49,'3M-BS'!$A$48:$K$64,5, FALSE)</f>
        <v>14001</v>
      </c>
      <c r="I49" s="147">
        <f>VLOOKUP($A49,'3M-BS'!$A$48:$K$64,4, FALSE)</f>
        <v>13088</v>
      </c>
      <c r="J49" s="147">
        <f>VLOOKUP($A49,'3M-BS'!$A$48:$K$64,3, FALSE)</f>
        <v>11125</v>
      </c>
      <c r="K49" s="148">
        <f>VLOOKUP($A49,'3M-BS'!$A$48:$K$64,2, FALSE)</f>
        <v>10932</v>
      </c>
      <c r="L49" s="147">
        <f>'IS-Reorg'!C143-'IS-Reorg'!C144</f>
        <v>11239</v>
      </c>
      <c r="M49" s="147">
        <f>'IS-Reorg'!D143-'IS-Reorg'!D144</f>
        <v>10739</v>
      </c>
      <c r="N49" s="147">
        <f>'IS-Reorg'!E143-'IS-Reorg'!E144</f>
        <v>9309</v>
      </c>
      <c r="O49" s="147">
        <f>'IS-Reorg'!F143-'IS-Reorg'!F144</f>
        <v>8874</v>
      </c>
      <c r="P49" s="147">
        <f>'IS-Reorg'!G143-'IS-Reorg'!G144</f>
        <v>9515</v>
      </c>
      <c r="Q49" s="147">
        <f>'IS-Reorg'!H143-'IS-Reorg'!H144</f>
        <v>9602</v>
      </c>
      <c r="R49" s="147">
        <f>'IS-Reorg'!I143-'IS-Reorg'!I144</f>
        <v>9602</v>
      </c>
      <c r="S49" s="147">
        <f>'IS-Reorg'!J143-'IS-Reorg'!J144</f>
        <v>9602</v>
      </c>
      <c r="T49" s="147">
        <f>'IS-Reorg'!K143-'IS-Reorg'!K144</f>
        <v>9052</v>
      </c>
      <c r="U49" s="147">
        <f>'IS-Reorg'!L143-'IS-Reorg'!L144</f>
        <v>9102</v>
      </c>
      <c r="V49" s="147">
        <f>'IS-Reorg'!M143-'IS-Reorg'!M144</f>
        <v>9102</v>
      </c>
    </row>
    <row r="50" spans="1:22" s="154" customFormat="1" x14ac:dyDescent="0.2">
      <c r="A50" s="133" t="s">
        <v>158</v>
      </c>
      <c r="B50" s="147">
        <f>VLOOKUP($A50,'3M-BS'!$A$48:$K$64,11, FALSE)</f>
        <v>45</v>
      </c>
      <c r="C50" s="147">
        <f>VLOOKUP($A50,'3M-BS'!$A$48:$K$64,10, FALSE)</f>
        <v>60</v>
      </c>
      <c r="D50" s="147">
        <f>VLOOKUP($A50,'3M-BS'!$A$48:$K$64,9, FALSE)</f>
        <v>75</v>
      </c>
      <c r="E50" s="147">
        <f>VLOOKUP($A50,'3M-BS'!$A$48:$K$64,8, FALSE)</f>
        <v>718</v>
      </c>
      <c r="F50" s="147">
        <f>VLOOKUP($A50,'3M-BS'!$A$48:$K$64,7, FALSE)</f>
        <v>702</v>
      </c>
      <c r="G50" s="147">
        <f>VLOOKUP($A50,'3M-BS'!$A$48:$K$64,6, FALSE)</f>
        <v>684</v>
      </c>
      <c r="H50" s="147">
        <f>VLOOKUP($A50,'3M-BS'!$A$48:$K$64,5, FALSE)</f>
        <v>655</v>
      </c>
      <c r="I50" s="147">
        <f>VLOOKUP($A50,'3M-BS'!$A$48:$K$64,4, FALSE)</f>
        <v>524</v>
      </c>
      <c r="J50" s="147">
        <f>VLOOKUP($A50,'3M-BS'!$A$48:$K$64,3, FALSE)</f>
        <v>452</v>
      </c>
      <c r="K50" s="148">
        <f>VLOOKUP($A50,'3M-BS'!$A$48:$K$64,2, FALSE)</f>
        <v>363</v>
      </c>
      <c r="L50" s="147">
        <f>K50</f>
        <v>363</v>
      </c>
      <c r="M50" s="147">
        <f t="shared" ref="M50:V50" si="39">L50</f>
        <v>363</v>
      </c>
      <c r="N50" s="147">
        <f t="shared" si="39"/>
        <v>363</v>
      </c>
      <c r="O50" s="147">
        <f t="shared" si="39"/>
        <v>363</v>
      </c>
      <c r="P50" s="147">
        <f t="shared" si="39"/>
        <v>363</v>
      </c>
      <c r="Q50" s="147">
        <f t="shared" si="39"/>
        <v>363</v>
      </c>
      <c r="R50" s="147">
        <f t="shared" si="39"/>
        <v>363</v>
      </c>
      <c r="S50" s="147">
        <f t="shared" si="39"/>
        <v>363</v>
      </c>
      <c r="T50" s="147">
        <f t="shared" si="39"/>
        <v>363</v>
      </c>
      <c r="U50" s="147">
        <f t="shared" si="39"/>
        <v>363</v>
      </c>
      <c r="V50" s="147">
        <f t="shared" si="39"/>
        <v>363</v>
      </c>
    </row>
    <row r="51" spans="1:22" x14ac:dyDescent="0.2">
      <c r="A51" s="132" t="str">
        <f>'3M-BS'!A59</f>
        <v>Provision for Risks &amp; Charges</v>
      </c>
      <c r="B51" s="145">
        <f>VLOOKUP($A51,'3M-BS'!$A$48:$K$64,11, FALSE)</f>
        <v>4274</v>
      </c>
      <c r="C51" s="145">
        <f>VLOOKUP($A51,'3M-BS'!$A$48:$K$64,10, FALSE)</f>
        <v>3939</v>
      </c>
      <c r="D51" s="145">
        <f>VLOOKUP($A51,'3M-BS'!$A$48:$K$64,9, FALSE)</f>
        <v>3286</v>
      </c>
      <c r="E51" s="145">
        <f>VLOOKUP($A51,'3M-BS'!$A$48:$K$64,8, FALSE)</f>
        <v>4223</v>
      </c>
      <c r="F51" s="145">
        <f>VLOOKUP($A51,'3M-BS'!$A$48:$K$64,7, FALSE)</f>
        <v>4815</v>
      </c>
      <c r="G51" s="145">
        <f>VLOOKUP($A51,'3M-BS'!$A$48:$K$64,6, FALSE)</f>
        <v>3270</v>
      </c>
      <c r="H51" s="145">
        <f>VLOOKUP($A51,'3M-BS'!$A$48:$K$64,5, FALSE)</f>
        <v>2352</v>
      </c>
      <c r="I51" s="145">
        <f>VLOOKUP($A51,'3M-BS'!$A$48:$K$64,4, FALSE)</f>
        <v>2156</v>
      </c>
      <c r="J51" s="145">
        <f>VLOOKUP($A51,'3M-BS'!$A$48:$K$64,3, FALSE)</f>
        <v>1813</v>
      </c>
      <c r="K51" s="146">
        <f>VLOOKUP($A51,'3M-BS'!$A$48:$K$64,2, FALSE)</f>
        <v>1631</v>
      </c>
      <c r="L51" s="157">
        <f>K51</f>
        <v>1631</v>
      </c>
      <c r="M51" s="157">
        <f t="shared" ref="M51:V51" si="40">L51</f>
        <v>1631</v>
      </c>
      <c r="N51" s="157">
        <f t="shared" si="40"/>
        <v>1631</v>
      </c>
      <c r="O51" s="157">
        <f t="shared" si="40"/>
        <v>1631</v>
      </c>
      <c r="P51" s="157">
        <f t="shared" si="40"/>
        <v>1631</v>
      </c>
      <c r="Q51" s="157">
        <f t="shared" si="40"/>
        <v>1631</v>
      </c>
      <c r="R51" s="157">
        <f t="shared" si="40"/>
        <v>1631</v>
      </c>
      <c r="S51" s="157">
        <f t="shared" si="40"/>
        <v>1631</v>
      </c>
      <c r="T51" s="157">
        <f t="shared" si="40"/>
        <v>1631</v>
      </c>
      <c r="U51" s="157">
        <f t="shared" si="40"/>
        <v>1631</v>
      </c>
      <c r="V51" s="157">
        <f t="shared" si="40"/>
        <v>1631</v>
      </c>
    </row>
    <row r="52" spans="1:22" x14ac:dyDescent="0.2">
      <c r="A52" s="132" t="str">
        <f>'3M-BS'!A60</f>
        <v>Deferred Tax Liabilities</v>
      </c>
      <c r="B52" s="145">
        <f>VLOOKUP($A52,'3M-BS'!$A$48:$K$64,11, FALSE)</f>
        <v>145</v>
      </c>
      <c r="C52" s="145">
        <f>VLOOKUP($A52,'3M-BS'!$A$48:$K$64,10, FALSE)</f>
        <v>235</v>
      </c>
      <c r="D52" s="145">
        <f>VLOOKUP($A52,'3M-BS'!$A$48:$K$64,9, FALSE)</f>
        <v>279</v>
      </c>
      <c r="E52" s="145">
        <f>VLOOKUP($A52,'3M-BS'!$A$48:$K$64,8, FALSE)</f>
        <v>301</v>
      </c>
      <c r="F52" s="145">
        <f>VLOOKUP($A52,'3M-BS'!$A$48:$K$64,7, FALSE)</f>
        <v>333</v>
      </c>
      <c r="G52" s="145">
        <f>VLOOKUP($A52,'3M-BS'!$A$48:$K$64,6, FALSE)</f>
        <v>458</v>
      </c>
      <c r="H52" s="145">
        <f>VLOOKUP($A52,'3M-BS'!$A$48:$K$64,5, FALSE)</f>
        <v>559</v>
      </c>
      <c r="I52" s="145">
        <f>VLOOKUP($A52,'3M-BS'!$A$48:$K$64,4, FALSE)</f>
        <v>315</v>
      </c>
      <c r="J52" s="145">
        <f>VLOOKUP($A52,'3M-BS'!$A$48:$K$64,3, FALSE)</f>
        <v>354</v>
      </c>
      <c r="K52" s="146">
        <f>VLOOKUP($A52,'3M-BS'!$A$48:$K$64,2, FALSE)</f>
        <v>418</v>
      </c>
      <c r="L52" s="157">
        <f>K52</f>
        <v>418</v>
      </c>
      <c r="M52" s="157">
        <f t="shared" ref="M52:V52" si="41">L52</f>
        <v>418</v>
      </c>
      <c r="N52" s="157">
        <f t="shared" si="41"/>
        <v>418</v>
      </c>
      <c r="O52" s="157">
        <f t="shared" si="41"/>
        <v>418</v>
      </c>
      <c r="P52" s="157">
        <f t="shared" si="41"/>
        <v>418</v>
      </c>
      <c r="Q52" s="157">
        <f t="shared" si="41"/>
        <v>418</v>
      </c>
      <c r="R52" s="157">
        <f t="shared" si="41"/>
        <v>418</v>
      </c>
      <c r="S52" s="157">
        <f t="shared" si="41"/>
        <v>418</v>
      </c>
      <c r="T52" s="157">
        <f t="shared" si="41"/>
        <v>418</v>
      </c>
      <c r="U52" s="157">
        <f t="shared" si="41"/>
        <v>418</v>
      </c>
      <c r="V52" s="157">
        <f t="shared" si="41"/>
        <v>418</v>
      </c>
    </row>
    <row r="53" spans="1:22" x14ac:dyDescent="0.2">
      <c r="A53" s="132" t="str">
        <f>'3M-BS'!A61</f>
        <v>Other Liabilities</v>
      </c>
      <c r="B53" s="145">
        <f>VLOOKUP($A53,'3M-BS'!$A$48:$K$64,11, FALSE)</f>
        <v>1202</v>
      </c>
      <c r="C53" s="145">
        <f>VLOOKUP($A53,'3M-BS'!$A$48:$K$64,10, FALSE)</f>
        <v>2348</v>
      </c>
      <c r="D53" s="145">
        <f>VLOOKUP($A53,'3M-BS'!$A$48:$K$64,9, FALSE)</f>
        <v>2357</v>
      </c>
      <c r="E53" s="145">
        <f>VLOOKUP($A53,'3M-BS'!$A$48:$K$64,8, FALSE)</f>
        <v>2551</v>
      </c>
      <c r="F53" s="145">
        <f>VLOOKUP($A53,'3M-BS'!$A$48:$K$64,7, FALSE)</f>
        <v>2626</v>
      </c>
      <c r="G53" s="145">
        <f>VLOOKUP($A53,'3M-BS'!$A$48:$K$64,6, FALSE)</f>
        <v>2452</v>
      </c>
      <c r="H53" s="145">
        <f>VLOOKUP($A53,'3M-BS'!$A$48:$K$64,5, FALSE)</f>
        <v>4595</v>
      </c>
      <c r="I53" s="145">
        <f>VLOOKUP($A53,'3M-BS'!$A$48:$K$64,4, FALSE)</f>
        <v>14332</v>
      </c>
      <c r="J53" s="145">
        <f>VLOOKUP($A53,'3M-BS'!$A$48:$K$64,3, FALSE)</f>
        <v>10974</v>
      </c>
      <c r="K53" s="146">
        <f>VLOOKUP($A53,'3M-BS'!$A$48:$K$64,2, FALSE)</f>
        <v>10047</v>
      </c>
      <c r="L53" s="157">
        <f>L54+L55</f>
        <v>8689</v>
      </c>
      <c r="M53" s="157">
        <f t="shared" ref="M53:V53" si="42">M54+M55</f>
        <v>5371</v>
      </c>
      <c r="N53" s="157">
        <f t="shared" si="42"/>
        <v>3932</v>
      </c>
      <c r="O53" s="157">
        <f t="shared" si="42"/>
        <v>2468</v>
      </c>
      <c r="P53" s="157">
        <f t="shared" si="42"/>
        <v>2026</v>
      </c>
      <c r="Q53" s="157">
        <f t="shared" si="42"/>
        <v>1623</v>
      </c>
      <c r="R53" s="157">
        <f t="shared" si="42"/>
        <v>1241</v>
      </c>
      <c r="S53" s="157">
        <f t="shared" si="42"/>
        <v>890</v>
      </c>
      <c r="T53" s="157">
        <f t="shared" si="42"/>
        <v>561</v>
      </c>
      <c r="U53" s="157">
        <f t="shared" si="42"/>
        <v>274</v>
      </c>
      <c r="V53" s="157">
        <f t="shared" si="42"/>
        <v>0</v>
      </c>
    </row>
    <row r="54" spans="1:22" x14ac:dyDescent="0.2">
      <c r="A54" s="133" t="str">
        <f>'3M-BS'!A62</f>
        <v>Other Liabilities (excl. Deferred Income)</v>
      </c>
      <c r="B54" s="147">
        <f>VLOOKUP($A54,'3M-BS'!$A$48:$K$64,11, FALSE)</f>
        <v>1187</v>
      </c>
      <c r="C54" s="147">
        <f>VLOOKUP($A54,'3M-BS'!$A$48:$K$64,10, FALSE)</f>
        <v>2348</v>
      </c>
      <c r="D54" s="147">
        <f>VLOOKUP($A54,'3M-BS'!$A$48:$K$64,9, FALSE)</f>
        <v>2357</v>
      </c>
      <c r="E54" s="147">
        <f>VLOOKUP($A54,'3M-BS'!$A$48:$K$64,8, FALSE)</f>
        <v>2551</v>
      </c>
      <c r="F54" s="147">
        <f>VLOOKUP($A54,'3M-BS'!$A$48:$K$64,7, FALSE)</f>
        <v>2626</v>
      </c>
      <c r="G54" s="147">
        <f>VLOOKUP($A54,'3M-BS'!$A$48:$K$64,6, FALSE)</f>
        <v>2452</v>
      </c>
      <c r="H54" s="147">
        <f>VLOOKUP($A54,'3M-BS'!$A$48:$K$64,5, FALSE)</f>
        <v>4595</v>
      </c>
      <c r="I54" s="147">
        <f>VLOOKUP($A54,'3M-BS'!$A$48:$K$64,4, FALSE)</f>
        <v>14332</v>
      </c>
      <c r="J54" s="147">
        <f>VLOOKUP($A54,'3M-BS'!$A$48:$K$64,3, FALSE)</f>
        <v>10974</v>
      </c>
      <c r="K54" s="148">
        <f>VLOOKUP($A54,'3M-BS'!$A$48:$K$64,2, FALSE)</f>
        <v>10047</v>
      </c>
      <c r="L54" s="133">
        <v>8689</v>
      </c>
      <c r="M54" s="133">
        <v>5371</v>
      </c>
      <c r="N54" s="133">
        <v>3932</v>
      </c>
      <c r="O54" s="133">
        <v>2468</v>
      </c>
      <c r="P54" s="133">
        <v>2026</v>
      </c>
      <c r="Q54" s="133">
        <v>1623</v>
      </c>
      <c r="R54" s="133">
        <v>1241</v>
      </c>
      <c r="S54" s="133">
        <v>890</v>
      </c>
      <c r="T54" s="133">
        <v>561</v>
      </c>
      <c r="U54" s="133">
        <v>274</v>
      </c>
      <c r="V54" s="133">
        <v>0</v>
      </c>
    </row>
    <row r="55" spans="1:22" x14ac:dyDescent="0.2">
      <c r="A55" s="133" t="str">
        <f>'3M-BS'!A63</f>
        <v>Deferred Income</v>
      </c>
      <c r="B55" s="147">
        <f>VLOOKUP($A55,'3M-BS'!$A$48:$K$64,11, FALSE)</f>
        <v>15</v>
      </c>
      <c r="C55" s="147">
        <f>VLOOKUP($A55,'3M-BS'!$A$48:$K$64,10, FALSE)</f>
        <v>0</v>
      </c>
      <c r="D55" s="147">
        <f>VLOOKUP($A55,'3M-BS'!$A$48:$K$64,9, FALSE)</f>
        <v>0</v>
      </c>
      <c r="E55" s="147">
        <f>VLOOKUP($A55,'3M-BS'!$A$48:$K$64,8, FALSE)</f>
        <v>0</v>
      </c>
      <c r="F55" s="147">
        <f>VLOOKUP($A55,'3M-BS'!$A$48:$K$64,7, FALSE)</f>
        <v>0</v>
      </c>
      <c r="G55" s="147">
        <f>VLOOKUP($A55,'3M-BS'!$A$48:$K$64,6, FALSE)</f>
        <v>0</v>
      </c>
      <c r="H55" s="147">
        <f>VLOOKUP($A55,'3M-BS'!$A$48:$K$64,5, FALSE)</f>
        <v>0</v>
      </c>
      <c r="I55" s="147">
        <f>VLOOKUP($A55,'3M-BS'!$A$48:$K$64,4, FALSE)</f>
        <v>0</v>
      </c>
      <c r="J55" s="147">
        <f>VLOOKUP($A55,'3M-BS'!$A$48:$K$64,3, FALSE)</f>
        <v>0</v>
      </c>
      <c r="K55" s="148">
        <f>VLOOKUP($A55,'3M-BS'!$A$48:$K$64,2, FALSE)</f>
        <v>0</v>
      </c>
      <c r="L55" s="155">
        <f>K55</f>
        <v>0</v>
      </c>
      <c r="M55" s="155">
        <f t="shared" ref="M55:V55" si="43">L55</f>
        <v>0</v>
      </c>
      <c r="N55" s="155">
        <f t="shared" si="43"/>
        <v>0</v>
      </c>
      <c r="O55" s="155">
        <f t="shared" si="43"/>
        <v>0</v>
      </c>
      <c r="P55" s="155">
        <f t="shared" si="43"/>
        <v>0</v>
      </c>
      <c r="Q55" s="155">
        <f t="shared" si="43"/>
        <v>0</v>
      </c>
      <c r="R55" s="155">
        <f t="shared" si="43"/>
        <v>0</v>
      </c>
      <c r="S55" s="155">
        <f t="shared" si="43"/>
        <v>0</v>
      </c>
      <c r="T55" s="155">
        <f t="shared" si="43"/>
        <v>0</v>
      </c>
      <c r="U55" s="155">
        <f t="shared" si="43"/>
        <v>0</v>
      </c>
      <c r="V55" s="155">
        <f t="shared" si="43"/>
        <v>0</v>
      </c>
    </row>
    <row r="56" spans="1:22" x14ac:dyDescent="0.2">
      <c r="A56" s="132" t="s">
        <v>164</v>
      </c>
      <c r="B56" s="155">
        <f>SUM(B53+B52+B51+B48+B45+B44+B43+B42)</f>
        <v>22563</v>
      </c>
      <c r="C56" s="155">
        <f t="shared" ref="C56:V56" si="44">SUM(C53+C52+C51+C48+C45+C44+C43+C42)</f>
        <v>26365</v>
      </c>
      <c r="D56" s="155">
        <f t="shared" si="44"/>
        <v>26652</v>
      </c>
      <c r="E56" s="155">
        <f t="shared" si="44"/>
        <v>34533</v>
      </c>
      <c r="F56" s="155">
        <f t="shared" si="44"/>
        <v>34413</v>
      </c>
      <c r="G56" s="155">
        <f t="shared" si="44"/>
        <v>31955</v>
      </c>
      <c r="H56" s="155">
        <f t="shared" si="44"/>
        <v>31685</v>
      </c>
      <c r="I56" s="155">
        <f t="shared" si="44"/>
        <v>45712</v>
      </c>
      <c r="J56" s="155">
        <f t="shared" si="44"/>
        <v>35974</v>
      </c>
      <c r="K56" s="156">
        <f t="shared" si="44"/>
        <v>32986</v>
      </c>
      <c r="L56" s="156">
        <f t="shared" si="44"/>
        <v>31074.589956709955</v>
      </c>
      <c r="M56" s="156">
        <f t="shared" si="44"/>
        <v>27545.613558661007</v>
      </c>
      <c r="N56" s="156">
        <f t="shared" si="44"/>
        <v>25906.164504837401</v>
      </c>
      <c r="O56" s="156">
        <f t="shared" si="44"/>
        <v>24252.622545014052</v>
      </c>
      <c r="P56" s="156">
        <f t="shared" si="44"/>
        <v>23632.380965197099</v>
      </c>
      <c r="Q56" s="156">
        <f t="shared" si="44"/>
        <v>22972.213918086964</v>
      </c>
      <c r="R56" s="156">
        <f t="shared" si="44"/>
        <v>22839.43370528155</v>
      </c>
      <c r="S56" s="156">
        <f t="shared" si="44"/>
        <v>22744.204987181529</v>
      </c>
      <c r="T56" s="156">
        <f t="shared" si="44"/>
        <v>22677.696555660754</v>
      </c>
      <c r="U56" s="156">
        <f t="shared" si="44"/>
        <v>22160.081433760268</v>
      </c>
      <c r="V56" s="156">
        <f t="shared" si="44"/>
        <v>22162.536977645661</v>
      </c>
    </row>
    <row r="57" spans="1:22" x14ac:dyDescent="0.2">
      <c r="A57" s="140" t="s">
        <v>184</v>
      </c>
      <c r="B57" s="151">
        <f>B53+B52+B51+B45+B44+B43</f>
        <v>10868</v>
      </c>
      <c r="C57" s="151">
        <f t="shared" ref="C57:J57" si="45">C53+C52+C51+C45+C44+C43</f>
        <v>12356</v>
      </c>
      <c r="D57" s="151">
        <f t="shared" si="45"/>
        <v>11955</v>
      </c>
      <c r="E57" s="151">
        <f t="shared" si="45"/>
        <v>13234</v>
      </c>
      <c r="F57" s="151">
        <f t="shared" si="45"/>
        <v>14638</v>
      </c>
      <c r="G57" s="151">
        <f t="shared" si="45"/>
        <v>13638</v>
      </c>
      <c r="H57" s="151">
        <f t="shared" si="45"/>
        <v>14819</v>
      </c>
      <c r="I57" s="151">
        <f>I53*0+I52+I51+I45+I44+I43</f>
        <v>14629</v>
      </c>
      <c r="J57" s="151">
        <f t="shared" si="45"/>
        <v>22315</v>
      </c>
      <c r="K57" s="152">
        <f>K53+K52+K51+K45+K44+K43</f>
        <v>19854</v>
      </c>
      <c r="L57" s="152">
        <f t="shared" ref="L57:V57" si="46">L53+L52+L51+L45+L44+L43</f>
        <v>18609.589956709955</v>
      </c>
      <c r="M57" s="152">
        <f t="shared" si="46"/>
        <v>15580.613558661005</v>
      </c>
      <c r="N57" s="152">
        <f t="shared" si="46"/>
        <v>14441.164504837401</v>
      </c>
      <c r="O57" s="152">
        <f t="shared" si="46"/>
        <v>13287.622545014052</v>
      </c>
      <c r="P57" s="152">
        <f t="shared" si="46"/>
        <v>13167.380965197095</v>
      </c>
      <c r="Q57" s="152">
        <f t="shared" si="46"/>
        <v>13007.213918086965</v>
      </c>
      <c r="R57" s="152">
        <f t="shared" si="46"/>
        <v>12874.433705281548</v>
      </c>
      <c r="S57" s="152">
        <f t="shared" si="46"/>
        <v>12779.204987181529</v>
      </c>
      <c r="T57" s="152">
        <f t="shared" si="46"/>
        <v>12712.696555660754</v>
      </c>
      <c r="U57" s="152">
        <f t="shared" si="46"/>
        <v>12695.081433760268</v>
      </c>
      <c r="V57" s="152">
        <f t="shared" si="46"/>
        <v>12697.536977645661</v>
      </c>
    </row>
    <row r="58" spans="1:22" x14ac:dyDescent="0.2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44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</row>
    <row r="59" spans="1:22" x14ac:dyDescent="0.2"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</row>
    <row r="60" spans="1:22" x14ac:dyDescent="0.2">
      <c r="A60" s="132" t="s">
        <v>165</v>
      </c>
      <c r="B60" s="133"/>
      <c r="C60" s="133"/>
      <c r="D60" s="133"/>
      <c r="E60" s="133"/>
      <c r="F60" s="133"/>
      <c r="G60" s="133"/>
      <c r="H60" s="133"/>
      <c r="I60" s="133"/>
      <c r="J60" s="155"/>
      <c r="K60" s="155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</row>
    <row r="61" spans="1:22" x14ac:dyDescent="0.2">
      <c r="A61" s="132" t="s">
        <v>166</v>
      </c>
      <c r="B61" s="132">
        <f>VLOOKUP($A61,'3M-BS'!$A$9:$K$79,11, FALSE)</f>
        <v>10298</v>
      </c>
      <c r="C61" s="132">
        <f>VLOOKUP($A61,'3M-BS'!$A$9:$K$79,10, FALSE)</f>
        <v>11563</v>
      </c>
      <c r="D61" s="132">
        <f>VLOOKUP($A61,'3M-BS'!$A$9:$K$79,9, FALSE)</f>
        <v>9796</v>
      </c>
      <c r="E61" s="132">
        <f>VLOOKUP($A61,'3M-BS'!$A$9:$K$79,8, FALSE)</f>
        <v>10063</v>
      </c>
      <c r="F61" s="132">
        <f>VLOOKUP($A61,'3M-BS'!$A$9:$K$79,7, FALSE)</f>
        <v>12867</v>
      </c>
      <c r="G61" s="132">
        <f>VLOOKUP($A61,'3M-BS'!$A$9:$K$79,6, FALSE)</f>
        <v>15046</v>
      </c>
      <c r="H61" s="132">
        <f>VLOOKUP($A61,'3M-BS'!$A$9:$K$79,5, FALSE)</f>
        <v>14722</v>
      </c>
      <c r="I61" s="132">
        <f>VLOOKUP($A61,'3M-BS'!$A$9:$K$79,4, FALSE)</f>
        <v>4807</v>
      </c>
      <c r="J61" s="132">
        <f>VLOOKUP($A61,'3M-BS'!$A$9:$K$79,3, FALSE)</f>
        <v>3842</v>
      </c>
      <c r="K61" s="143">
        <f>VLOOKUP($A61,'3M-BS'!$A$9:$K$79,2, FALSE)</f>
        <v>4702</v>
      </c>
      <c r="L61" s="166">
        <f ca="1">SUM(L62:L67)</f>
        <v>6753.1321634271662</v>
      </c>
      <c r="M61" s="166">
        <f t="shared" ref="M61:V61" ca="1" si="47">SUM(M62:M67)</f>
        <v>9027.595474506008</v>
      </c>
      <c r="N61" s="166">
        <f t="shared" ca="1" si="47"/>
        <v>11577.829893034614</v>
      </c>
      <c r="O61" s="166">
        <f t="shared" ca="1" si="47"/>
        <v>14399.297290250805</v>
      </c>
      <c r="P61" s="166">
        <f t="shared" ca="1" si="47"/>
        <v>17519.401829889648</v>
      </c>
      <c r="Q61" s="166">
        <f t="shared" ca="1" si="47"/>
        <v>20911.186508108898</v>
      </c>
      <c r="R61" s="166">
        <f t="shared" ca="1" si="47"/>
        <v>24593.230079078683</v>
      </c>
      <c r="S61" s="166">
        <f t="shared" ca="1" si="47"/>
        <v>28578.992474163955</v>
      </c>
      <c r="T61" s="166">
        <f t="shared" ca="1" si="47"/>
        <v>32883.151918524498</v>
      </c>
      <c r="U61" s="166">
        <f t="shared" ca="1" si="47"/>
        <v>37515.782557602462</v>
      </c>
      <c r="V61" s="166">
        <f t="shared" ca="1" si="47"/>
        <v>42498.029126940877</v>
      </c>
    </row>
    <row r="62" spans="1:22" x14ac:dyDescent="0.2">
      <c r="A62" s="133" t="s">
        <v>167</v>
      </c>
      <c r="B62" s="133">
        <f>VLOOKUP($A62,'3M-BS'!$A$9:$K$79,11, FALSE)</f>
        <v>9</v>
      </c>
      <c r="C62" s="133">
        <f>VLOOKUP($A62,'3M-BS'!$A$9:$K$79,10, FALSE)</f>
        <v>9</v>
      </c>
      <c r="D62" s="133">
        <f>VLOOKUP($A62,'3M-BS'!$A$9:$K$79,9, FALSE)</f>
        <v>9</v>
      </c>
      <c r="E62" s="133">
        <f>VLOOKUP($A62,'3M-BS'!$A$9:$K$79,8, FALSE)</f>
        <v>9</v>
      </c>
      <c r="F62" s="133">
        <f>VLOOKUP($A62,'3M-BS'!$A$9:$K$79,7, FALSE)</f>
        <v>9</v>
      </c>
      <c r="G62" s="133">
        <f>VLOOKUP($A62,'3M-BS'!$A$9:$K$79,6, FALSE)</f>
        <v>9</v>
      </c>
      <c r="H62" s="133">
        <f>VLOOKUP($A62,'3M-BS'!$A$9:$K$79,5, FALSE)</f>
        <v>9</v>
      </c>
      <c r="I62" s="133">
        <f>VLOOKUP($A62,'3M-BS'!$A$9:$K$79,4, FALSE)</f>
        <v>9</v>
      </c>
      <c r="J62" s="133">
        <f>VLOOKUP($A62,'3M-BS'!$A$9:$K$79,3, FALSE)</f>
        <v>9</v>
      </c>
      <c r="K62" s="144">
        <f>VLOOKUP($A62,'3M-BS'!$A$9:$K$79,2, FALSE)</f>
        <v>9</v>
      </c>
      <c r="L62" s="133">
        <f>K62</f>
        <v>9</v>
      </c>
      <c r="M62" s="133">
        <f t="shared" ref="M62:V62" si="48">L62</f>
        <v>9</v>
      </c>
      <c r="N62" s="133">
        <f t="shared" si="48"/>
        <v>9</v>
      </c>
      <c r="O62" s="133">
        <f t="shared" si="48"/>
        <v>9</v>
      </c>
      <c r="P62" s="133">
        <f t="shared" si="48"/>
        <v>9</v>
      </c>
      <c r="Q62" s="133">
        <f t="shared" si="48"/>
        <v>9</v>
      </c>
      <c r="R62" s="133">
        <f t="shared" si="48"/>
        <v>9</v>
      </c>
      <c r="S62" s="133">
        <f t="shared" si="48"/>
        <v>9</v>
      </c>
      <c r="T62" s="133">
        <f t="shared" si="48"/>
        <v>9</v>
      </c>
      <c r="U62" s="133">
        <f t="shared" si="48"/>
        <v>9</v>
      </c>
      <c r="V62" s="133">
        <f t="shared" si="48"/>
        <v>9</v>
      </c>
    </row>
    <row r="63" spans="1:22" x14ac:dyDescent="0.2">
      <c r="A63" s="133" t="s">
        <v>168</v>
      </c>
      <c r="B63" s="133">
        <f>VLOOKUP($A63,'3M-BS'!$A$9:$K$79,11, FALSE)</f>
        <v>5061</v>
      </c>
      <c r="C63" s="133">
        <f>VLOOKUP($A63,'3M-BS'!$A$9:$K$79,10, FALSE)</f>
        <v>5352</v>
      </c>
      <c r="D63" s="133">
        <f>VLOOKUP($A63,'3M-BS'!$A$9:$K$79,9, FALSE)</f>
        <v>5643</v>
      </c>
      <c r="E63" s="133">
        <f>VLOOKUP($A63,'3M-BS'!$A$9:$K$79,8, FALSE)</f>
        <v>5907</v>
      </c>
      <c r="F63" s="133">
        <f>VLOOKUP($A63,'3M-BS'!$A$9:$K$79,7, FALSE)</f>
        <v>6162</v>
      </c>
      <c r="G63" s="133">
        <f>VLOOKUP($A63,'3M-BS'!$A$9:$K$79,6, FALSE)</f>
        <v>6429</v>
      </c>
      <c r="H63" s="133">
        <f>VLOOKUP($A63,'3M-BS'!$A$9:$K$79,5, FALSE)</f>
        <v>6691</v>
      </c>
      <c r="I63" s="133">
        <f>VLOOKUP($A63,'3M-BS'!$A$9:$K$79,4, FALSE)</f>
        <v>6956</v>
      </c>
      <c r="J63" s="133">
        <f>VLOOKUP($A63,'3M-BS'!$A$9:$K$79,3, FALSE)</f>
        <v>7229</v>
      </c>
      <c r="K63" s="144">
        <f>VLOOKUP($A63,'3M-BS'!$A$9:$K$79,2, FALSE)</f>
        <v>7440</v>
      </c>
      <c r="L63" s="133">
        <f>K63</f>
        <v>7440</v>
      </c>
      <c r="M63" s="133">
        <f t="shared" ref="M63:V63" si="49">L63</f>
        <v>7440</v>
      </c>
      <c r="N63" s="133">
        <f t="shared" si="49"/>
        <v>7440</v>
      </c>
      <c r="O63" s="133">
        <f t="shared" si="49"/>
        <v>7440</v>
      </c>
      <c r="P63" s="133">
        <f t="shared" si="49"/>
        <v>7440</v>
      </c>
      <c r="Q63" s="133">
        <f t="shared" si="49"/>
        <v>7440</v>
      </c>
      <c r="R63" s="133">
        <f t="shared" si="49"/>
        <v>7440</v>
      </c>
      <c r="S63" s="133">
        <f t="shared" si="49"/>
        <v>7440</v>
      </c>
      <c r="T63" s="133">
        <f t="shared" si="49"/>
        <v>7440</v>
      </c>
      <c r="U63" s="133">
        <f t="shared" si="49"/>
        <v>7440</v>
      </c>
      <c r="V63" s="133">
        <f t="shared" si="49"/>
        <v>7440</v>
      </c>
    </row>
    <row r="64" spans="1:22" x14ac:dyDescent="0.2">
      <c r="A64" s="133" t="s">
        <v>169</v>
      </c>
      <c r="B64" s="133">
        <f>VLOOKUP($A64,'3M-BS'!$A$9:$K$79,11, FALSE)</f>
        <v>37907</v>
      </c>
      <c r="C64" s="133">
        <f>VLOOKUP($A64,'3M-BS'!$A$9:$K$79,10, FALSE)</f>
        <v>39115</v>
      </c>
      <c r="D64" s="133">
        <f>VLOOKUP($A64,'3M-BS'!$A$9:$K$79,9, FALSE)</f>
        <v>40636</v>
      </c>
      <c r="E64" s="133">
        <f>VLOOKUP($A64,'3M-BS'!$A$9:$K$79,8, FALSE)</f>
        <v>42135</v>
      </c>
      <c r="F64" s="133">
        <f>VLOOKUP($A64,'3M-BS'!$A$9:$K$79,7, FALSE)</f>
        <v>43821</v>
      </c>
      <c r="G64" s="133">
        <f>VLOOKUP($A64,'3M-BS'!$A$9:$K$79,6, FALSE)</f>
        <v>45821</v>
      </c>
      <c r="H64" s="133">
        <f>VLOOKUP($A64,'3M-BS'!$A$9:$K$79,5, FALSE)</f>
        <v>47950</v>
      </c>
      <c r="I64" s="133">
        <f>VLOOKUP($A64,'3M-BS'!$A$9:$K$79,4, FALSE)</f>
        <v>37479</v>
      </c>
      <c r="J64" s="133">
        <f>VLOOKUP($A64,'3M-BS'!$A$9:$K$79,3, FALSE)</f>
        <v>36797</v>
      </c>
      <c r="K64" s="144">
        <f>VLOOKUP($A64,'3M-BS'!$A$9:$K$79,2, FALSE)</f>
        <v>38258</v>
      </c>
      <c r="L64" s="166">
        <f ca="1">K64+'IS-Reorg'!L46-'IS-Reorg'!L56*'IS-Reorg'!L55</f>
        <v>40309.132163427166</v>
      </c>
      <c r="M64" s="166">
        <f ca="1">L64+'IS-Reorg'!M46-'IS-Reorg'!M56*'IS-Reorg'!M55</f>
        <v>42583.595474506008</v>
      </c>
      <c r="N64" s="166">
        <f ca="1">M64+'IS-Reorg'!N46-'IS-Reorg'!N56*'IS-Reorg'!N55</f>
        <v>45133.829893034614</v>
      </c>
      <c r="O64" s="166">
        <f ca="1">N64+'IS-Reorg'!O46-'IS-Reorg'!O56*'IS-Reorg'!O55</f>
        <v>47955.297290250805</v>
      </c>
      <c r="P64" s="166">
        <f ca="1">O64+'IS-Reorg'!P46-'IS-Reorg'!P56*'IS-Reorg'!P55</f>
        <v>51075.401829889648</v>
      </c>
      <c r="Q64" s="166">
        <f ca="1">P64+'IS-Reorg'!Q46-'IS-Reorg'!Q56*'IS-Reorg'!Q55</f>
        <v>54467.186508108898</v>
      </c>
      <c r="R64" s="166">
        <f ca="1">Q64+'IS-Reorg'!R46-'IS-Reorg'!R56*'IS-Reorg'!R55</f>
        <v>58149.230079078683</v>
      </c>
      <c r="S64" s="166">
        <f ca="1">R64+'IS-Reorg'!S46-'IS-Reorg'!S56*'IS-Reorg'!S55</f>
        <v>62134.992474163955</v>
      </c>
      <c r="T64" s="166">
        <f ca="1">S64+'IS-Reorg'!T46-'IS-Reorg'!T56*'IS-Reorg'!T55</f>
        <v>66439.151918524498</v>
      </c>
      <c r="U64" s="166">
        <f ca="1">T64+'IS-Reorg'!U46-'IS-Reorg'!U56*'IS-Reorg'!U55</f>
        <v>71071.782557602462</v>
      </c>
      <c r="V64" s="166">
        <f ca="1">U64+'IS-Reorg'!V46-'IS-Reorg'!V56*'IS-Reorg'!V55</f>
        <v>76054.029126940877</v>
      </c>
    </row>
    <row r="65" spans="1:22" x14ac:dyDescent="0.2">
      <c r="A65" s="133" t="s">
        <v>170</v>
      </c>
      <c r="B65" s="133">
        <f>VLOOKUP($A65,'3M-BS'!$A$9:$K$79,11, FALSE)</f>
        <v>-2008</v>
      </c>
      <c r="C65" s="133">
        <f>VLOOKUP($A65,'3M-BS'!$A$9:$K$79,10, FALSE)</f>
        <v>-1638</v>
      </c>
      <c r="D65" s="133">
        <f>VLOOKUP($A65,'3M-BS'!$A$9:$K$79,9, FALSE)</f>
        <v>-2098</v>
      </c>
      <c r="E65" s="133">
        <f>VLOOKUP($A65,'3M-BS'!$A$9:$K$79,8, FALSE)</f>
        <v>-1899</v>
      </c>
      <c r="F65" s="133">
        <f>VLOOKUP($A65,'3M-BS'!$A$9:$K$79,7, FALSE)</f>
        <v>-1450</v>
      </c>
      <c r="G65" s="133">
        <f>VLOOKUP($A65,'3M-BS'!$A$9:$K$79,6, FALSE)</f>
        <v>-1943</v>
      </c>
      <c r="H65" s="133">
        <f>VLOOKUP($A65,'3M-BS'!$A$9:$K$79,5, FALSE)</f>
        <v>-2828</v>
      </c>
      <c r="I65" s="133">
        <f>VLOOKUP($A65,'3M-BS'!$A$9:$K$79,4, FALSE)</f>
        <v>-2506</v>
      </c>
      <c r="J65" s="133">
        <f>VLOOKUP($A65,'3M-BS'!$A$9:$K$79,3, FALSE)</f>
        <v>-2953</v>
      </c>
      <c r="K65" s="144">
        <f>VLOOKUP($A65,'3M-BS'!$A$9:$K$79,2, FALSE)</f>
        <v>-2520</v>
      </c>
      <c r="L65" s="133">
        <f>K65</f>
        <v>-2520</v>
      </c>
      <c r="M65" s="133">
        <f t="shared" ref="M65:V65" si="50">L65</f>
        <v>-2520</v>
      </c>
      <c r="N65" s="133">
        <f t="shared" si="50"/>
        <v>-2520</v>
      </c>
      <c r="O65" s="133">
        <f t="shared" si="50"/>
        <v>-2520</v>
      </c>
      <c r="P65" s="133">
        <f t="shared" si="50"/>
        <v>-2520</v>
      </c>
      <c r="Q65" s="133">
        <f t="shared" si="50"/>
        <v>-2520</v>
      </c>
      <c r="R65" s="133">
        <f t="shared" si="50"/>
        <v>-2520</v>
      </c>
      <c r="S65" s="133">
        <f t="shared" si="50"/>
        <v>-2520</v>
      </c>
      <c r="T65" s="133">
        <f t="shared" si="50"/>
        <v>-2520</v>
      </c>
      <c r="U65" s="133">
        <f t="shared" si="50"/>
        <v>-2520</v>
      </c>
      <c r="V65" s="133">
        <f t="shared" si="50"/>
        <v>-2520</v>
      </c>
    </row>
    <row r="66" spans="1:22" x14ac:dyDescent="0.2">
      <c r="A66" s="133" t="s">
        <v>171</v>
      </c>
      <c r="B66" s="133">
        <f>VLOOKUP($A66,'3M-BS'!$A$9:$K$79,11, FALSE)</f>
        <v>-5237</v>
      </c>
      <c r="C66" s="133">
        <f>VLOOKUP($A66,'3M-BS'!$A$9:$K$79,10, FALSE)</f>
        <v>-5388</v>
      </c>
      <c r="D66" s="133">
        <f>VLOOKUP($A66,'3M-BS'!$A$9:$K$79,9, FALSE)</f>
        <v>-4768</v>
      </c>
      <c r="E66" s="133">
        <f>VLOOKUP($A66,'3M-BS'!$A$9:$K$79,8, FALSE)</f>
        <v>-6240</v>
      </c>
      <c r="F66" s="133">
        <f>VLOOKUP($A66,'3M-BS'!$A$9:$K$79,7, FALSE)</f>
        <v>-6271</v>
      </c>
      <c r="G66" s="133">
        <f>VLOOKUP($A66,'3M-BS'!$A$9:$K$79,6, FALSE)</f>
        <v>-4807</v>
      </c>
      <c r="H66" s="133">
        <f>VLOOKUP($A66,'3M-BS'!$A$9:$K$79,5, FALSE)</f>
        <v>-3845</v>
      </c>
      <c r="I66" s="133">
        <f>VLOOKUP($A66,'3M-BS'!$A$9:$K$79,4, FALSE)</f>
        <v>-4272</v>
      </c>
      <c r="J66" s="133">
        <f>VLOOKUP($A66,'3M-BS'!$A$9:$K$79,3, FALSE)</f>
        <v>-2778</v>
      </c>
      <c r="K66" s="144">
        <f>VLOOKUP($A66,'3M-BS'!$A$9:$K$79,2, FALSE)</f>
        <v>-2549</v>
      </c>
      <c r="L66" s="133">
        <f>K66</f>
        <v>-2549</v>
      </c>
      <c r="M66" s="133">
        <f t="shared" ref="M66:V67" si="51">L66</f>
        <v>-2549</v>
      </c>
      <c r="N66" s="133">
        <f t="shared" si="51"/>
        <v>-2549</v>
      </c>
      <c r="O66" s="133">
        <f t="shared" si="51"/>
        <v>-2549</v>
      </c>
      <c r="P66" s="133">
        <f t="shared" si="51"/>
        <v>-2549</v>
      </c>
      <c r="Q66" s="133">
        <f t="shared" si="51"/>
        <v>-2549</v>
      </c>
      <c r="R66" s="133">
        <f t="shared" si="51"/>
        <v>-2549</v>
      </c>
      <c r="S66" s="133">
        <f t="shared" si="51"/>
        <v>-2549</v>
      </c>
      <c r="T66" s="133">
        <f t="shared" si="51"/>
        <v>-2549</v>
      </c>
      <c r="U66" s="133">
        <f t="shared" si="51"/>
        <v>-2549</v>
      </c>
      <c r="V66" s="133">
        <f t="shared" si="51"/>
        <v>-2549</v>
      </c>
    </row>
    <row r="67" spans="1:22" x14ac:dyDescent="0.2">
      <c r="A67" s="133" t="s">
        <v>172</v>
      </c>
      <c r="B67" s="133">
        <f>VLOOKUP($A67,'3M-BS'!$A$9:$K$79,11, FALSE)</f>
        <v>-25434</v>
      </c>
      <c r="C67" s="133">
        <f>VLOOKUP($A67,'3M-BS'!$A$9:$K$79,10, FALSE)</f>
        <v>-25887</v>
      </c>
      <c r="D67" s="133">
        <f>VLOOKUP($A67,'3M-BS'!$A$9:$K$79,9, FALSE)</f>
        <v>-29626</v>
      </c>
      <c r="E67" s="133">
        <f>VLOOKUP($A67,'3M-BS'!$A$9:$K$79,8, FALSE)</f>
        <v>-29849</v>
      </c>
      <c r="F67" s="133">
        <f>VLOOKUP($A67,'3M-BS'!$A$9:$K$79,7, FALSE)</f>
        <v>-29404</v>
      </c>
      <c r="G67" s="133">
        <f>VLOOKUP($A67,'3M-BS'!$A$9:$K$79,6, FALSE)</f>
        <v>-30463</v>
      </c>
      <c r="H67" s="133">
        <f>VLOOKUP($A67,'3M-BS'!$A$9:$K$79,5, FALSE)</f>
        <v>-33255</v>
      </c>
      <c r="I67" s="133">
        <f>VLOOKUP($A67,'3M-BS'!$A$9:$K$79,4, FALSE)</f>
        <v>-32859</v>
      </c>
      <c r="J67" s="133">
        <f>VLOOKUP($A67,'3M-BS'!$A$9:$K$79,3, FALSE)</f>
        <v>-34462</v>
      </c>
      <c r="K67" s="144">
        <f>VLOOKUP($A67,'3M-BS'!$A$9:$K$79,2, FALSE)</f>
        <v>-35936</v>
      </c>
      <c r="L67" s="133">
        <f>K67</f>
        <v>-35936</v>
      </c>
      <c r="M67" s="133">
        <f t="shared" si="51"/>
        <v>-35936</v>
      </c>
      <c r="N67" s="133">
        <f t="shared" si="51"/>
        <v>-35936</v>
      </c>
      <c r="O67" s="133">
        <f t="shared" si="51"/>
        <v>-35936</v>
      </c>
      <c r="P67" s="133">
        <f t="shared" si="51"/>
        <v>-35936</v>
      </c>
      <c r="Q67" s="133">
        <f t="shared" si="51"/>
        <v>-35936</v>
      </c>
      <c r="R67" s="133">
        <f t="shared" si="51"/>
        <v>-35936</v>
      </c>
      <c r="S67" s="133">
        <f t="shared" si="51"/>
        <v>-35936</v>
      </c>
      <c r="T67" s="133">
        <f t="shared" si="51"/>
        <v>-35936</v>
      </c>
      <c r="U67" s="133">
        <f t="shared" si="51"/>
        <v>-35936</v>
      </c>
      <c r="V67" s="133">
        <f t="shared" si="51"/>
        <v>-35936</v>
      </c>
    </row>
    <row r="68" spans="1:22" x14ac:dyDescent="0.2">
      <c r="A68" s="132" t="s">
        <v>173</v>
      </c>
      <c r="B68" s="132">
        <f>VLOOKUP($A68,'3M-BS'!$A$9:$K$79,11, FALSE)</f>
        <v>10298</v>
      </c>
      <c r="C68" s="132">
        <f>VLOOKUP($A68,'3M-BS'!$A$9:$K$79,10, FALSE)</f>
        <v>11563</v>
      </c>
      <c r="D68" s="132">
        <f>VLOOKUP($A68,'3M-BS'!$A$9:$K$79,9, FALSE)</f>
        <v>9796</v>
      </c>
      <c r="E68" s="132">
        <f>VLOOKUP($A68,'3M-BS'!$A$9:$K$79,8, FALSE)</f>
        <v>10063</v>
      </c>
      <c r="F68" s="132">
        <f>VLOOKUP($A68,'3M-BS'!$A$9:$K$79,7, FALSE)</f>
        <v>12867</v>
      </c>
      <c r="G68" s="132">
        <f>VLOOKUP($A68,'3M-BS'!$A$9:$K$79,6, FALSE)</f>
        <v>15046</v>
      </c>
      <c r="H68" s="132">
        <f>VLOOKUP($A68,'3M-BS'!$A$9:$K$79,5, FALSE)</f>
        <v>14722</v>
      </c>
      <c r="I68" s="132">
        <f>VLOOKUP($A68,'3M-BS'!$A$9:$K$79,4, FALSE)</f>
        <v>4807</v>
      </c>
      <c r="J68" s="132">
        <f>VLOOKUP($A68,'3M-BS'!$A$9:$K$79,3, FALSE)</f>
        <v>3842</v>
      </c>
      <c r="K68" s="143">
        <f>VLOOKUP($A68,'3M-BS'!$A$9:$K$79,2, FALSE)</f>
        <v>4702</v>
      </c>
      <c r="L68" s="167">
        <f ca="1">SUM(L62:L67)</f>
        <v>6753.1321634271662</v>
      </c>
      <c r="M68" s="167">
        <f t="shared" ref="M68:V68" ca="1" si="52">SUM(M62:M67)</f>
        <v>9027.595474506008</v>
      </c>
      <c r="N68" s="167">
        <f t="shared" ca="1" si="52"/>
        <v>11577.829893034614</v>
      </c>
      <c r="O68" s="167">
        <f t="shared" ca="1" si="52"/>
        <v>14399.297290250805</v>
      </c>
      <c r="P68" s="167">
        <f t="shared" ca="1" si="52"/>
        <v>17519.401829889648</v>
      </c>
      <c r="Q68" s="167">
        <f t="shared" ca="1" si="52"/>
        <v>20911.186508108898</v>
      </c>
      <c r="R68" s="167">
        <f t="shared" ca="1" si="52"/>
        <v>24593.230079078683</v>
      </c>
      <c r="S68" s="167">
        <f t="shared" ca="1" si="52"/>
        <v>28578.992474163955</v>
      </c>
      <c r="T68" s="167">
        <f t="shared" ca="1" si="52"/>
        <v>32883.151918524498</v>
      </c>
      <c r="U68" s="167">
        <f t="shared" ca="1" si="52"/>
        <v>37515.782557602462</v>
      </c>
      <c r="V68" s="167">
        <f t="shared" ca="1" si="52"/>
        <v>42498.029126940877</v>
      </c>
    </row>
    <row r="69" spans="1:22" x14ac:dyDescent="0.2">
      <c r="A69" s="133" t="s">
        <v>174</v>
      </c>
      <c r="B69" s="133">
        <f>VLOOKUP($A69,'3M-BS'!$A$9:$K$79,11, FALSE)</f>
        <v>45</v>
      </c>
      <c r="C69" s="133">
        <f>VLOOKUP($A69,'3M-BS'!$A$9:$K$79,10, FALSE)</f>
        <v>59</v>
      </c>
      <c r="D69" s="133">
        <f>VLOOKUP($A69,'3M-BS'!$A$9:$K$79,9, FALSE)</f>
        <v>52</v>
      </c>
      <c r="E69" s="133">
        <f>VLOOKUP($A69,'3M-BS'!$A$9:$K$79,8, FALSE)</f>
        <v>63</v>
      </c>
      <c r="F69" s="133">
        <f>VLOOKUP($A69,'3M-BS'!$A$9:$K$79,7, FALSE)</f>
        <v>64</v>
      </c>
      <c r="G69" s="133">
        <f>VLOOKUP($A69,'3M-BS'!$A$9:$K$79,6, FALSE)</f>
        <v>71</v>
      </c>
      <c r="H69" s="133">
        <f>VLOOKUP($A69,'3M-BS'!$A$9:$K$79,5, FALSE)</f>
        <v>48</v>
      </c>
      <c r="I69" s="133">
        <f>VLOOKUP($A69,'3M-BS'!$A$9:$K$79,4, FALSE)</f>
        <v>61</v>
      </c>
      <c r="J69" s="133">
        <f>VLOOKUP($A69,'3M-BS'!$A$9:$K$79,3, FALSE)</f>
        <v>52</v>
      </c>
      <c r="K69" s="144">
        <f>VLOOKUP($A69,'3M-BS'!$A$9:$K$79,2, FALSE)</f>
        <v>45</v>
      </c>
      <c r="L69" s="133">
        <f>K69</f>
        <v>45</v>
      </c>
      <c r="M69" s="133">
        <f t="shared" ref="M69:V69" si="53">L69</f>
        <v>45</v>
      </c>
      <c r="N69" s="133">
        <f t="shared" si="53"/>
        <v>45</v>
      </c>
      <c r="O69" s="133">
        <f t="shared" si="53"/>
        <v>45</v>
      </c>
      <c r="P69" s="133">
        <f t="shared" si="53"/>
        <v>45</v>
      </c>
      <c r="Q69" s="133">
        <f t="shared" si="53"/>
        <v>45</v>
      </c>
      <c r="R69" s="133">
        <f t="shared" si="53"/>
        <v>45</v>
      </c>
      <c r="S69" s="133">
        <f t="shared" si="53"/>
        <v>45</v>
      </c>
      <c r="T69" s="133">
        <f t="shared" si="53"/>
        <v>45</v>
      </c>
      <c r="U69" s="133">
        <f t="shared" si="53"/>
        <v>45</v>
      </c>
      <c r="V69" s="133">
        <f t="shared" si="53"/>
        <v>45</v>
      </c>
    </row>
    <row r="70" spans="1:22" x14ac:dyDescent="0.2">
      <c r="A70" s="132" t="s">
        <v>175</v>
      </c>
      <c r="B70" s="132">
        <f>VLOOKUP($A70,'3M-BS'!$A$9:$K$79,11, FALSE)</f>
        <v>10343</v>
      </c>
      <c r="C70" s="132">
        <f>VLOOKUP($A70,'3M-BS'!$A$9:$K$79,10, FALSE)</f>
        <v>11622</v>
      </c>
      <c r="D70" s="132">
        <f>VLOOKUP($A70,'3M-BS'!$A$9:$K$79,9, FALSE)</f>
        <v>9848</v>
      </c>
      <c r="E70" s="132">
        <f>VLOOKUP($A70,'3M-BS'!$A$9:$K$79,8, FALSE)</f>
        <v>10126</v>
      </c>
      <c r="F70" s="132">
        <f>VLOOKUP($A70,'3M-BS'!$A$9:$K$79,7, FALSE)</f>
        <v>12931</v>
      </c>
      <c r="G70" s="132">
        <f>VLOOKUP($A70,'3M-BS'!$A$9:$K$79,6, FALSE)</f>
        <v>15117</v>
      </c>
      <c r="H70" s="132">
        <f>VLOOKUP($A70,'3M-BS'!$A$9:$K$79,5, FALSE)</f>
        <v>14770</v>
      </c>
      <c r="I70" s="132">
        <f>VLOOKUP($A70,'3M-BS'!$A$9:$K$79,4, FALSE)</f>
        <v>4868</v>
      </c>
      <c r="J70" s="132">
        <f>VLOOKUP($A70,'3M-BS'!$A$9:$K$79,3, FALSE)</f>
        <v>3894</v>
      </c>
      <c r="K70" s="143">
        <f>VLOOKUP($A70,'3M-BS'!$A$9:$K$79,2, FALSE)</f>
        <v>4747</v>
      </c>
      <c r="L70" s="167">
        <f ca="1">L68+L69</f>
        <v>6798.1321634271662</v>
      </c>
      <c r="M70" s="167">
        <f t="shared" ref="M70:V70" ca="1" si="54">M68+M69</f>
        <v>9072.595474506008</v>
      </c>
      <c r="N70" s="167">
        <f t="shared" ca="1" si="54"/>
        <v>11622.829893034614</v>
      </c>
      <c r="O70" s="167">
        <f t="shared" ca="1" si="54"/>
        <v>14444.297290250805</v>
      </c>
      <c r="P70" s="167">
        <f t="shared" ca="1" si="54"/>
        <v>17564.401829889648</v>
      </c>
      <c r="Q70" s="167">
        <f t="shared" ca="1" si="54"/>
        <v>20956.186508108898</v>
      </c>
      <c r="R70" s="167">
        <f t="shared" ca="1" si="54"/>
        <v>24638.230079078683</v>
      </c>
      <c r="S70" s="167">
        <f t="shared" ca="1" si="54"/>
        <v>28623.992474163955</v>
      </c>
      <c r="T70" s="167">
        <f t="shared" ca="1" si="54"/>
        <v>32928.151918524498</v>
      </c>
      <c r="U70" s="167">
        <f t="shared" ca="1" si="54"/>
        <v>37560.782557602462</v>
      </c>
      <c r="V70" s="167">
        <f t="shared" ca="1" si="54"/>
        <v>42543.029126940877</v>
      </c>
    </row>
    <row r="71" spans="1:22" x14ac:dyDescent="0.2">
      <c r="A71" s="132" t="s">
        <v>176</v>
      </c>
      <c r="B71" s="157">
        <f>B70+B56</f>
        <v>32906</v>
      </c>
      <c r="C71" s="157">
        <f t="shared" ref="C71:K71" si="55">C70+C56</f>
        <v>37987</v>
      </c>
      <c r="D71" s="157">
        <f t="shared" si="55"/>
        <v>36500</v>
      </c>
      <c r="E71" s="157">
        <f t="shared" si="55"/>
        <v>44659</v>
      </c>
      <c r="F71" s="157">
        <f t="shared" si="55"/>
        <v>47344</v>
      </c>
      <c r="G71" s="157">
        <f t="shared" si="55"/>
        <v>47072</v>
      </c>
      <c r="H71" s="157">
        <f t="shared" si="55"/>
        <v>46455</v>
      </c>
      <c r="I71" s="157">
        <f t="shared" si="55"/>
        <v>50580</v>
      </c>
      <c r="J71" s="157">
        <f t="shared" si="55"/>
        <v>39868</v>
      </c>
      <c r="K71" s="158">
        <f t="shared" si="55"/>
        <v>37733</v>
      </c>
      <c r="L71" s="157">
        <f ca="1">L70+L56</f>
        <v>37872.722120137121</v>
      </c>
      <c r="M71" s="157">
        <f t="shared" ref="M71:V71" ca="1" si="56">M70+M56</f>
        <v>36618.209033167019</v>
      </c>
      <c r="N71" s="157">
        <f t="shared" ca="1" si="56"/>
        <v>37528.994397872011</v>
      </c>
      <c r="O71" s="157">
        <f t="shared" ca="1" si="56"/>
        <v>38696.919835264853</v>
      </c>
      <c r="P71" s="157">
        <f t="shared" ca="1" si="56"/>
        <v>41196.78279508675</v>
      </c>
      <c r="Q71" s="157">
        <f t="shared" ca="1" si="56"/>
        <v>43928.400426195862</v>
      </c>
      <c r="R71" s="157">
        <f t="shared" ca="1" si="56"/>
        <v>47477.663784360237</v>
      </c>
      <c r="S71" s="157">
        <f t="shared" ca="1" si="56"/>
        <v>51368.19746134548</v>
      </c>
      <c r="T71" s="157">
        <f t="shared" ca="1" si="56"/>
        <v>55605.848474185252</v>
      </c>
      <c r="U71" s="157">
        <f t="shared" ca="1" si="56"/>
        <v>59720.863991362727</v>
      </c>
      <c r="V71" s="157">
        <f t="shared" ca="1" si="56"/>
        <v>64705.566104586542</v>
      </c>
    </row>
    <row r="72" spans="1:22" x14ac:dyDescent="0.2">
      <c r="A72" s="132" t="s">
        <v>53</v>
      </c>
      <c r="B72" s="133"/>
      <c r="C72" s="133"/>
      <c r="D72" s="133"/>
      <c r="E72" s="133"/>
      <c r="F72" s="133"/>
      <c r="G72" s="133"/>
      <c r="H72" s="133"/>
      <c r="I72" s="133"/>
      <c r="J72" s="133"/>
      <c r="K72" s="144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</row>
    <row r="73" spans="1:22" x14ac:dyDescent="0.2">
      <c r="A73" s="133" t="s">
        <v>177</v>
      </c>
      <c r="B73" s="159">
        <f>VLOOKUP($A73,'3M-BS'!$A$9:$K$79,11, FALSE)</f>
        <v>17.257490000000001</v>
      </c>
      <c r="C73" s="159">
        <f>VLOOKUP($A73,'3M-BS'!$A$9:$K$79,10, FALSE)</f>
        <v>19.4374</v>
      </c>
      <c r="D73" s="159">
        <f>VLOOKUP($A73,'3M-BS'!$A$9:$K$79,9, FALSE)</f>
        <v>16.989979999999999</v>
      </c>
      <c r="E73" s="159">
        <f>VLOOKUP($A73,'3M-BS'!$A$9:$K$79,8, FALSE)</f>
        <v>17.495249999999999</v>
      </c>
      <c r="F73" s="159">
        <f>VLOOKUP($A73,'3M-BS'!$A$9:$K$79,7, FALSE)</f>
        <v>22.270890000000001</v>
      </c>
      <c r="G73" s="159">
        <f>VLOOKUP($A73,'3M-BS'!$A$9:$K$79,6, FALSE)</f>
        <v>26.311299999999999</v>
      </c>
      <c r="H73" s="159">
        <f>VLOOKUP($A73,'3M-BS'!$A$9:$K$79,5, FALSE)</f>
        <v>26.80406</v>
      </c>
      <c r="I73" s="159">
        <f>VLOOKUP($A73,'3M-BS'!$A$9:$K$79,4, FALSE)</f>
        <v>8.6991700000000005</v>
      </c>
      <c r="J73" s="159">
        <f>VLOOKUP($A73,'3M-BS'!$A$9:$K$79,3, FALSE)</f>
        <v>7.1218000000000004</v>
      </c>
      <c r="K73" s="160">
        <f>VLOOKUP($A73,'3M-BS'!$A$9:$K$79,2, FALSE)</f>
        <v>8.8670299999999997</v>
      </c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</row>
    <row r="74" spans="1:22" x14ac:dyDescent="0.2">
      <c r="A74" s="133" t="s">
        <v>178</v>
      </c>
      <c r="B74" s="159">
        <f>VLOOKUP($A74,'3M-BS'!$A$9:$K$79,11, FALSE)</f>
        <v>-1.990863</v>
      </c>
      <c r="C74" s="159">
        <f>VLOOKUP($A74,'3M-BS'!$A$9:$K$79,10, FALSE)</f>
        <v>-3.1703649999999999</v>
      </c>
      <c r="D74" s="159">
        <f>VLOOKUP($A74,'3M-BS'!$A$9:$K$79,9, FALSE)</f>
        <v>-5.0505120000000003</v>
      </c>
      <c r="E74" s="159">
        <f>VLOOKUP($A74,'3M-BS'!$A$9:$K$79,8, FALSE)</f>
        <v>-16.968457999999998</v>
      </c>
      <c r="F74" s="159">
        <f>VLOOKUP($A74,'3M-BS'!$A$9:$K$79,7, FALSE)</f>
        <v>-11.717878000000001</v>
      </c>
      <c r="G74" s="159">
        <f>VLOOKUP($A74,'3M-BS'!$A$9:$K$79,6, FALSE)</f>
        <v>-6.5192439999999996</v>
      </c>
      <c r="H74" s="159">
        <f>VLOOKUP($A74,'3M-BS'!$A$9:$K$79,5, FALSE)</f>
        <v>-5.0378239999999996</v>
      </c>
      <c r="I74" s="159">
        <f>VLOOKUP($A74,'3M-BS'!$A$9:$K$79,4, FALSE)</f>
        <v>-5.2444790000000001</v>
      </c>
      <c r="J74" s="159">
        <f>VLOOKUP($A74,'3M-BS'!$A$9:$K$79,3, FALSE)</f>
        <v>-6.7640419999999999</v>
      </c>
      <c r="K74" s="160">
        <f>VLOOKUP($A74,'3M-BS'!$A$9:$K$79,2, FALSE)</f>
        <v>-5.3179540000000003</v>
      </c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</row>
    <row r="75" spans="1:22" x14ac:dyDescent="0.2"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</row>
    <row r="76" spans="1:22" x14ac:dyDescent="0.2">
      <c r="A76" s="161" t="s">
        <v>352</v>
      </c>
      <c r="B76" s="162">
        <f>B38-B71</f>
        <v>0</v>
      </c>
      <c r="C76" s="162">
        <f t="shared" ref="C76:V76" si="57">C38-C71</f>
        <v>0</v>
      </c>
      <c r="D76" s="162">
        <f t="shared" si="57"/>
        <v>0</v>
      </c>
      <c r="E76" s="162">
        <f t="shared" si="57"/>
        <v>0</v>
      </c>
      <c r="F76" s="162">
        <f t="shared" si="57"/>
        <v>0</v>
      </c>
      <c r="G76" s="162">
        <f t="shared" si="57"/>
        <v>0</v>
      </c>
      <c r="H76" s="162">
        <f t="shared" si="57"/>
        <v>0</v>
      </c>
      <c r="I76" s="162">
        <f t="shared" si="57"/>
        <v>0</v>
      </c>
      <c r="J76" s="162">
        <f t="shared" si="57"/>
        <v>0</v>
      </c>
      <c r="K76" s="163">
        <f t="shared" si="57"/>
        <v>0</v>
      </c>
      <c r="L76" s="163">
        <f t="shared" ca="1" si="57"/>
        <v>0</v>
      </c>
      <c r="M76" s="163">
        <f t="shared" ca="1" si="57"/>
        <v>0</v>
      </c>
      <c r="N76" s="163">
        <f t="shared" ca="1" si="57"/>
        <v>0</v>
      </c>
      <c r="O76" s="163">
        <f t="shared" ca="1" si="57"/>
        <v>0</v>
      </c>
      <c r="P76" s="163">
        <f t="shared" ca="1" si="57"/>
        <v>0</v>
      </c>
      <c r="Q76" s="163">
        <f t="shared" ca="1" si="57"/>
        <v>0</v>
      </c>
      <c r="R76" s="163">
        <f t="shared" ca="1" si="57"/>
        <v>0</v>
      </c>
      <c r="S76" s="163">
        <f t="shared" ca="1" si="57"/>
        <v>0</v>
      </c>
      <c r="T76" s="163">
        <f t="shared" ca="1" si="57"/>
        <v>0</v>
      </c>
      <c r="U76" s="163">
        <f t="shared" ca="1" si="57"/>
        <v>0</v>
      </c>
      <c r="V76" s="163">
        <f t="shared" ca="1" si="57"/>
        <v>0</v>
      </c>
    </row>
    <row r="78" spans="1:22" x14ac:dyDescent="0.2">
      <c r="A78" s="140" t="s">
        <v>193</v>
      </c>
      <c r="B78" s="151">
        <f t="shared" ref="B78:K78" si="58">B39-B57</f>
        <v>19104</v>
      </c>
      <c r="C78" s="151">
        <f t="shared" si="58"/>
        <v>21311</v>
      </c>
      <c r="D78" s="151">
        <f t="shared" si="58"/>
        <v>21066</v>
      </c>
      <c r="E78" s="151">
        <f t="shared" si="58"/>
        <v>28241</v>
      </c>
      <c r="F78" s="151">
        <f t="shared" si="58"/>
        <v>27444</v>
      </c>
      <c r="G78" s="151">
        <f t="shared" si="58"/>
        <v>28366</v>
      </c>
      <c r="H78" s="151">
        <f t="shared" si="58"/>
        <v>26767</v>
      </c>
      <c r="I78" s="151">
        <f t="shared" si="58"/>
        <v>29945</v>
      </c>
      <c r="J78" s="151">
        <f t="shared" si="58"/>
        <v>7242</v>
      </c>
      <c r="K78" s="151">
        <f t="shared" si="58"/>
        <v>11785</v>
      </c>
      <c r="L78" s="151">
        <f t="shared" ref="L78:V78" si="59">L39-L57</f>
        <v>12744.776350191278</v>
      </c>
      <c r="M78" s="151">
        <f t="shared" si="59"/>
        <v>15770.369781504285</v>
      </c>
      <c r="N78" s="151">
        <f t="shared" si="59"/>
        <v>16943.013793029288</v>
      </c>
      <c r="O78" s="151">
        <f t="shared" si="59"/>
        <v>18229.812400681247</v>
      </c>
      <c r="P78" s="151">
        <f t="shared" si="59"/>
        <v>18518.75717861138</v>
      </c>
      <c r="Q78" s="151">
        <f t="shared" si="59"/>
        <v>18769.087447601611</v>
      </c>
      <c r="R78" s="151">
        <f t="shared" si="59"/>
        <v>19003.419642442044</v>
      </c>
      <c r="S78" s="151">
        <f t="shared" si="59"/>
        <v>19283.128734810598</v>
      </c>
      <c r="T78" s="151">
        <f t="shared" si="59"/>
        <v>19544.258526678241</v>
      </c>
      <c r="U78" s="151">
        <f t="shared" si="59"/>
        <v>19790.187812389748</v>
      </c>
      <c r="V78" s="151">
        <f t="shared" si="59"/>
        <v>20022.717619752213</v>
      </c>
    </row>
    <row r="79" spans="1:22" x14ac:dyDescent="0.2">
      <c r="A79" s="140" t="s">
        <v>194</v>
      </c>
      <c r="B79" s="151">
        <f t="shared" ref="B79:K79" si="60">B78-B32</f>
        <v>9938</v>
      </c>
      <c r="C79" s="151">
        <f t="shared" si="60"/>
        <v>10798</v>
      </c>
      <c r="D79" s="151">
        <f t="shared" si="60"/>
        <v>11015</v>
      </c>
      <c r="E79" s="151">
        <f t="shared" si="60"/>
        <v>14797</v>
      </c>
      <c r="F79" s="151">
        <f t="shared" si="60"/>
        <v>13642</v>
      </c>
      <c r="G79" s="151">
        <f t="shared" si="60"/>
        <v>14880</v>
      </c>
      <c r="H79" s="151">
        <f t="shared" si="60"/>
        <v>13977</v>
      </c>
      <c r="I79" s="151">
        <f t="shared" si="60"/>
        <v>23563</v>
      </c>
      <c r="J79" s="151">
        <f t="shared" si="60"/>
        <v>961</v>
      </c>
      <c r="K79" s="151">
        <f t="shared" si="60"/>
        <v>5366</v>
      </c>
      <c r="L79" s="151">
        <f t="shared" ref="L79:V79" si="61">L78-L32</f>
        <v>6325.7763501912777</v>
      </c>
      <c r="M79" s="151">
        <f t="shared" si="61"/>
        <v>9351.3697815042851</v>
      </c>
      <c r="N79" s="151">
        <f t="shared" si="61"/>
        <v>10524.013793029288</v>
      </c>
      <c r="O79" s="151">
        <f t="shared" si="61"/>
        <v>11810.812400681247</v>
      </c>
      <c r="P79" s="151">
        <f t="shared" si="61"/>
        <v>12099.75717861138</v>
      </c>
      <c r="Q79" s="151">
        <f t="shared" si="61"/>
        <v>12350.087447601611</v>
      </c>
      <c r="R79" s="151">
        <f t="shared" si="61"/>
        <v>12584.419642442044</v>
      </c>
      <c r="S79" s="151">
        <f t="shared" si="61"/>
        <v>12864.128734810598</v>
      </c>
      <c r="T79" s="151">
        <f t="shared" si="61"/>
        <v>13125.258526678241</v>
      </c>
      <c r="U79" s="151">
        <f t="shared" si="61"/>
        <v>13371.187812389748</v>
      </c>
      <c r="V79" s="151">
        <f t="shared" si="61"/>
        <v>13603.717619752213</v>
      </c>
    </row>
    <row r="82" spans="1:22" x14ac:dyDescent="0.2">
      <c r="A82" s="153"/>
    </row>
    <row r="83" spans="1:22" x14ac:dyDescent="0.2">
      <c r="B83" s="137">
        <v>2016</v>
      </c>
      <c r="C83" s="137">
        <v>2017</v>
      </c>
      <c r="D83" s="137">
        <f>C83+1</f>
        <v>2018</v>
      </c>
      <c r="E83" s="137">
        <f t="shared" ref="E83" si="62">D83+1</f>
        <v>2019</v>
      </c>
      <c r="F83" s="137">
        <f t="shared" ref="F83" si="63">E83+1</f>
        <v>2020</v>
      </c>
      <c r="G83" s="137">
        <f t="shared" ref="G83" si="64">F83+1</f>
        <v>2021</v>
      </c>
      <c r="H83" s="137">
        <f t="shared" ref="H83" si="65">G83+1</f>
        <v>2022</v>
      </c>
      <c r="I83" s="137">
        <f t="shared" ref="I83" si="66">H83+1</f>
        <v>2023</v>
      </c>
      <c r="J83" s="137">
        <f t="shared" ref="J83" si="67">I83+1</f>
        <v>2024</v>
      </c>
      <c r="K83" s="137">
        <f t="shared" ref="K83" si="68">J83+1</f>
        <v>2025</v>
      </c>
      <c r="L83" s="138">
        <v>2026</v>
      </c>
      <c r="M83" s="138">
        <f>L83+1</f>
        <v>2027</v>
      </c>
      <c r="N83" s="138">
        <f t="shared" ref="N83" si="69">M83+1</f>
        <v>2028</v>
      </c>
      <c r="O83" s="138">
        <f t="shared" ref="O83" si="70">N83+1</f>
        <v>2029</v>
      </c>
      <c r="P83" s="138">
        <f t="shared" ref="P83" si="71">O83+1</f>
        <v>2030</v>
      </c>
      <c r="Q83" s="138">
        <f t="shared" ref="Q83" si="72">P83+1</f>
        <v>2031</v>
      </c>
      <c r="R83" s="138">
        <f t="shared" ref="R83" si="73">Q83+1</f>
        <v>2032</v>
      </c>
      <c r="S83" s="138">
        <f t="shared" ref="S83" si="74">R83+1</f>
        <v>2033</v>
      </c>
      <c r="T83" s="138">
        <f t="shared" ref="T83" si="75">S83+1</f>
        <v>2034</v>
      </c>
      <c r="U83" s="138">
        <f t="shared" ref="U83" si="76">T83+1</f>
        <v>2035</v>
      </c>
      <c r="V83" s="139">
        <f t="shared" ref="V83" si="77">U83+1</f>
        <v>2036</v>
      </c>
    </row>
    <row r="84" spans="1:22" x14ac:dyDescent="0.2">
      <c r="A84" s="168" t="s">
        <v>354</v>
      </c>
      <c r="B84" s="169">
        <v>366</v>
      </c>
      <c r="C84" s="169">
        <v>365</v>
      </c>
      <c r="D84" s="169">
        <v>365</v>
      </c>
      <c r="E84" s="169">
        <v>365</v>
      </c>
      <c r="F84" s="169">
        <v>366</v>
      </c>
      <c r="G84" s="169">
        <v>365</v>
      </c>
      <c r="H84" s="169">
        <v>365</v>
      </c>
      <c r="I84" s="169">
        <v>365</v>
      </c>
      <c r="J84" s="169">
        <v>366</v>
      </c>
      <c r="K84" s="169">
        <v>365</v>
      </c>
      <c r="L84" s="169">
        <v>365</v>
      </c>
      <c r="M84" s="169">
        <v>365</v>
      </c>
      <c r="N84" s="169">
        <v>366</v>
      </c>
      <c r="O84" s="169">
        <v>365</v>
      </c>
      <c r="P84" s="169">
        <v>365</v>
      </c>
      <c r="Q84" s="169">
        <v>365</v>
      </c>
      <c r="R84" s="169">
        <v>366</v>
      </c>
      <c r="S84" s="169">
        <v>365</v>
      </c>
      <c r="T84" s="169">
        <v>365</v>
      </c>
      <c r="U84" s="169">
        <v>365</v>
      </c>
      <c r="V84" s="169">
        <v>366</v>
      </c>
    </row>
    <row r="85" spans="1:22" x14ac:dyDescent="0.2">
      <c r="A85" s="133" t="s">
        <v>355</v>
      </c>
      <c r="B85" s="166">
        <f>'IS-Reorg'!B4</f>
        <v>30109</v>
      </c>
      <c r="C85" s="166">
        <f>'IS-Reorg'!C4</f>
        <v>31657</v>
      </c>
      <c r="D85" s="166">
        <f>'IS-Reorg'!D4</f>
        <v>32765</v>
      </c>
      <c r="E85" s="166">
        <f>'IS-Reorg'!E4</f>
        <v>32136</v>
      </c>
      <c r="F85" s="166">
        <f>'IS-Reorg'!F4</f>
        <v>32184</v>
      </c>
      <c r="G85" s="166">
        <f>'IS-Reorg'!G4</f>
        <v>35355</v>
      </c>
      <c r="H85" s="166">
        <f>'IS-Reorg'!H4</f>
        <v>34229</v>
      </c>
      <c r="I85" s="166">
        <f>'IS-Reorg'!I4</f>
        <v>24610</v>
      </c>
      <c r="J85" s="166">
        <f>'IS-Reorg'!J4</f>
        <v>24575</v>
      </c>
      <c r="K85" s="166">
        <f>'IS-Reorg'!K4</f>
        <v>24948</v>
      </c>
      <c r="L85" s="166">
        <f>'IS-Reorg'!L4</f>
        <v>25313.279999999999</v>
      </c>
      <c r="M85" s="166">
        <f>'IS-Reorg'!M4</f>
        <v>26325.8112</v>
      </c>
      <c r="N85" s="166">
        <f>'IS-Reorg'!N4</f>
        <v>27378.843648000002</v>
      </c>
      <c r="O85" s="166">
        <f>'IS-Reorg'!O4</f>
        <v>28473.997393919999</v>
      </c>
      <c r="P85" s="166">
        <f>'IS-Reorg'!P4</f>
        <v>29612.9572896768</v>
      </c>
      <c r="Q85" s="166">
        <f>'IS-Reorg'!Q4</f>
        <v>30501.346008367109</v>
      </c>
      <c r="R85" s="166">
        <f>'IS-Reorg'!R4</f>
        <v>31416.386388618121</v>
      </c>
      <c r="S85" s="166">
        <f>'IS-Reorg'!S4</f>
        <v>32358.877980276669</v>
      </c>
      <c r="T85" s="166">
        <f>'IS-Reorg'!T4</f>
        <v>33329.644319684972</v>
      </c>
      <c r="U85" s="166">
        <f>'IS-Reorg'!U4</f>
        <v>34329.533649275516</v>
      </c>
      <c r="V85" s="166">
        <f>'IS-Reorg'!V4</f>
        <v>35359.419658753788</v>
      </c>
    </row>
    <row r="86" spans="1:22" x14ac:dyDescent="0.2">
      <c r="A86" s="133" t="s">
        <v>356</v>
      </c>
      <c r="B86" s="166">
        <f>'IS-Reorg'!B6</f>
        <v>13659</v>
      </c>
      <c r="C86" s="166">
        <f>'IS-Reorg'!C6</f>
        <v>14451</v>
      </c>
      <c r="D86" s="166">
        <f>'IS-Reorg'!D6</f>
        <v>15087</v>
      </c>
      <c r="E86" s="166">
        <f>'IS-Reorg'!E6</f>
        <v>15237</v>
      </c>
      <c r="F86" s="166">
        <f>'IS-Reorg'!F6</f>
        <v>14670</v>
      </c>
      <c r="G86" s="166">
        <f>'IS-Reorg'!G6</f>
        <v>16828</v>
      </c>
      <c r="H86" s="166">
        <f>'IS-Reorg'!H6</f>
        <v>17432</v>
      </c>
      <c r="I86" s="166">
        <f>'IS-Reorg'!I6</f>
        <v>13604</v>
      </c>
      <c r="J86" s="166">
        <f>'IS-Reorg'!J6</f>
        <v>13271</v>
      </c>
      <c r="K86" s="166">
        <f>'IS-Reorg'!K6</f>
        <v>13764</v>
      </c>
      <c r="L86" s="166">
        <f>'IS-Reorg'!L6</f>
        <v>13965.527734487734</v>
      </c>
      <c r="M86" s="166">
        <f>'IS-Reorg'!M6</f>
        <v>14392.519787867244</v>
      </c>
      <c r="N86" s="166">
        <f>'IS-Reorg'!N6</f>
        <v>14831.326361141933</v>
      </c>
      <c r="O86" s="166">
        <f>'IS-Reorg'!O6</f>
        <v>15282.209428618009</v>
      </c>
      <c r="P86" s="166">
        <f>'IS-Reorg'!P6</f>
        <v>15745.433019314347</v>
      </c>
      <c r="Q86" s="166">
        <f>'IS-Reorg'!Q6</f>
        <v>16065.289279851944</v>
      </c>
      <c r="R86" s="166">
        <f>'IS-Reorg'!R6</f>
        <v>16390.16602630441</v>
      </c>
      <c r="S86" s="166">
        <f>'IS-Reorg'!S6</f>
        <v>16720.076617192164</v>
      </c>
      <c r="T86" s="166">
        <f>'IS-Reorg'!T6</f>
        <v>17055.030694109504</v>
      </c>
      <c r="U86" s="166">
        <f>'IS-Reorg'!U6</f>
        <v>17395.03394668641</v>
      </c>
      <c r="V86" s="166">
        <f>'IS-Reorg'!V6</f>
        <v>17740.087866793234</v>
      </c>
    </row>
    <row r="87" spans="1:22" x14ac:dyDescent="0.2">
      <c r="A87" s="133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</row>
    <row r="88" spans="1:22" x14ac:dyDescent="0.2">
      <c r="A88" s="132" t="s">
        <v>357</v>
      </c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</row>
    <row r="89" spans="1:22" x14ac:dyDescent="0.2">
      <c r="A89" s="170" t="s">
        <v>358</v>
      </c>
      <c r="B89" s="166">
        <f>B95/B85*B84</f>
        <v>53.388422066491749</v>
      </c>
      <c r="C89" s="166">
        <f t="shared" ref="C89:K89" si="78">C95/C85*C84</f>
        <v>56.623021764538649</v>
      </c>
      <c r="D89" s="166">
        <f t="shared" si="78"/>
        <v>55.922478254234704</v>
      </c>
      <c r="E89" s="166">
        <f t="shared" si="78"/>
        <v>54.41607542942495</v>
      </c>
      <c r="F89" s="166">
        <f t="shared" si="78"/>
        <v>53.505779269202087</v>
      </c>
      <c r="G89" s="166">
        <f t="shared" si="78"/>
        <v>48.109178334040443</v>
      </c>
      <c r="H89" s="166">
        <f t="shared" si="78"/>
        <v>48.326857343188529</v>
      </c>
      <c r="I89" s="166">
        <f t="shared" si="78"/>
        <v>53.407761072734658</v>
      </c>
      <c r="J89" s="166">
        <f t="shared" si="78"/>
        <v>47.568830111902344</v>
      </c>
      <c r="K89" s="166">
        <f t="shared" si="78"/>
        <v>51.689313772647111</v>
      </c>
      <c r="L89" s="166">
        <f>K89</f>
        <v>51.689313772647111</v>
      </c>
      <c r="M89" s="166">
        <f t="shared" ref="M89:V89" si="79">L89</f>
        <v>51.689313772647111</v>
      </c>
      <c r="N89" s="166">
        <f t="shared" si="79"/>
        <v>51.689313772647111</v>
      </c>
      <c r="O89" s="166">
        <f t="shared" si="79"/>
        <v>51.689313772647111</v>
      </c>
      <c r="P89" s="166">
        <f t="shared" si="79"/>
        <v>51.689313772647111</v>
      </c>
      <c r="Q89" s="166">
        <f t="shared" si="79"/>
        <v>51.689313772647111</v>
      </c>
      <c r="R89" s="166">
        <f t="shared" si="79"/>
        <v>51.689313772647111</v>
      </c>
      <c r="S89" s="166">
        <f t="shared" si="79"/>
        <v>51.689313772647111</v>
      </c>
      <c r="T89" s="166">
        <f t="shared" si="79"/>
        <v>51.689313772647111</v>
      </c>
      <c r="U89" s="166">
        <f t="shared" si="79"/>
        <v>51.689313772647111</v>
      </c>
      <c r="V89" s="166">
        <f t="shared" si="79"/>
        <v>51.689313772647111</v>
      </c>
    </row>
    <row r="90" spans="1:22" x14ac:dyDescent="0.2">
      <c r="A90" s="170" t="s">
        <v>353</v>
      </c>
      <c r="B90" s="155">
        <f>B96/B86*365</f>
        <v>90.45501134782927</v>
      </c>
      <c r="C90" s="155">
        <f t="shared" ref="C90:K90" si="80">C96/C86*365</f>
        <v>101.88983461352156</v>
      </c>
      <c r="D90" s="155">
        <f t="shared" si="80"/>
        <v>105.62669848213693</v>
      </c>
      <c r="E90" s="155">
        <f t="shared" si="80"/>
        <v>99.02933648355976</v>
      </c>
      <c r="F90" s="155">
        <f t="shared" si="80"/>
        <v>105.46932515337423</v>
      </c>
      <c r="G90" s="155">
        <f t="shared" si="80"/>
        <v>108.12485143807939</v>
      </c>
      <c r="H90" s="155">
        <f t="shared" si="80"/>
        <v>112.48164295548418</v>
      </c>
      <c r="I90" s="155">
        <f t="shared" si="80"/>
        <v>105.8188768009409</v>
      </c>
      <c r="J90" s="155">
        <f t="shared" si="80"/>
        <v>101.70823600331551</v>
      </c>
      <c r="K90" s="155">
        <f t="shared" si="80"/>
        <v>97.084059866317943</v>
      </c>
      <c r="L90" s="155">
        <f>K90</f>
        <v>97.084059866317943</v>
      </c>
      <c r="M90" s="155">
        <f t="shared" ref="M90:V90" si="81">L90</f>
        <v>97.084059866317943</v>
      </c>
      <c r="N90" s="155">
        <f t="shared" si="81"/>
        <v>97.084059866317943</v>
      </c>
      <c r="O90" s="155">
        <f t="shared" si="81"/>
        <v>97.084059866317943</v>
      </c>
      <c r="P90" s="155">
        <f t="shared" si="81"/>
        <v>97.084059866317943</v>
      </c>
      <c r="Q90" s="155">
        <f t="shared" si="81"/>
        <v>97.084059866317943</v>
      </c>
      <c r="R90" s="155">
        <f t="shared" si="81"/>
        <v>97.084059866317943</v>
      </c>
      <c r="S90" s="155">
        <f t="shared" si="81"/>
        <v>97.084059866317943</v>
      </c>
      <c r="T90" s="155">
        <f t="shared" si="81"/>
        <v>97.084059866317943</v>
      </c>
      <c r="U90" s="155">
        <f t="shared" si="81"/>
        <v>97.084059866317943</v>
      </c>
      <c r="V90" s="155">
        <f t="shared" si="81"/>
        <v>97.084059866317943</v>
      </c>
    </row>
    <row r="91" spans="1:22" x14ac:dyDescent="0.2">
      <c r="A91" s="170" t="s">
        <v>79</v>
      </c>
      <c r="B91" s="155">
        <f>B97/B86*B84</f>
        <v>48.178343949044589</v>
      </c>
      <c r="C91" s="155">
        <f t="shared" ref="C91:K91" si="82">C97/C86*C84</f>
        <v>49.126358037506058</v>
      </c>
      <c r="D91" s="155">
        <f t="shared" si="82"/>
        <v>54.821369390866309</v>
      </c>
      <c r="E91" s="155">
        <f t="shared" si="82"/>
        <v>53.371398569272166</v>
      </c>
      <c r="F91" s="155">
        <f t="shared" si="82"/>
        <v>63.894069529652356</v>
      </c>
      <c r="G91" s="155">
        <f t="shared" si="82"/>
        <v>64.939980984074168</v>
      </c>
      <c r="H91" s="155">
        <f t="shared" si="82"/>
        <v>66.647257916475453</v>
      </c>
      <c r="I91" s="155">
        <f t="shared" si="82"/>
        <v>74.481034989708903</v>
      </c>
      <c r="J91" s="155">
        <f t="shared" si="82"/>
        <v>73.359957802727763</v>
      </c>
      <c r="K91" s="155">
        <f t="shared" si="82"/>
        <v>71.652862539959315</v>
      </c>
      <c r="L91" s="155">
        <f>K91</f>
        <v>71.652862539959315</v>
      </c>
      <c r="M91" s="155">
        <f t="shared" ref="M91:V91" si="83">L91</f>
        <v>71.652862539959315</v>
      </c>
      <c r="N91" s="155">
        <f t="shared" si="83"/>
        <v>71.652862539959315</v>
      </c>
      <c r="O91" s="155">
        <f t="shared" si="83"/>
        <v>71.652862539959315</v>
      </c>
      <c r="P91" s="155">
        <f t="shared" si="83"/>
        <v>71.652862539959315</v>
      </c>
      <c r="Q91" s="155">
        <f t="shared" si="83"/>
        <v>71.652862539959315</v>
      </c>
      <c r="R91" s="155">
        <f t="shared" si="83"/>
        <v>71.652862539959315</v>
      </c>
      <c r="S91" s="155">
        <f t="shared" si="83"/>
        <v>71.652862539959315</v>
      </c>
      <c r="T91" s="155">
        <f t="shared" si="83"/>
        <v>71.652862539959315</v>
      </c>
      <c r="U91" s="155">
        <f t="shared" si="83"/>
        <v>71.652862539959315</v>
      </c>
      <c r="V91" s="155">
        <f t="shared" si="83"/>
        <v>71.652862539959315</v>
      </c>
    </row>
    <row r="92" spans="1:22" x14ac:dyDescent="0.2">
      <c r="A92" s="170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</row>
    <row r="93" spans="1:22" x14ac:dyDescent="0.2">
      <c r="A93" s="170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</row>
    <row r="94" spans="1:22" x14ac:dyDescent="0.2">
      <c r="A94" s="171" t="s">
        <v>359</v>
      </c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</row>
    <row r="95" spans="1:22" x14ac:dyDescent="0.2">
      <c r="A95" s="170" t="s">
        <v>358</v>
      </c>
      <c r="B95" s="155">
        <f>B7</f>
        <v>4392</v>
      </c>
      <c r="C95" s="155">
        <f t="shared" ref="C95:K95" si="84">C7</f>
        <v>4911</v>
      </c>
      <c r="D95" s="155">
        <f t="shared" si="84"/>
        <v>5020</v>
      </c>
      <c r="E95" s="155">
        <f t="shared" si="84"/>
        <v>4791</v>
      </c>
      <c r="F95" s="155">
        <f t="shared" si="84"/>
        <v>4705</v>
      </c>
      <c r="G95" s="155">
        <f t="shared" si="84"/>
        <v>4660</v>
      </c>
      <c r="H95" s="155">
        <f t="shared" si="84"/>
        <v>4532</v>
      </c>
      <c r="I95" s="155">
        <f t="shared" si="84"/>
        <v>3601</v>
      </c>
      <c r="J95" s="155">
        <f t="shared" si="84"/>
        <v>3194</v>
      </c>
      <c r="K95" s="155">
        <f t="shared" si="84"/>
        <v>3533</v>
      </c>
      <c r="L95" s="166">
        <f>L89*L85/L84</f>
        <v>3584.7289658489663</v>
      </c>
      <c r="M95" s="166">
        <f t="shared" ref="M95:V95" si="85">M89*M85/M84</f>
        <v>3728.1181244829249</v>
      </c>
      <c r="N95" s="166">
        <f t="shared" si="85"/>
        <v>3866.6492897642579</v>
      </c>
      <c r="O95" s="166">
        <f t="shared" si="85"/>
        <v>4032.3325634407315</v>
      </c>
      <c r="P95" s="166">
        <f t="shared" si="85"/>
        <v>4193.6258659783607</v>
      </c>
      <c r="Q95" s="166">
        <f t="shared" si="85"/>
        <v>4319.4346419577123</v>
      </c>
      <c r="R95" s="166">
        <f t="shared" si="85"/>
        <v>4436.8618952021907</v>
      </c>
      <c r="S95" s="166">
        <f t="shared" si="85"/>
        <v>4582.4882116529379</v>
      </c>
      <c r="T95" s="166">
        <f t="shared" si="85"/>
        <v>4719.9628580025255</v>
      </c>
      <c r="U95" s="166">
        <f t="shared" si="85"/>
        <v>4861.5617437426008</v>
      </c>
      <c r="V95" s="166">
        <f t="shared" si="85"/>
        <v>4993.727151803364</v>
      </c>
    </row>
    <row r="96" spans="1:22" x14ac:dyDescent="0.2">
      <c r="A96" s="170" t="s">
        <v>353</v>
      </c>
      <c r="B96" s="155">
        <f>B11</f>
        <v>3385</v>
      </c>
      <c r="C96" s="155">
        <f t="shared" ref="C96:K96" si="86">C11</f>
        <v>4034</v>
      </c>
      <c r="D96" s="155">
        <f t="shared" si="86"/>
        <v>4366</v>
      </c>
      <c r="E96" s="155">
        <f t="shared" si="86"/>
        <v>4134</v>
      </c>
      <c r="F96" s="155">
        <f t="shared" si="86"/>
        <v>4239</v>
      </c>
      <c r="G96" s="155">
        <f t="shared" si="86"/>
        <v>4985</v>
      </c>
      <c r="H96" s="155">
        <f t="shared" si="86"/>
        <v>5372</v>
      </c>
      <c r="I96" s="155">
        <f t="shared" si="86"/>
        <v>3944</v>
      </c>
      <c r="J96" s="155">
        <f t="shared" si="86"/>
        <v>3698</v>
      </c>
      <c r="K96" s="155">
        <f t="shared" si="86"/>
        <v>3661</v>
      </c>
      <c r="L96" s="155">
        <f>L90*L86/L84</f>
        <v>3714.603097643098</v>
      </c>
      <c r="M96" s="155">
        <f t="shared" ref="M96:V96" si="87">M90*M86/M84</f>
        <v>3828.1760348286825</v>
      </c>
      <c r="N96" s="155">
        <f t="shared" si="87"/>
        <v>3934.1130501147622</v>
      </c>
      <c r="O96" s="155">
        <f t="shared" si="87"/>
        <v>4064.8190001576968</v>
      </c>
      <c r="P96" s="155">
        <f t="shared" si="87"/>
        <v>4188.0289366252418</v>
      </c>
      <c r="Q96" s="155">
        <f t="shared" si="87"/>
        <v>4273.1054964790737</v>
      </c>
      <c r="R96" s="155">
        <f t="shared" si="87"/>
        <v>4347.6061740891473</v>
      </c>
      <c r="S96" s="155">
        <f t="shared" si="87"/>
        <v>4447.2682719805671</v>
      </c>
      <c r="T96" s="155">
        <f t="shared" si="87"/>
        <v>4536.3606052844307</v>
      </c>
      <c r="U96" s="155">
        <f t="shared" si="87"/>
        <v>4626.7959371417437</v>
      </c>
      <c r="V96" s="155">
        <f t="shared" si="87"/>
        <v>4705.6823838620076</v>
      </c>
    </row>
    <row r="97" spans="1:22" x14ac:dyDescent="0.2">
      <c r="A97" s="170" t="s">
        <v>79</v>
      </c>
      <c r="B97" s="155">
        <f>B43</f>
        <v>1798</v>
      </c>
      <c r="C97" s="155">
        <f t="shared" ref="C97:K97" si="88">C43</f>
        <v>1945</v>
      </c>
      <c r="D97" s="155">
        <f t="shared" si="88"/>
        <v>2266</v>
      </c>
      <c r="E97" s="155">
        <f t="shared" si="88"/>
        <v>2228</v>
      </c>
      <c r="F97" s="155">
        <f t="shared" si="88"/>
        <v>2561</v>
      </c>
      <c r="G97" s="155">
        <f t="shared" si="88"/>
        <v>2994</v>
      </c>
      <c r="H97" s="155">
        <f t="shared" si="88"/>
        <v>3183</v>
      </c>
      <c r="I97" s="155">
        <f t="shared" si="88"/>
        <v>2776</v>
      </c>
      <c r="J97" s="155">
        <f t="shared" si="88"/>
        <v>2660</v>
      </c>
      <c r="K97" s="155">
        <f t="shared" si="88"/>
        <v>2702</v>
      </c>
      <c r="L97" s="155">
        <f>L91*L86/365</f>
        <v>2741.5617508417508</v>
      </c>
      <c r="M97" s="155">
        <f t="shared" ref="M97:V97" si="89">M91*M86/365</f>
        <v>2825.3842245580713</v>
      </c>
      <c r="N97" s="155">
        <f t="shared" si="89"/>
        <v>2911.5259973703505</v>
      </c>
      <c r="O97" s="155">
        <f t="shared" si="89"/>
        <v>3000.0384972483189</v>
      </c>
      <c r="P97" s="155">
        <f t="shared" si="89"/>
        <v>3090.9735555207326</v>
      </c>
      <c r="Q97" s="155">
        <f t="shared" si="89"/>
        <v>3153.7642861203108</v>
      </c>
      <c r="R97" s="155">
        <f t="shared" si="89"/>
        <v>3217.5405843558933</v>
      </c>
      <c r="S97" s="155">
        <f t="shared" si="89"/>
        <v>3282.3050726281044</v>
      </c>
      <c r="T97" s="155">
        <f t="shared" si="89"/>
        <v>3348.0596436707265</v>
      </c>
      <c r="U97" s="155">
        <f t="shared" si="89"/>
        <v>3414.8054144105408</v>
      </c>
      <c r="V97" s="155">
        <f t="shared" si="89"/>
        <v>3482.5426777154398</v>
      </c>
    </row>
    <row r="98" spans="1:22" x14ac:dyDescent="0.2">
      <c r="A98" s="170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</row>
    <row r="99" spans="1:22" x14ac:dyDescent="0.2">
      <c r="A99" s="170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</row>
    <row r="100" spans="1:22" x14ac:dyDescent="0.2">
      <c r="A100" s="171" t="s">
        <v>360</v>
      </c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</row>
    <row r="101" spans="1:22" x14ac:dyDescent="0.2">
      <c r="A101" s="170" t="s">
        <v>361</v>
      </c>
      <c r="B101" s="155">
        <f>B95+B96</f>
        <v>7777</v>
      </c>
      <c r="C101" s="155">
        <f t="shared" ref="C101:V101" si="90">C95+C96</f>
        <v>8945</v>
      </c>
      <c r="D101" s="155">
        <f t="shared" si="90"/>
        <v>9386</v>
      </c>
      <c r="E101" s="155">
        <f t="shared" si="90"/>
        <v>8925</v>
      </c>
      <c r="F101" s="155">
        <f t="shared" si="90"/>
        <v>8944</v>
      </c>
      <c r="G101" s="155">
        <f t="shared" si="90"/>
        <v>9645</v>
      </c>
      <c r="H101" s="155">
        <f t="shared" si="90"/>
        <v>9904</v>
      </c>
      <c r="I101" s="155">
        <f t="shared" si="90"/>
        <v>7545</v>
      </c>
      <c r="J101" s="155">
        <f t="shared" si="90"/>
        <v>6892</v>
      </c>
      <c r="K101" s="155">
        <f t="shared" si="90"/>
        <v>7194</v>
      </c>
      <c r="L101" s="155">
        <f t="shared" si="90"/>
        <v>7299.3320634920638</v>
      </c>
      <c r="M101" s="155">
        <f t="shared" si="90"/>
        <v>7556.2941593116075</v>
      </c>
      <c r="N101" s="155">
        <f t="shared" si="90"/>
        <v>7800.7623398790201</v>
      </c>
      <c r="O101" s="155">
        <f t="shared" si="90"/>
        <v>8097.1515635984288</v>
      </c>
      <c r="P101" s="155">
        <f t="shared" si="90"/>
        <v>8381.6548026036035</v>
      </c>
      <c r="Q101" s="155">
        <f t="shared" si="90"/>
        <v>8592.5401384367869</v>
      </c>
      <c r="R101" s="155">
        <f t="shared" si="90"/>
        <v>8784.4680692913389</v>
      </c>
      <c r="S101" s="155">
        <f t="shared" si="90"/>
        <v>9029.7564836335041</v>
      </c>
      <c r="T101" s="155">
        <f t="shared" si="90"/>
        <v>9256.3234632869571</v>
      </c>
      <c r="U101" s="155">
        <f t="shared" si="90"/>
        <v>9488.3576808843445</v>
      </c>
      <c r="V101" s="155">
        <f t="shared" si="90"/>
        <v>9699.4095356653706</v>
      </c>
    </row>
    <row r="102" spans="1:22" x14ac:dyDescent="0.2">
      <c r="A102" s="170" t="s">
        <v>362</v>
      </c>
      <c r="B102" s="155">
        <f>B97</f>
        <v>1798</v>
      </c>
      <c r="C102" s="155">
        <f t="shared" ref="C102:V102" si="91">C97</f>
        <v>1945</v>
      </c>
      <c r="D102" s="155">
        <f t="shared" si="91"/>
        <v>2266</v>
      </c>
      <c r="E102" s="155">
        <f t="shared" si="91"/>
        <v>2228</v>
      </c>
      <c r="F102" s="155">
        <f t="shared" si="91"/>
        <v>2561</v>
      </c>
      <c r="G102" s="155">
        <f t="shared" si="91"/>
        <v>2994</v>
      </c>
      <c r="H102" s="155">
        <f t="shared" si="91"/>
        <v>3183</v>
      </c>
      <c r="I102" s="155">
        <f t="shared" si="91"/>
        <v>2776</v>
      </c>
      <c r="J102" s="155">
        <f t="shared" si="91"/>
        <v>2660</v>
      </c>
      <c r="K102" s="155">
        <f t="shared" si="91"/>
        <v>2702</v>
      </c>
      <c r="L102" s="155">
        <f t="shared" si="91"/>
        <v>2741.5617508417508</v>
      </c>
      <c r="M102" s="155">
        <f t="shared" si="91"/>
        <v>2825.3842245580713</v>
      </c>
      <c r="N102" s="155">
        <f t="shared" si="91"/>
        <v>2911.5259973703505</v>
      </c>
      <c r="O102" s="155">
        <f t="shared" si="91"/>
        <v>3000.0384972483189</v>
      </c>
      <c r="P102" s="155">
        <f t="shared" si="91"/>
        <v>3090.9735555207326</v>
      </c>
      <c r="Q102" s="155">
        <f t="shared" si="91"/>
        <v>3153.7642861203108</v>
      </c>
      <c r="R102" s="155">
        <f t="shared" si="91"/>
        <v>3217.5405843558933</v>
      </c>
      <c r="S102" s="155">
        <f t="shared" si="91"/>
        <v>3282.3050726281044</v>
      </c>
      <c r="T102" s="155">
        <f t="shared" si="91"/>
        <v>3348.0596436707265</v>
      </c>
      <c r="U102" s="155">
        <f t="shared" si="91"/>
        <v>3414.8054144105408</v>
      </c>
      <c r="V102" s="155">
        <f t="shared" si="91"/>
        <v>3482.5426777154398</v>
      </c>
    </row>
    <row r="103" spans="1:22" x14ac:dyDescent="0.2">
      <c r="A103" s="170" t="s">
        <v>360</v>
      </c>
      <c r="B103" s="155">
        <f>B101-B102</f>
        <v>5979</v>
      </c>
      <c r="C103" s="155">
        <f t="shared" ref="C103:V103" si="92">C101-C102</f>
        <v>7000</v>
      </c>
      <c r="D103" s="155">
        <f t="shared" si="92"/>
        <v>7120</v>
      </c>
      <c r="E103" s="155">
        <f t="shared" si="92"/>
        <v>6697</v>
      </c>
      <c r="F103" s="155">
        <f t="shared" si="92"/>
        <v>6383</v>
      </c>
      <c r="G103" s="155">
        <f t="shared" si="92"/>
        <v>6651</v>
      </c>
      <c r="H103" s="155">
        <f t="shared" si="92"/>
        <v>6721</v>
      </c>
      <c r="I103" s="155">
        <f t="shared" si="92"/>
        <v>4769</v>
      </c>
      <c r="J103" s="155">
        <f t="shared" si="92"/>
        <v>4232</v>
      </c>
      <c r="K103" s="155">
        <f t="shared" si="92"/>
        <v>4492</v>
      </c>
      <c r="L103" s="155">
        <f t="shared" si="92"/>
        <v>4557.7703126503129</v>
      </c>
      <c r="M103" s="155">
        <f t="shared" si="92"/>
        <v>4730.9099347535357</v>
      </c>
      <c r="N103" s="155">
        <f t="shared" si="92"/>
        <v>4889.2363425086696</v>
      </c>
      <c r="O103" s="155">
        <f t="shared" si="92"/>
        <v>5097.1130663501099</v>
      </c>
      <c r="P103" s="155">
        <f t="shared" si="92"/>
        <v>5290.6812470828709</v>
      </c>
      <c r="Q103" s="155">
        <f t="shared" si="92"/>
        <v>5438.7758523164757</v>
      </c>
      <c r="R103" s="155">
        <f t="shared" si="92"/>
        <v>5566.927484935446</v>
      </c>
      <c r="S103" s="155">
        <f t="shared" si="92"/>
        <v>5747.4514110053997</v>
      </c>
      <c r="T103" s="155">
        <f t="shared" si="92"/>
        <v>5908.2638196162306</v>
      </c>
      <c r="U103" s="155">
        <f t="shared" si="92"/>
        <v>6073.5522664738037</v>
      </c>
      <c r="V103" s="155">
        <f t="shared" si="92"/>
        <v>6216.8668579499308</v>
      </c>
    </row>
    <row r="104" spans="1:22" x14ac:dyDescent="0.2">
      <c r="A104" s="164"/>
    </row>
    <row r="105" spans="1:22" x14ac:dyDescent="0.2">
      <c r="A105" s="164"/>
    </row>
    <row r="106" spans="1:22" x14ac:dyDescent="0.2">
      <c r="A106" s="165"/>
    </row>
  </sheetData>
  <mergeCells count="1">
    <mergeCell ref="L1:V1"/>
  </mergeCells>
  <conditionalFormatting sqref="A84:V84 A85:A106">
    <cfRule type="expression" dxfId="0" priority="1">
      <formula>_xlfn.ISFORMULA(A84)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146D-0DD2-491B-85D3-C074458AD24E}">
  <dimension ref="A1:T61"/>
  <sheetViews>
    <sheetView zoomScale="104" workbookViewId="0">
      <selection activeCell="L35" sqref="L35"/>
    </sheetView>
  </sheetViews>
  <sheetFormatPr defaultColWidth="8.7109375" defaultRowHeight="12.75" x14ac:dyDescent="0.2"/>
  <cols>
    <col min="1" max="1" width="16.85546875" style="6" customWidth="1"/>
    <col min="2" max="2" width="8.7109375" style="6"/>
    <col min="3" max="3" width="11.42578125" style="6" customWidth="1"/>
    <col min="4" max="4" width="8.7109375" style="6"/>
    <col min="5" max="5" width="17.42578125" style="88" customWidth="1"/>
    <col min="6" max="6" width="8.7109375" style="6"/>
    <col min="7" max="7" width="19.5703125" style="6" customWidth="1"/>
    <col min="8" max="8" width="11.28515625" style="6" customWidth="1"/>
    <col min="9" max="11" width="8.7109375" style="6"/>
    <col min="12" max="12" width="12.5703125" style="6" customWidth="1"/>
    <col min="13" max="13" width="14.140625" style="6" customWidth="1"/>
    <col min="14" max="14" width="13" style="6" customWidth="1"/>
    <col min="15" max="15" width="12.28515625" style="6" customWidth="1"/>
    <col min="16" max="16" width="8.7109375" style="6"/>
    <col min="17" max="17" width="11.42578125" style="6" customWidth="1"/>
    <col min="18" max="18" width="12.140625" style="6" customWidth="1"/>
    <col min="19" max="19" width="14.42578125" style="6" customWidth="1"/>
    <col min="20" max="20" width="12.85546875" style="6" customWidth="1"/>
    <col min="21" max="16384" width="8.7109375" style="6"/>
  </cols>
  <sheetData>
    <row r="1" spans="1:17" x14ac:dyDescent="0.2">
      <c r="A1" s="97" t="s">
        <v>247</v>
      </c>
      <c r="B1" s="97" t="s">
        <v>248</v>
      </c>
      <c r="C1" s="97" t="s">
        <v>255</v>
      </c>
      <c r="D1" s="49" t="s">
        <v>249</v>
      </c>
      <c r="E1" s="95" t="s">
        <v>254</v>
      </c>
      <c r="F1" s="49" t="s">
        <v>250</v>
      </c>
      <c r="G1" s="49" t="s">
        <v>253</v>
      </c>
      <c r="H1" s="49" t="s">
        <v>251</v>
      </c>
      <c r="I1" s="49" t="s">
        <v>252</v>
      </c>
    </row>
    <row r="2" spans="1:17" x14ac:dyDescent="0.2">
      <c r="A2" s="92">
        <v>44287</v>
      </c>
      <c r="B2" s="100">
        <f>1.64</f>
        <v>1.64</v>
      </c>
      <c r="C2" s="99">
        <f>B2/100/12</f>
        <v>1.3666666666666664E-3</v>
      </c>
      <c r="D2" s="94">
        <v>164.82387</v>
      </c>
      <c r="E2" s="96">
        <f>D2/161.09-1</f>
        <v>2.3178782047302615E-2</v>
      </c>
      <c r="F2" s="94">
        <v>4181.1748954407904</v>
      </c>
      <c r="G2" s="45">
        <f>F2/3972.89-1</f>
        <v>5.2426544767358418E-2</v>
      </c>
      <c r="H2" s="86">
        <f>G2-C2</f>
        <v>5.105987810069175E-2</v>
      </c>
      <c r="I2" s="86">
        <f>E2-C2</f>
        <v>2.181211538063595E-2</v>
      </c>
      <c r="L2" s="50" t="s">
        <v>256</v>
      </c>
    </row>
    <row r="3" spans="1:17" ht="13.5" thickBot="1" x14ac:dyDescent="0.25">
      <c r="A3" s="92">
        <v>44317</v>
      </c>
      <c r="B3" s="93">
        <v>1.62</v>
      </c>
      <c r="C3" s="99">
        <f t="shared" ref="C3:C61" si="0">B3/100/12</f>
        <v>1.3500000000000003E-3</v>
      </c>
      <c r="D3" s="94">
        <v>169.75671</v>
      </c>
      <c r="E3" s="96">
        <f>D3/D2-1</f>
        <v>2.9927946722765331E-2</v>
      </c>
      <c r="F3" s="94">
        <v>4204.1105456536397</v>
      </c>
      <c r="G3" s="96">
        <f>F3/F2-1</f>
        <v>5.4854558315315938E-3</v>
      </c>
      <c r="H3" s="86">
        <f t="shared" ref="H3:H61" si="1">G3-C3</f>
        <v>4.1354558315315933E-3</v>
      </c>
      <c r="I3" s="86">
        <f t="shared" ref="I3:I61" si="2">E3-C3</f>
        <v>2.857794672276533E-2</v>
      </c>
    </row>
    <row r="4" spans="1:17" x14ac:dyDescent="0.2">
      <c r="A4" s="92">
        <v>44348</v>
      </c>
      <c r="B4" s="93">
        <v>1.52</v>
      </c>
      <c r="C4" s="99">
        <f t="shared" si="0"/>
        <v>1.2666666666666666E-3</v>
      </c>
      <c r="D4" s="94">
        <v>166.06962999999999</v>
      </c>
      <c r="E4" s="96">
        <f t="shared" ref="E4:E61" si="3">D4/D3-1</f>
        <v>-2.1719789456334349E-2</v>
      </c>
      <c r="F4" s="94">
        <v>4297.4966318818797</v>
      </c>
      <c r="G4" s="96">
        <f t="shared" ref="G4:G61" si="4">F4/F3-1</f>
        <v>2.2213042500698776E-2</v>
      </c>
      <c r="H4" s="86">
        <f t="shared" si="1"/>
        <v>2.094637583403211E-2</v>
      </c>
      <c r="I4" s="86">
        <f t="shared" si="2"/>
        <v>-2.2986456123001014E-2</v>
      </c>
      <c r="L4" s="102" t="s">
        <v>257</v>
      </c>
      <c r="M4" s="102"/>
    </row>
    <row r="5" spans="1:17" x14ac:dyDescent="0.2">
      <c r="A5" s="92">
        <v>44378</v>
      </c>
      <c r="B5" s="93">
        <v>1.32</v>
      </c>
      <c r="C5" s="99">
        <f t="shared" si="0"/>
        <v>1.1000000000000001E-3</v>
      </c>
      <c r="D5" s="94">
        <v>165.49274</v>
      </c>
      <c r="E5" s="96">
        <f t="shared" si="3"/>
        <v>-3.4737838580117808E-3</v>
      </c>
      <c r="F5" s="94">
        <v>4395.2639721631804</v>
      </c>
      <c r="G5" s="96">
        <f t="shared" si="4"/>
        <v>2.2749835231048898E-2</v>
      </c>
      <c r="H5" s="86">
        <f t="shared" si="1"/>
        <v>2.1649835231048898E-2</v>
      </c>
      <c r="I5" s="86">
        <f t="shared" si="2"/>
        <v>-4.5737838580117811E-3</v>
      </c>
      <c r="L5" s="6" t="s">
        <v>258</v>
      </c>
      <c r="M5" s="6">
        <v>0.57878335492919586</v>
      </c>
    </row>
    <row r="6" spans="1:17" x14ac:dyDescent="0.2">
      <c r="A6" s="92">
        <v>44409</v>
      </c>
      <c r="B6" s="93">
        <v>1.28</v>
      </c>
      <c r="C6" s="99">
        <f t="shared" si="0"/>
        <v>1.0666666666666667E-3</v>
      </c>
      <c r="D6" s="94">
        <v>162.81729000000001</v>
      </c>
      <c r="E6" s="96">
        <f t="shared" si="3"/>
        <v>-1.6166570207248876E-2</v>
      </c>
      <c r="F6" s="94">
        <v>4522.6801193645497</v>
      </c>
      <c r="G6" s="96">
        <f t="shared" si="4"/>
        <v>2.8989418612475282E-2</v>
      </c>
      <c r="H6" s="86">
        <f t="shared" si="1"/>
        <v>2.7922751945808615E-2</v>
      </c>
      <c r="I6" s="86">
        <f t="shared" si="2"/>
        <v>-1.7233236873915543E-2</v>
      </c>
      <c r="L6" s="6" t="s">
        <v>259</v>
      </c>
      <c r="M6" s="6">
        <v>0.33499017194309549</v>
      </c>
    </row>
    <row r="7" spans="1:17" x14ac:dyDescent="0.2">
      <c r="A7" s="92">
        <v>44440</v>
      </c>
      <c r="B7" s="93">
        <v>1.37</v>
      </c>
      <c r="C7" s="99">
        <f t="shared" si="0"/>
        <v>1.1416666666666667E-3</v>
      </c>
      <c r="D7" s="94">
        <v>146.66432</v>
      </c>
      <c r="E7" s="96">
        <f t="shared" si="3"/>
        <v>-9.9209181039679573E-2</v>
      </c>
      <c r="F7" s="94">
        <v>4307.5387507897103</v>
      </c>
      <c r="G7" s="96">
        <f t="shared" si="4"/>
        <v>-4.7569441768317566E-2</v>
      </c>
      <c r="H7" s="86">
        <f t="shared" si="1"/>
        <v>-4.8711108434984232E-2</v>
      </c>
      <c r="I7" s="86">
        <f t="shared" si="2"/>
        <v>-0.10035084770634624</v>
      </c>
      <c r="L7" s="6" t="s">
        <v>260</v>
      </c>
      <c r="M7" s="6">
        <v>0.32352448525245925</v>
      </c>
    </row>
    <row r="8" spans="1:17" x14ac:dyDescent="0.2">
      <c r="A8" s="92">
        <v>44470</v>
      </c>
      <c r="B8" s="93">
        <v>1.58</v>
      </c>
      <c r="C8" s="99">
        <f t="shared" si="0"/>
        <v>1.3166666666666667E-3</v>
      </c>
      <c r="D8" s="94">
        <v>149.38991999999999</v>
      </c>
      <c r="E8" s="96">
        <f t="shared" si="3"/>
        <v>1.8583933706575628E-2</v>
      </c>
      <c r="F8" s="94">
        <v>4605.3766481776001</v>
      </c>
      <c r="G8" s="96">
        <f t="shared" si="4"/>
        <v>6.9143405229560972E-2</v>
      </c>
      <c r="H8" s="86">
        <f t="shared" si="1"/>
        <v>6.7826738562894312E-2</v>
      </c>
      <c r="I8" s="86">
        <f t="shared" si="2"/>
        <v>1.7267267039908961E-2</v>
      </c>
      <c r="L8" s="6" t="s">
        <v>261</v>
      </c>
      <c r="M8" s="6">
        <v>6.6990032950978065E-2</v>
      </c>
    </row>
    <row r="9" spans="1:17" ht="13.5" thickBot="1" x14ac:dyDescent="0.25">
      <c r="A9" s="92">
        <v>44501</v>
      </c>
      <c r="B9" s="93">
        <v>1.56</v>
      </c>
      <c r="C9" s="99">
        <f t="shared" si="0"/>
        <v>1.3000000000000002E-3</v>
      </c>
      <c r="D9" s="94">
        <v>142.16623000000001</v>
      </c>
      <c r="E9" s="96">
        <f t="shared" si="3"/>
        <v>-4.8354601167200362E-2</v>
      </c>
      <c r="F9" s="94">
        <v>4567.0014940092397</v>
      </c>
      <c r="G9" s="96">
        <f t="shared" si="4"/>
        <v>-8.3326852720170264E-3</v>
      </c>
      <c r="H9" s="86">
        <f t="shared" si="1"/>
        <v>-9.6326852720170272E-3</v>
      </c>
      <c r="I9" s="86">
        <f t="shared" si="2"/>
        <v>-4.9654601167200364E-2</v>
      </c>
      <c r="L9" s="103" t="s">
        <v>262</v>
      </c>
      <c r="M9" s="103">
        <v>60</v>
      </c>
    </row>
    <row r="10" spans="1:17" x14ac:dyDescent="0.2">
      <c r="A10" s="92">
        <v>44531</v>
      </c>
      <c r="B10" s="93">
        <v>1.47</v>
      </c>
      <c r="C10" s="99">
        <f t="shared" si="0"/>
        <v>1.225E-3</v>
      </c>
      <c r="D10" s="94">
        <v>148.51204999999999</v>
      </c>
      <c r="E10" s="96">
        <f t="shared" si="3"/>
        <v>4.4636620103100322E-2</v>
      </c>
      <c r="F10" s="94">
        <v>4766.1829724283098</v>
      </c>
      <c r="G10" s="96">
        <f t="shared" si="4"/>
        <v>4.3613184423159534E-2</v>
      </c>
      <c r="H10" s="86">
        <f t="shared" si="1"/>
        <v>4.2388184423159538E-2</v>
      </c>
      <c r="I10" s="86">
        <f t="shared" si="2"/>
        <v>4.3411620103100325E-2</v>
      </c>
    </row>
    <row r="11" spans="1:17" ht="13.5" thickBot="1" x14ac:dyDescent="0.25">
      <c r="A11" s="92">
        <v>44562</v>
      </c>
      <c r="B11" s="93">
        <v>1.76</v>
      </c>
      <c r="C11" s="99">
        <f t="shared" si="0"/>
        <v>1.4666666666666667E-3</v>
      </c>
      <c r="D11" s="94">
        <v>138.80521999999999</v>
      </c>
      <c r="E11" s="96">
        <f t="shared" si="3"/>
        <v>-6.5360554917934244E-2</v>
      </c>
      <c r="F11" s="94">
        <v>4515.5475786242396</v>
      </c>
      <c r="G11" s="96">
        <f t="shared" si="4"/>
        <v>-5.2586187994451805E-2</v>
      </c>
      <c r="H11" s="86">
        <f t="shared" si="1"/>
        <v>-5.405285466111847E-2</v>
      </c>
      <c r="I11" s="86">
        <f t="shared" si="2"/>
        <v>-6.6827221584600915E-2</v>
      </c>
      <c r="L11" s="6" t="s">
        <v>263</v>
      </c>
    </row>
    <row r="12" spans="1:17" x14ac:dyDescent="0.2">
      <c r="A12" s="92">
        <v>44593</v>
      </c>
      <c r="B12" s="93">
        <v>1.93</v>
      </c>
      <c r="C12" s="99">
        <f t="shared" si="0"/>
        <v>1.6083333333333331E-3</v>
      </c>
      <c r="D12" s="94">
        <v>124.28258</v>
      </c>
      <c r="E12" s="96">
        <f t="shared" si="3"/>
        <v>-0.10462603639834289</v>
      </c>
      <c r="F12" s="94">
        <v>4373.9391488044403</v>
      </c>
      <c r="G12" s="96">
        <f t="shared" si="4"/>
        <v>-3.1360189955731421E-2</v>
      </c>
      <c r="H12" s="86">
        <f t="shared" si="1"/>
        <v>-3.2968523289064758E-2</v>
      </c>
      <c r="I12" s="86">
        <f t="shared" si="2"/>
        <v>-0.10623436973167623</v>
      </c>
      <c r="L12" s="104"/>
      <c r="M12" s="104" t="s">
        <v>267</v>
      </c>
      <c r="N12" s="104" t="s">
        <v>268</v>
      </c>
      <c r="O12" s="104" t="s">
        <v>269</v>
      </c>
      <c r="P12" s="104" t="s">
        <v>270</v>
      </c>
      <c r="Q12" s="104" t="s">
        <v>271</v>
      </c>
    </row>
    <row r="13" spans="1:17" x14ac:dyDescent="0.2">
      <c r="A13" s="92">
        <v>44621</v>
      </c>
      <c r="B13" s="93">
        <v>2.13</v>
      </c>
      <c r="C13" s="99">
        <f t="shared" si="0"/>
        <v>1.7749999999999999E-3</v>
      </c>
      <c r="D13" s="94">
        <v>124.474884</v>
      </c>
      <c r="E13" s="96">
        <f t="shared" si="3"/>
        <v>1.5473125839517987E-3</v>
      </c>
      <c r="F13" s="94">
        <v>4530.4134516834702</v>
      </c>
      <c r="G13" s="96">
        <f t="shared" si="4"/>
        <v>3.5774229488720666E-2</v>
      </c>
      <c r="H13" s="86">
        <f t="shared" si="1"/>
        <v>3.3999229488720667E-2</v>
      </c>
      <c r="I13" s="86">
        <f t="shared" si="2"/>
        <v>-2.2768741604820117E-4</v>
      </c>
      <c r="L13" s="6" t="s">
        <v>264</v>
      </c>
      <c r="M13" s="6">
        <v>1</v>
      </c>
      <c r="N13" s="6">
        <v>0.1311149997369544</v>
      </c>
      <c r="O13" s="6">
        <v>0.1311149997369544</v>
      </c>
      <c r="P13" s="6">
        <v>29.216756133470216</v>
      </c>
      <c r="Q13" s="6">
        <v>1.2719831322680184E-6</v>
      </c>
    </row>
    <row r="14" spans="1:17" x14ac:dyDescent="0.2">
      <c r="A14" s="92">
        <v>44652</v>
      </c>
      <c r="B14" s="93">
        <v>2.75</v>
      </c>
      <c r="C14" s="99">
        <f t="shared" si="0"/>
        <v>2.2916666666666667E-3</v>
      </c>
      <c r="D14" s="94">
        <v>120.57877000000001</v>
      </c>
      <c r="E14" s="96">
        <f t="shared" si="3"/>
        <v>-3.1300402738274502E-2</v>
      </c>
      <c r="F14" s="94">
        <v>4131.9264103776004</v>
      </c>
      <c r="G14" s="96">
        <f t="shared" si="4"/>
        <v>-8.7958206365865932E-2</v>
      </c>
      <c r="H14" s="86">
        <f t="shared" si="1"/>
        <v>-9.0249873032532596E-2</v>
      </c>
      <c r="I14" s="86">
        <f t="shared" si="2"/>
        <v>-3.3592069404941166E-2</v>
      </c>
      <c r="L14" s="6" t="s">
        <v>265</v>
      </c>
      <c r="M14" s="6">
        <v>58</v>
      </c>
      <c r="N14" s="6">
        <v>0.26028454185684136</v>
      </c>
      <c r="O14" s="6">
        <v>4.4876645147731266E-3</v>
      </c>
    </row>
    <row r="15" spans="1:17" ht="13.5" thickBot="1" x14ac:dyDescent="0.25">
      <c r="A15" s="92">
        <v>44682</v>
      </c>
      <c r="B15" s="93">
        <v>2.9</v>
      </c>
      <c r="C15" s="99">
        <f t="shared" si="0"/>
        <v>2.4166666666666664E-3</v>
      </c>
      <c r="D15" s="94">
        <v>124.81766500000001</v>
      </c>
      <c r="E15" s="96">
        <f t="shared" si="3"/>
        <v>3.5154571571761828E-2</v>
      </c>
      <c r="F15" s="94">
        <v>4132.1477819618904</v>
      </c>
      <c r="G15" s="96">
        <f t="shared" si="4"/>
        <v>5.3575877763556434E-5</v>
      </c>
      <c r="H15" s="86">
        <f t="shared" si="1"/>
        <v>-2.3630907889031099E-3</v>
      </c>
      <c r="I15" s="86">
        <f t="shared" si="2"/>
        <v>3.2737904905095164E-2</v>
      </c>
      <c r="L15" s="103" t="s">
        <v>203</v>
      </c>
      <c r="M15" s="103">
        <v>59</v>
      </c>
      <c r="N15" s="103">
        <v>0.39139954159379575</v>
      </c>
      <c r="O15" s="103"/>
      <c r="P15" s="103"/>
      <c r="Q15" s="103"/>
    </row>
    <row r="16" spans="1:17" ht="13.5" thickBot="1" x14ac:dyDescent="0.25">
      <c r="A16" s="92">
        <v>44713</v>
      </c>
      <c r="B16" s="93">
        <v>3.14</v>
      </c>
      <c r="C16" s="99">
        <f t="shared" si="0"/>
        <v>2.6166666666666669E-3</v>
      </c>
      <c r="D16" s="94">
        <v>108.1965</v>
      </c>
      <c r="E16" s="96">
        <f t="shared" si="3"/>
        <v>-0.13316356302611498</v>
      </c>
      <c r="F16" s="94">
        <v>3785.3848459311398</v>
      </c>
      <c r="G16" s="96">
        <f t="shared" si="4"/>
        <v>-8.3918328754958527E-2</v>
      </c>
      <c r="H16" s="86">
        <f t="shared" si="1"/>
        <v>-8.6534995421625197E-2</v>
      </c>
      <c r="I16" s="86">
        <f t="shared" si="2"/>
        <v>-0.13578022969278164</v>
      </c>
    </row>
    <row r="17" spans="1:20" x14ac:dyDescent="0.2">
      <c r="A17" s="92">
        <v>44743</v>
      </c>
      <c r="B17" s="93">
        <v>2.9</v>
      </c>
      <c r="C17" s="99">
        <f t="shared" si="0"/>
        <v>2.4166666666666664E-3</v>
      </c>
      <c r="D17" s="94">
        <v>119.75942000000001</v>
      </c>
      <c r="E17" s="96">
        <f t="shared" si="3"/>
        <v>0.10686963071818401</v>
      </c>
      <c r="F17" s="94">
        <v>4130.2857738191597</v>
      </c>
      <c r="G17" s="96">
        <f t="shared" si="4"/>
        <v>9.1113834372415159E-2</v>
      </c>
      <c r="H17" s="86">
        <f t="shared" si="1"/>
        <v>8.8697167705748495E-2</v>
      </c>
      <c r="I17" s="86">
        <f t="shared" si="2"/>
        <v>0.10445296405151734</v>
      </c>
      <c r="L17" s="104"/>
      <c r="M17" s="104" t="s">
        <v>272</v>
      </c>
      <c r="N17" s="104" t="s">
        <v>261</v>
      </c>
      <c r="O17" s="104" t="s">
        <v>273</v>
      </c>
      <c r="P17" s="104" t="s">
        <v>274</v>
      </c>
      <c r="Q17" s="104" t="s">
        <v>275</v>
      </c>
      <c r="R17" s="104" t="s">
        <v>276</v>
      </c>
      <c r="S17" s="104" t="s">
        <v>277</v>
      </c>
      <c r="T17" s="104" t="s">
        <v>278</v>
      </c>
    </row>
    <row r="18" spans="1:20" x14ac:dyDescent="0.2">
      <c r="A18" s="92">
        <v>44774</v>
      </c>
      <c r="B18" s="93">
        <v>2.9</v>
      </c>
      <c r="C18" s="99">
        <f t="shared" si="0"/>
        <v>2.4166666666666664E-3</v>
      </c>
      <c r="D18" s="94">
        <v>103.96596</v>
      </c>
      <c r="E18" s="96">
        <f t="shared" si="3"/>
        <v>-0.13187655718439528</v>
      </c>
      <c r="F18" s="94">
        <v>3954.9990010277702</v>
      </c>
      <c r="G18" s="96">
        <f t="shared" si="4"/>
        <v>-4.2439381289906875E-2</v>
      </c>
      <c r="H18" s="86">
        <f t="shared" si="1"/>
        <v>-4.4856047956573539E-2</v>
      </c>
      <c r="I18" s="86">
        <f t="shared" si="2"/>
        <v>-0.13429322385106196</v>
      </c>
      <c r="L18" s="6" t="s">
        <v>266</v>
      </c>
      <c r="M18" s="6">
        <v>-8.234235703148924E-3</v>
      </c>
      <c r="N18" s="6">
        <v>8.73932126217296E-3</v>
      </c>
      <c r="O18" s="6">
        <v>-0.94220540201328506</v>
      </c>
      <c r="P18" s="6">
        <v>0.3499955826453407</v>
      </c>
      <c r="Q18" s="6">
        <v>-2.5727887873202744E-2</v>
      </c>
      <c r="R18" s="6">
        <v>9.2594164669048962E-3</v>
      </c>
      <c r="S18" s="6">
        <v>-2.5727887873202744E-2</v>
      </c>
      <c r="T18" s="6">
        <v>9.2594164669048962E-3</v>
      </c>
    </row>
    <row r="19" spans="1:20" ht="13.5" thickBot="1" x14ac:dyDescent="0.25">
      <c r="A19" s="92">
        <v>44805</v>
      </c>
      <c r="B19" s="93">
        <v>3.52</v>
      </c>
      <c r="C19" s="99">
        <f t="shared" si="0"/>
        <v>2.9333333333333334E-3</v>
      </c>
      <c r="D19" s="94">
        <v>92.386313999999999</v>
      </c>
      <c r="E19" s="96">
        <f t="shared" si="3"/>
        <v>-0.11137920527064815</v>
      </c>
      <c r="F19" s="94">
        <v>3585.6241035486801</v>
      </c>
      <c r="G19" s="96">
        <f t="shared" si="4"/>
        <v>-9.339443508913714E-2</v>
      </c>
      <c r="H19" s="86">
        <f t="shared" si="1"/>
        <v>-9.6327768422470469E-2</v>
      </c>
      <c r="I19" s="86">
        <f t="shared" si="2"/>
        <v>-0.11431253860398148</v>
      </c>
      <c r="L19" s="103" t="s">
        <v>279</v>
      </c>
      <c r="M19" s="103">
        <v>1.072102730414862</v>
      </c>
      <c r="N19" s="103">
        <v>0.19834461055674729</v>
      </c>
      <c r="O19" s="103">
        <v>5.4052526428900807</v>
      </c>
      <c r="P19" s="103">
        <v>1.2719831322680324E-6</v>
      </c>
      <c r="Q19" s="103">
        <v>0.67507285557744345</v>
      </c>
      <c r="R19" s="103">
        <v>1.4691326052522806</v>
      </c>
      <c r="S19" s="103">
        <v>0.67507285557744345</v>
      </c>
      <c r="T19" s="103">
        <v>1.4691326052522806</v>
      </c>
    </row>
    <row r="20" spans="1:20" x14ac:dyDescent="0.2">
      <c r="A20" s="92">
        <v>44835</v>
      </c>
      <c r="B20" s="93">
        <v>3.98</v>
      </c>
      <c r="C20" s="99">
        <f t="shared" si="0"/>
        <v>3.316666666666667E-3</v>
      </c>
      <c r="D20" s="94">
        <v>105.16991</v>
      </c>
      <c r="E20" s="96">
        <f t="shared" si="3"/>
        <v>0.13837110115682294</v>
      </c>
      <c r="F20" s="94">
        <v>3871.9772214167401</v>
      </c>
      <c r="G20" s="96">
        <f t="shared" si="4"/>
        <v>7.986144380964455E-2</v>
      </c>
      <c r="H20" s="86">
        <f t="shared" si="1"/>
        <v>7.6544777142977888E-2</v>
      </c>
      <c r="I20" s="86">
        <f t="shared" si="2"/>
        <v>0.13505443449015628</v>
      </c>
    </row>
    <row r="21" spans="1:20" x14ac:dyDescent="0.2">
      <c r="A21" s="92">
        <v>44866</v>
      </c>
      <c r="B21" s="93">
        <v>3.89</v>
      </c>
      <c r="C21" s="99">
        <f t="shared" si="0"/>
        <v>3.241666666666667E-3</v>
      </c>
      <c r="D21" s="94">
        <v>105.32040000000001</v>
      </c>
      <c r="E21" s="96">
        <f t="shared" si="3"/>
        <v>1.4309225899309386E-3</v>
      </c>
      <c r="F21" s="94">
        <v>4080.1065521792402</v>
      </c>
      <c r="G21" s="96">
        <f t="shared" si="4"/>
        <v>5.3752726026199626E-2</v>
      </c>
      <c r="H21" s="86">
        <f t="shared" si="1"/>
        <v>5.0511059359532956E-2</v>
      </c>
      <c r="I21" s="86">
        <f t="shared" si="2"/>
        <v>-1.8107440767357284E-3</v>
      </c>
      <c r="L21" s="39" t="s">
        <v>280</v>
      </c>
      <c r="M21" s="185">
        <f>M19</f>
        <v>1.072102730414862</v>
      </c>
    </row>
    <row r="22" spans="1:20" x14ac:dyDescent="0.2">
      <c r="A22" s="92">
        <v>44896</v>
      </c>
      <c r="B22" s="93">
        <v>3.62</v>
      </c>
      <c r="C22" s="99">
        <f t="shared" si="0"/>
        <v>3.0166666666666671E-3</v>
      </c>
      <c r="D22" s="94">
        <v>100.26214</v>
      </c>
      <c r="E22" s="96">
        <f t="shared" si="3"/>
        <v>-4.8027352725587891E-2</v>
      </c>
      <c r="F22" s="94">
        <v>3839.4965866768098</v>
      </c>
      <c r="G22" s="96">
        <f t="shared" si="4"/>
        <v>-5.8971490676859251E-2</v>
      </c>
      <c r="H22" s="86">
        <f t="shared" si="1"/>
        <v>-6.1988157343525918E-2</v>
      </c>
      <c r="I22" s="86">
        <f t="shared" si="2"/>
        <v>-5.1044019392254558E-2</v>
      </c>
    </row>
    <row r="23" spans="1:20" x14ac:dyDescent="0.2">
      <c r="A23" s="92">
        <v>44927</v>
      </c>
      <c r="B23" s="93">
        <v>3.53</v>
      </c>
      <c r="C23" s="99">
        <f t="shared" si="0"/>
        <v>2.9416666666666666E-3</v>
      </c>
      <c r="D23" s="94">
        <v>96.215540000000004</v>
      </c>
      <c r="E23" s="96">
        <f t="shared" si="3"/>
        <v>-4.0360199772316863E-2</v>
      </c>
      <c r="F23" s="94">
        <v>4076.6038194027801</v>
      </c>
      <c r="G23" s="96">
        <f t="shared" si="4"/>
        <v>6.1754771067837666E-2</v>
      </c>
      <c r="H23" s="86">
        <f t="shared" si="1"/>
        <v>5.8813104401170997E-2</v>
      </c>
      <c r="I23" s="86">
        <f t="shared" si="2"/>
        <v>-4.3301866438983531E-2</v>
      </c>
      <c r="L23" s="6" t="s">
        <v>281</v>
      </c>
    </row>
    <row r="24" spans="1:20" x14ac:dyDescent="0.2">
      <c r="A24" s="92">
        <v>44958</v>
      </c>
      <c r="B24" s="93">
        <v>3.75</v>
      </c>
      <c r="C24" s="99">
        <f t="shared" si="0"/>
        <v>3.1249999999999997E-3</v>
      </c>
      <c r="D24" s="94">
        <v>90.078739999999996</v>
      </c>
      <c r="E24" s="96">
        <f t="shared" si="3"/>
        <v>-6.3781796578806338E-2</v>
      </c>
      <c r="F24" s="94">
        <v>3970.15344248664</v>
      </c>
      <c r="G24" s="96">
        <f t="shared" si="4"/>
        <v>-2.6112514640123874E-2</v>
      </c>
      <c r="H24" s="86">
        <f t="shared" si="1"/>
        <v>-2.9237514640123873E-2</v>
      </c>
      <c r="I24" s="86">
        <f t="shared" si="2"/>
        <v>-6.6906796578806341E-2</v>
      </c>
    </row>
    <row r="25" spans="1:20" x14ac:dyDescent="0.2">
      <c r="A25" s="92">
        <v>44986</v>
      </c>
      <c r="B25" s="93">
        <v>3.66</v>
      </c>
      <c r="C25" s="99">
        <f t="shared" si="0"/>
        <v>3.0500000000000002E-3</v>
      </c>
      <c r="D25" s="94">
        <v>87.879869999999997</v>
      </c>
      <c r="E25" s="96">
        <f t="shared" si="3"/>
        <v>-2.4410532385333084E-2</v>
      </c>
      <c r="F25" s="94">
        <v>4109.3124446214697</v>
      </c>
      <c r="G25" s="96">
        <f t="shared" si="4"/>
        <v>3.5051290624089848E-2</v>
      </c>
      <c r="H25" s="86">
        <f t="shared" si="1"/>
        <v>3.2001290624089851E-2</v>
      </c>
      <c r="I25" s="86">
        <f t="shared" si="2"/>
        <v>-2.7460532385333084E-2</v>
      </c>
      <c r="L25" s="39" t="s">
        <v>282</v>
      </c>
      <c r="M25" s="185">
        <f>0.67*M21+0.33</f>
        <v>1.0483088293779577</v>
      </c>
    </row>
    <row r="26" spans="1:20" x14ac:dyDescent="0.2">
      <c r="A26" s="92">
        <v>45017</v>
      </c>
      <c r="B26" s="93">
        <v>3.46</v>
      </c>
      <c r="C26" s="99">
        <f t="shared" si="0"/>
        <v>2.8833333333333332E-3</v>
      </c>
      <c r="D26" s="94">
        <v>88.807914999999994</v>
      </c>
      <c r="E26" s="96">
        <f t="shared" si="3"/>
        <v>1.0560382030606164E-2</v>
      </c>
      <c r="F26" s="94">
        <v>4169.4814006359802</v>
      </c>
      <c r="G26" s="96">
        <f t="shared" si="4"/>
        <v>1.4642098118692104E-2</v>
      </c>
      <c r="H26" s="86">
        <f t="shared" si="1"/>
        <v>1.1758764785358771E-2</v>
      </c>
      <c r="I26" s="86">
        <f t="shared" si="2"/>
        <v>7.6770486972728303E-3</v>
      </c>
    </row>
    <row r="27" spans="1:20" x14ac:dyDescent="0.2">
      <c r="A27" s="92">
        <v>45047</v>
      </c>
      <c r="B27" s="93">
        <v>3.57</v>
      </c>
      <c r="C27" s="99">
        <f t="shared" si="0"/>
        <v>2.9749999999999998E-3</v>
      </c>
      <c r="D27" s="94">
        <v>78.014174999999994</v>
      </c>
      <c r="E27" s="96">
        <f t="shared" si="3"/>
        <v>-0.12154029288943446</v>
      </c>
      <c r="F27" s="94">
        <v>4179.8254616673503</v>
      </c>
      <c r="G27" s="96">
        <f t="shared" si="4"/>
        <v>2.4808987107587388E-3</v>
      </c>
      <c r="H27" s="86">
        <f t="shared" si="1"/>
        <v>-4.9410128924126098E-4</v>
      </c>
      <c r="I27" s="86">
        <f t="shared" si="2"/>
        <v>-0.12451529288943447</v>
      </c>
      <c r="L27" s="6" t="s">
        <v>880</v>
      </c>
    </row>
    <row r="28" spans="1:20" x14ac:dyDescent="0.2">
      <c r="A28" s="92">
        <v>45078</v>
      </c>
      <c r="B28" s="93">
        <v>3.75</v>
      </c>
      <c r="C28" s="99">
        <f t="shared" si="0"/>
        <v>3.1249999999999997E-3</v>
      </c>
      <c r="D28" s="94">
        <v>83.682770000000005</v>
      </c>
      <c r="E28" s="96">
        <f t="shared" si="3"/>
        <v>7.2661090115994975E-2</v>
      </c>
      <c r="F28" s="94">
        <v>4450.3813118092103</v>
      </c>
      <c r="G28" s="96">
        <f t="shared" si="4"/>
        <v>6.4728982734588714E-2</v>
      </c>
      <c r="H28" s="86">
        <f t="shared" si="1"/>
        <v>6.1603982734588711E-2</v>
      </c>
      <c r="I28" s="86">
        <f t="shared" si="2"/>
        <v>6.9536090115994972E-2</v>
      </c>
      <c r="L28" s="6" t="s">
        <v>881</v>
      </c>
    </row>
    <row r="29" spans="1:20" x14ac:dyDescent="0.2">
      <c r="A29" s="92">
        <v>45108</v>
      </c>
      <c r="B29" s="93">
        <v>3.9</v>
      </c>
      <c r="C29" s="99">
        <f t="shared" si="0"/>
        <v>3.2499999999999999E-3</v>
      </c>
      <c r="D29" s="94">
        <v>93.222390000000004</v>
      </c>
      <c r="E29" s="96">
        <f t="shared" si="3"/>
        <v>0.11399742145246861</v>
      </c>
      <c r="F29" s="94">
        <v>4588.9611384978498</v>
      </c>
      <c r="G29" s="96">
        <f t="shared" si="4"/>
        <v>3.1138865858733045E-2</v>
      </c>
      <c r="H29" s="86">
        <f t="shared" si="1"/>
        <v>2.7888865858733045E-2</v>
      </c>
      <c r="I29" s="86">
        <f t="shared" si="2"/>
        <v>0.1107474214524686</v>
      </c>
    </row>
    <row r="30" spans="1:20" x14ac:dyDescent="0.2">
      <c r="A30" s="92">
        <v>45139</v>
      </c>
      <c r="B30" s="93">
        <v>4.17</v>
      </c>
      <c r="C30" s="99">
        <f t="shared" si="0"/>
        <v>3.4750000000000002E-3</v>
      </c>
      <c r="D30" s="94">
        <v>89.184139999999999</v>
      </c>
      <c r="E30" s="96">
        <f t="shared" si="3"/>
        <v>-4.3318456006116168E-2</v>
      </c>
      <c r="F30" s="94">
        <v>4507.66179195929</v>
      </c>
      <c r="G30" s="96">
        <f t="shared" si="4"/>
        <v>-1.7716285687521038E-2</v>
      </c>
      <c r="H30" s="86">
        <f t="shared" si="1"/>
        <v>-2.1191285687521037E-2</v>
      </c>
      <c r="I30" s="86">
        <f t="shared" si="2"/>
        <v>-4.6793456006116167E-2</v>
      </c>
    </row>
    <row r="31" spans="1:20" x14ac:dyDescent="0.2">
      <c r="A31" s="92">
        <v>45170</v>
      </c>
      <c r="B31" s="93">
        <v>4.38</v>
      </c>
      <c r="C31" s="99">
        <f t="shared" si="0"/>
        <v>3.65E-3</v>
      </c>
      <c r="D31" s="94">
        <v>78.27337</v>
      </c>
      <c r="E31" s="96">
        <f t="shared" si="3"/>
        <v>-0.1223398016732572</v>
      </c>
      <c r="F31" s="94">
        <v>4288.05412263992</v>
      </c>
      <c r="G31" s="96">
        <f t="shared" si="4"/>
        <v>-4.8718754745776027E-2</v>
      </c>
      <c r="H31" s="86">
        <f t="shared" si="1"/>
        <v>-5.2368754745776028E-2</v>
      </c>
      <c r="I31" s="86">
        <f t="shared" si="2"/>
        <v>-0.12598980167325718</v>
      </c>
    </row>
    <row r="32" spans="1:20" x14ac:dyDescent="0.2">
      <c r="A32" s="92">
        <v>45200</v>
      </c>
      <c r="B32" s="93">
        <v>4.8</v>
      </c>
      <c r="C32" s="99">
        <f t="shared" si="0"/>
        <v>4.0000000000000001E-3</v>
      </c>
      <c r="D32" s="94">
        <v>76.041039999999995</v>
      </c>
      <c r="E32" s="96">
        <f t="shared" si="3"/>
        <v>-2.8519661284546749E-2</v>
      </c>
      <c r="F32" s="94">
        <v>4193.8009552474696</v>
      </c>
      <c r="G32" s="96">
        <f t="shared" si="4"/>
        <v>-2.1980405260002667E-2</v>
      </c>
      <c r="H32" s="86">
        <f t="shared" si="1"/>
        <v>-2.5980405260002667E-2</v>
      </c>
      <c r="I32" s="86">
        <f t="shared" si="2"/>
        <v>-3.2519661284546753E-2</v>
      </c>
    </row>
    <row r="33" spans="1:9" x14ac:dyDescent="0.2">
      <c r="A33" s="92">
        <v>45231</v>
      </c>
      <c r="B33" s="93">
        <v>4.5</v>
      </c>
      <c r="C33" s="99">
        <f t="shared" si="0"/>
        <v>3.7499999999999999E-3</v>
      </c>
      <c r="D33" s="94">
        <v>82.829970000000003</v>
      </c>
      <c r="E33" s="96">
        <f t="shared" si="3"/>
        <v>8.9279815215573155E-2</v>
      </c>
      <c r="F33" s="94">
        <v>4567.7986422755303</v>
      </c>
      <c r="G33" s="96">
        <f t="shared" si="4"/>
        <v>8.9178692794205761E-2</v>
      </c>
      <c r="H33" s="86">
        <f t="shared" si="1"/>
        <v>8.5428692794205757E-2</v>
      </c>
      <c r="I33" s="86">
        <f t="shared" si="2"/>
        <v>8.5529815215573152E-2</v>
      </c>
    </row>
    <row r="34" spans="1:9" x14ac:dyDescent="0.2">
      <c r="A34" s="92">
        <v>45261</v>
      </c>
      <c r="B34" s="93">
        <v>4.0199999999999996</v>
      </c>
      <c r="C34" s="99">
        <f t="shared" si="0"/>
        <v>3.3499999999999992E-3</v>
      </c>
      <c r="D34" s="94">
        <v>91.399739999999994</v>
      </c>
      <c r="E34" s="96">
        <f t="shared" si="3"/>
        <v>0.10346218886714542</v>
      </c>
      <c r="F34" s="94">
        <v>4769.8294107906704</v>
      </c>
      <c r="G34" s="96">
        <f t="shared" si="4"/>
        <v>4.4229350796097133E-2</v>
      </c>
      <c r="H34" s="86">
        <f t="shared" si="1"/>
        <v>4.0879350796097134E-2</v>
      </c>
      <c r="I34" s="86">
        <f t="shared" si="2"/>
        <v>0.10011218886714542</v>
      </c>
    </row>
    <row r="35" spans="1:9" x14ac:dyDescent="0.2">
      <c r="A35" s="92">
        <v>45292</v>
      </c>
      <c r="B35" s="93">
        <v>4.0599999999999996</v>
      </c>
      <c r="C35" s="99">
        <f t="shared" si="0"/>
        <v>3.3833333333333332E-3</v>
      </c>
      <c r="D35" s="94">
        <v>78.883700000000005</v>
      </c>
      <c r="E35" s="96">
        <f t="shared" si="3"/>
        <v>-0.13693736984372151</v>
      </c>
      <c r="F35" s="94">
        <v>4845.6471757314503</v>
      </c>
      <c r="G35" s="96">
        <f t="shared" si="4"/>
        <v>1.5895278093019272E-2</v>
      </c>
      <c r="H35" s="86">
        <f t="shared" si="1"/>
        <v>1.2511944759685938E-2</v>
      </c>
      <c r="I35" s="86">
        <f t="shared" si="2"/>
        <v>-0.14032070317705483</v>
      </c>
    </row>
    <row r="36" spans="1:9" x14ac:dyDescent="0.2">
      <c r="A36" s="92">
        <v>45323</v>
      </c>
      <c r="B36" s="93">
        <v>4.21</v>
      </c>
      <c r="C36" s="99">
        <f t="shared" si="0"/>
        <v>3.5083333333333334E-3</v>
      </c>
      <c r="D36" s="94">
        <v>77.019260000000003</v>
      </c>
      <c r="E36" s="96">
        <f t="shared" si="3"/>
        <v>-2.3635301082479687E-2</v>
      </c>
      <c r="F36" s="94">
        <v>5096.2694998622401</v>
      </c>
      <c r="G36" s="96">
        <f t="shared" si="4"/>
        <v>5.1721125175185456E-2</v>
      </c>
      <c r="H36" s="86">
        <f t="shared" si="1"/>
        <v>4.8212791841852121E-2</v>
      </c>
      <c r="I36" s="86">
        <f t="shared" si="2"/>
        <v>-2.7143634415813019E-2</v>
      </c>
    </row>
    <row r="37" spans="1:9" x14ac:dyDescent="0.2">
      <c r="A37" s="92">
        <v>45352</v>
      </c>
      <c r="B37" s="93">
        <v>4.21</v>
      </c>
      <c r="C37" s="99">
        <f t="shared" si="0"/>
        <v>3.5083333333333334E-3</v>
      </c>
      <c r="D37" s="94">
        <v>88.682500000000005</v>
      </c>
      <c r="E37" s="96">
        <f t="shared" si="3"/>
        <v>0.15143277149118295</v>
      </c>
      <c r="F37" s="94">
        <v>5254.3544012624097</v>
      </c>
      <c r="G37" s="96">
        <f t="shared" si="4"/>
        <v>3.1019729510859406E-2</v>
      </c>
      <c r="H37" s="86">
        <f t="shared" si="1"/>
        <v>2.7511396177526074E-2</v>
      </c>
      <c r="I37" s="86">
        <f t="shared" si="2"/>
        <v>0.14792443815784961</v>
      </c>
    </row>
    <row r="38" spans="1:9" x14ac:dyDescent="0.2">
      <c r="A38" s="92">
        <v>45383</v>
      </c>
      <c r="B38" s="93">
        <v>4.54</v>
      </c>
      <c r="C38" s="99">
        <f t="shared" si="0"/>
        <v>3.7833333333333334E-3</v>
      </c>
      <c r="D38" s="94">
        <v>96.51</v>
      </c>
      <c r="E38" s="96">
        <f t="shared" si="3"/>
        <v>8.826431370338006E-2</v>
      </c>
      <c r="F38" s="94">
        <v>5035.6916784595196</v>
      </c>
      <c r="G38" s="96">
        <f t="shared" si="4"/>
        <v>-4.1615526114940793E-2</v>
      </c>
      <c r="H38" s="86">
        <f t="shared" si="1"/>
        <v>-4.5398859448274126E-2</v>
      </c>
      <c r="I38" s="86">
        <f t="shared" si="2"/>
        <v>8.4480980370046727E-2</v>
      </c>
    </row>
    <row r="39" spans="1:9" x14ac:dyDescent="0.2">
      <c r="A39" s="92">
        <v>45413</v>
      </c>
      <c r="B39" s="93">
        <v>4.4800000000000004</v>
      </c>
      <c r="C39" s="99">
        <f t="shared" si="0"/>
        <v>3.7333333333333337E-3</v>
      </c>
      <c r="D39" s="94">
        <v>100.14</v>
      </c>
      <c r="E39" s="96">
        <f t="shared" si="3"/>
        <v>3.7612682623562321E-2</v>
      </c>
      <c r="F39" s="94">
        <v>5277.5073452655797</v>
      </c>
      <c r="G39" s="96">
        <f t="shared" si="4"/>
        <v>4.8020347997166146E-2</v>
      </c>
      <c r="H39" s="86">
        <f t="shared" si="1"/>
        <v>4.4287014663832815E-2</v>
      </c>
      <c r="I39" s="86">
        <f t="shared" si="2"/>
        <v>3.387934929022899E-2</v>
      </c>
    </row>
    <row r="40" spans="1:9" x14ac:dyDescent="0.2">
      <c r="A40" s="92">
        <v>45444</v>
      </c>
      <c r="B40" s="93">
        <v>4.3099999999999996</v>
      </c>
      <c r="C40" s="99">
        <f t="shared" si="0"/>
        <v>3.5916666666666666E-3</v>
      </c>
      <c r="D40" s="94">
        <v>102.19</v>
      </c>
      <c r="E40" s="96">
        <f t="shared" si="3"/>
        <v>2.0471340123826565E-2</v>
      </c>
      <c r="F40" s="94">
        <v>5460.4826211495201</v>
      </c>
      <c r="G40" s="96">
        <f t="shared" si="4"/>
        <v>3.4670776166344286E-2</v>
      </c>
      <c r="H40" s="86">
        <f t="shared" si="1"/>
        <v>3.1079109499677619E-2</v>
      </c>
      <c r="I40" s="86">
        <f t="shared" si="2"/>
        <v>1.6879673457159898E-2</v>
      </c>
    </row>
    <row r="41" spans="1:9" x14ac:dyDescent="0.2">
      <c r="A41" s="92">
        <v>45474</v>
      </c>
      <c r="B41" s="93">
        <v>4.25</v>
      </c>
      <c r="C41" s="99">
        <f t="shared" si="0"/>
        <v>3.5416666666666669E-3</v>
      </c>
      <c r="D41" s="94">
        <v>127.55</v>
      </c>
      <c r="E41" s="96">
        <f t="shared" si="3"/>
        <v>0.24816518250318031</v>
      </c>
      <c r="F41" s="94">
        <v>5522.3018368946596</v>
      </c>
      <c r="G41" s="96">
        <f t="shared" si="4"/>
        <v>1.1321199980694363E-2</v>
      </c>
      <c r="H41" s="86">
        <f t="shared" si="1"/>
        <v>7.7795333140276961E-3</v>
      </c>
      <c r="I41" s="86">
        <f t="shared" si="2"/>
        <v>0.24462351583651365</v>
      </c>
    </row>
    <row r="42" spans="1:9" x14ac:dyDescent="0.2">
      <c r="A42" s="92">
        <v>45505</v>
      </c>
      <c r="B42" s="93">
        <v>3.87</v>
      </c>
      <c r="C42" s="99">
        <f t="shared" si="0"/>
        <v>3.225E-3</v>
      </c>
      <c r="D42" s="94">
        <v>134.69</v>
      </c>
      <c r="E42" s="96">
        <f t="shared" si="3"/>
        <v>5.5978047824382537E-2</v>
      </c>
      <c r="F42" s="94">
        <v>5648.3972363167604</v>
      </c>
      <c r="G42" s="96">
        <f t="shared" si="4"/>
        <v>2.2833847758855441E-2</v>
      </c>
      <c r="H42" s="86">
        <f t="shared" si="1"/>
        <v>1.9608847758855442E-2</v>
      </c>
      <c r="I42" s="86">
        <f t="shared" si="2"/>
        <v>5.2753047824382539E-2</v>
      </c>
    </row>
    <row r="43" spans="1:9" x14ac:dyDescent="0.2">
      <c r="A43" s="92">
        <v>45536</v>
      </c>
      <c r="B43" s="93">
        <v>3.72</v>
      </c>
      <c r="C43" s="99">
        <f t="shared" si="0"/>
        <v>3.1000000000000003E-3</v>
      </c>
      <c r="D43" s="94">
        <v>136.69999999999999</v>
      </c>
      <c r="E43" s="96">
        <f t="shared" si="3"/>
        <v>1.492315687875867E-2</v>
      </c>
      <c r="F43" s="94">
        <v>5762.4848833691203</v>
      </c>
      <c r="G43" s="96">
        <f t="shared" si="4"/>
        <v>2.0198233636760765E-2</v>
      </c>
      <c r="H43" s="86">
        <f t="shared" si="1"/>
        <v>1.7098233636760767E-2</v>
      </c>
      <c r="I43" s="86">
        <f t="shared" si="2"/>
        <v>1.182315687875867E-2</v>
      </c>
    </row>
    <row r="44" spans="1:9" x14ac:dyDescent="0.2">
      <c r="A44" s="92">
        <v>45566</v>
      </c>
      <c r="B44" s="93">
        <v>4.0999999999999996</v>
      </c>
      <c r="C44" s="99">
        <f t="shared" si="0"/>
        <v>3.4166666666666664E-3</v>
      </c>
      <c r="D44" s="94">
        <v>128.47</v>
      </c>
      <c r="E44" s="96">
        <f t="shared" si="3"/>
        <v>-6.0204828090709483E-2</v>
      </c>
      <c r="F44" s="94">
        <v>5705.4479206697297</v>
      </c>
      <c r="G44" s="96">
        <f t="shared" si="4"/>
        <v>-9.8979804465956223E-3</v>
      </c>
      <c r="H44" s="86">
        <f t="shared" si="1"/>
        <v>-1.3314647113262289E-2</v>
      </c>
      <c r="I44" s="86">
        <f t="shared" si="2"/>
        <v>-6.3621494757376149E-2</v>
      </c>
    </row>
    <row r="45" spans="1:9" x14ac:dyDescent="0.2">
      <c r="A45" s="92">
        <v>45597</v>
      </c>
      <c r="B45" s="93">
        <v>4.3600000000000003</v>
      </c>
      <c r="C45" s="99">
        <f t="shared" si="0"/>
        <v>3.6333333333333335E-3</v>
      </c>
      <c r="D45" s="94">
        <v>133.53</v>
      </c>
      <c r="E45" s="96">
        <f t="shared" si="3"/>
        <v>3.9386627228146676E-2</v>
      </c>
      <c r="F45" s="94">
        <v>6032.3844122739201</v>
      </c>
      <c r="G45" s="96">
        <f t="shared" si="4"/>
        <v>5.7302510889594371E-2</v>
      </c>
      <c r="H45" s="86">
        <f t="shared" si="1"/>
        <v>5.3669177556261036E-2</v>
      </c>
      <c r="I45" s="86">
        <f t="shared" si="2"/>
        <v>3.575329389481334E-2</v>
      </c>
    </row>
    <row r="46" spans="1:9" x14ac:dyDescent="0.2">
      <c r="A46" s="92">
        <v>45627</v>
      </c>
      <c r="B46" s="93">
        <v>4.3899999999999997</v>
      </c>
      <c r="C46" s="99">
        <f t="shared" si="0"/>
        <v>3.6583333333333329E-3</v>
      </c>
      <c r="D46" s="94">
        <v>129.09</v>
      </c>
      <c r="E46" s="96">
        <f t="shared" si="3"/>
        <v>-3.325095484160856E-2</v>
      </c>
      <c r="F46" s="94">
        <v>5881.6276482140902</v>
      </c>
      <c r="G46" s="96">
        <f t="shared" si="4"/>
        <v>-2.4991239575695712E-2</v>
      </c>
      <c r="H46" s="86">
        <f t="shared" si="1"/>
        <v>-2.8649572909029045E-2</v>
      </c>
      <c r="I46" s="86">
        <f t="shared" si="2"/>
        <v>-3.6909288174941893E-2</v>
      </c>
    </row>
    <row r="47" spans="1:9" x14ac:dyDescent="0.2">
      <c r="A47" s="92">
        <v>45658</v>
      </c>
      <c r="B47" s="93">
        <v>4.63</v>
      </c>
      <c r="C47" s="99">
        <f t="shared" si="0"/>
        <v>3.8583333333333334E-3</v>
      </c>
      <c r="D47" s="94">
        <v>152.19999999999999</v>
      </c>
      <c r="E47" s="96">
        <f t="shared" si="3"/>
        <v>0.17902238748160193</v>
      </c>
      <c r="F47" s="94">
        <v>6040.5259338818596</v>
      </c>
      <c r="G47" s="96">
        <f t="shared" si="4"/>
        <v>2.7016039635902045E-2</v>
      </c>
      <c r="H47" s="86">
        <f t="shared" si="1"/>
        <v>2.3157706302568713E-2</v>
      </c>
      <c r="I47" s="86">
        <f t="shared" si="2"/>
        <v>0.17516405414826861</v>
      </c>
    </row>
    <row r="48" spans="1:9" x14ac:dyDescent="0.2">
      <c r="A48" s="92">
        <v>45689</v>
      </c>
      <c r="B48" s="93">
        <v>4.45</v>
      </c>
      <c r="C48" s="99">
        <f t="shared" si="0"/>
        <v>3.7083333333333339E-3</v>
      </c>
      <c r="D48" s="94">
        <v>155.12</v>
      </c>
      <c r="E48" s="96">
        <f t="shared" si="3"/>
        <v>1.9185282522996117E-2</v>
      </c>
      <c r="F48" s="94">
        <v>5954.5048269650797</v>
      </c>
      <c r="G48" s="96">
        <f t="shared" si="4"/>
        <v>-1.4240665110678452E-2</v>
      </c>
      <c r="H48" s="86">
        <f t="shared" si="1"/>
        <v>-1.7948998444011786E-2</v>
      </c>
      <c r="I48" s="86">
        <f t="shared" si="2"/>
        <v>1.5476949189662782E-2</v>
      </c>
    </row>
    <row r="49" spans="1:9" x14ac:dyDescent="0.2">
      <c r="A49" s="92">
        <v>45717</v>
      </c>
      <c r="B49" s="93">
        <v>4.28</v>
      </c>
      <c r="C49" s="99">
        <f t="shared" si="0"/>
        <v>3.5666666666666672E-3</v>
      </c>
      <c r="D49" s="94">
        <v>146.86000000000001</v>
      </c>
      <c r="E49" s="96">
        <f t="shared" si="3"/>
        <v>-5.3249097472924167E-2</v>
      </c>
      <c r="F49" s="94">
        <v>5611.8526068176297</v>
      </c>
      <c r="G49" s="96">
        <f t="shared" si="4"/>
        <v>-5.7545040285422733E-2</v>
      </c>
      <c r="H49" s="86">
        <f t="shared" si="1"/>
        <v>-6.1111706952089402E-2</v>
      </c>
      <c r="I49" s="86">
        <f t="shared" si="2"/>
        <v>-5.6815764139590837E-2</v>
      </c>
    </row>
    <row r="50" spans="1:9" x14ac:dyDescent="0.2">
      <c r="A50" s="92">
        <v>45748</v>
      </c>
      <c r="B50" s="93">
        <v>4.28</v>
      </c>
      <c r="C50" s="99">
        <f t="shared" si="0"/>
        <v>3.5666666666666672E-3</v>
      </c>
      <c r="D50" s="94">
        <v>138.91</v>
      </c>
      <c r="E50" s="96">
        <f t="shared" si="3"/>
        <v>-5.4133188070271121E-2</v>
      </c>
      <c r="F50" s="94">
        <v>5569.0646749468096</v>
      </c>
      <c r="G50" s="96">
        <f t="shared" si="4"/>
        <v>-7.624564447547777E-3</v>
      </c>
      <c r="H50" s="86">
        <f t="shared" si="1"/>
        <v>-1.1191231114214445E-2</v>
      </c>
      <c r="I50" s="86">
        <f t="shared" si="2"/>
        <v>-5.769985473693779E-2</v>
      </c>
    </row>
    <row r="51" spans="1:9" x14ac:dyDescent="0.2">
      <c r="A51" s="92">
        <v>45778</v>
      </c>
      <c r="B51" s="93">
        <v>4.42</v>
      </c>
      <c r="C51" s="99">
        <f t="shared" si="0"/>
        <v>3.6833333333333332E-3</v>
      </c>
      <c r="D51" s="94">
        <v>148.35</v>
      </c>
      <c r="E51" s="96">
        <f t="shared" si="3"/>
        <v>6.7957670434094064E-2</v>
      </c>
      <c r="F51" s="94">
        <v>5911.6867231263304</v>
      </c>
      <c r="G51" s="96">
        <f t="shared" si="4"/>
        <v>6.1522368328895904E-2</v>
      </c>
      <c r="H51" s="86">
        <f t="shared" si="1"/>
        <v>5.7839034995562574E-2</v>
      </c>
      <c r="I51" s="86">
        <f t="shared" si="2"/>
        <v>6.4274337100760734E-2</v>
      </c>
    </row>
    <row r="52" spans="1:9" x14ac:dyDescent="0.2">
      <c r="A52" s="92">
        <v>45809</v>
      </c>
      <c r="B52" s="93">
        <v>4.38</v>
      </c>
      <c r="C52" s="99">
        <f t="shared" si="0"/>
        <v>3.65E-3</v>
      </c>
      <c r="D52" s="94">
        <v>152.24</v>
      </c>
      <c r="E52" s="96">
        <f t="shared" si="3"/>
        <v>2.6221772834513102E-2</v>
      </c>
      <c r="F52" s="94">
        <v>6204.9539523896201</v>
      </c>
      <c r="G52" s="96">
        <f t="shared" si="4"/>
        <v>4.9608046400029471E-2</v>
      </c>
      <c r="H52" s="86">
        <f t="shared" si="1"/>
        <v>4.595804640002947E-2</v>
      </c>
      <c r="I52" s="86">
        <f t="shared" si="2"/>
        <v>2.2571772834513101E-2</v>
      </c>
    </row>
    <row r="53" spans="1:9" x14ac:dyDescent="0.2">
      <c r="A53" s="92">
        <v>45839</v>
      </c>
      <c r="B53" s="93">
        <v>4.3899999999999997</v>
      </c>
      <c r="C53" s="99">
        <f t="shared" si="0"/>
        <v>3.6583333333333329E-3</v>
      </c>
      <c r="D53" s="94">
        <v>149.22</v>
      </c>
      <c r="E53" s="96">
        <f t="shared" si="3"/>
        <v>-1.9837099316868168E-2</v>
      </c>
      <c r="F53" s="94">
        <v>6339.3945671658003</v>
      </c>
      <c r="G53" s="96">
        <f t="shared" si="4"/>
        <v>2.1666657932957856E-2</v>
      </c>
      <c r="H53" s="86">
        <f t="shared" si="1"/>
        <v>1.8008324599624523E-2</v>
      </c>
      <c r="I53" s="86">
        <f t="shared" si="2"/>
        <v>-2.34954326502015E-2</v>
      </c>
    </row>
    <row r="54" spans="1:9" x14ac:dyDescent="0.2">
      <c r="A54" s="92">
        <v>45870</v>
      </c>
      <c r="B54" s="93">
        <v>4.26</v>
      </c>
      <c r="C54" s="99">
        <f t="shared" si="0"/>
        <v>3.5499999999999998E-3</v>
      </c>
      <c r="D54" s="94">
        <v>155.53</v>
      </c>
      <c r="E54" s="96">
        <f t="shared" si="3"/>
        <v>4.2286556761828242E-2</v>
      </c>
      <c r="F54" s="94">
        <v>6460.2626670192003</v>
      </c>
      <c r="G54" s="96">
        <f t="shared" si="4"/>
        <v>1.9066189771405506E-2</v>
      </c>
      <c r="H54" s="86">
        <f t="shared" si="1"/>
        <v>1.5516189771405507E-2</v>
      </c>
      <c r="I54" s="86">
        <f t="shared" si="2"/>
        <v>3.8736556761828245E-2</v>
      </c>
    </row>
    <row r="55" spans="1:9" x14ac:dyDescent="0.2">
      <c r="A55" s="92">
        <v>45901</v>
      </c>
      <c r="B55" s="93">
        <v>4.12</v>
      </c>
      <c r="C55" s="99">
        <f t="shared" si="0"/>
        <v>3.4333333333333334E-3</v>
      </c>
      <c r="D55" s="94">
        <v>155.18</v>
      </c>
      <c r="E55" s="96">
        <f t="shared" si="3"/>
        <v>-2.2503697035941572E-3</v>
      </c>
      <c r="F55" s="94">
        <v>6688.45903689016</v>
      </c>
      <c r="G55" s="96">
        <f t="shared" si="4"/>
        <v>3.5323079204804264E-2</v>
      </c>
      <c r="H55" s="86">
        <f t="shared" si="1"/>
        <v>3.1889745871470934E-2</v>
      </c>
      <c r="I55" s="86">
        <f t="shared" si="2"/>
        <v>-5.6837030369274906E-3</v>
      </c>
    </row>
    <row r="56" spans="1:9" x14ac:dyDescent="0.2">
      <c r="A56" s="92">
        <v>45931</v>
      </c>
      <c r="B56" s="93">
        <v>4.0599999999999996</v>
      </c>
      <c r="C56" s="99">
        <f t="shared" si="0"/>
        <v>3.3833333333333332E-3</v>
      </c>
      <c r="D56" s="94">
        <v>166.5</v>
      </c>
      <c r="E56" s="96">
        <f t="shared" si="3"/>
        <v>7.2947544786699181E-2</v>
      </c>
      <c r="F56" s="94">
        <v>6840.1987413872303</v>
      </c>
      <c r="G56" s="96">
        <f t="shared" si="4"/>
        <v>2.268679581651778E-2</v>
      </c>
      <c r="H56" s="86">
        <f t="shared" si="1"/>
        <v>1.9303462483184448E-2</v>
      </c>
      <c r="I56" s="86">
        <f t="shared" si="2"/>
        <v>6.9564211453365846E-2</v>
      </c>
    </row>
    <row r="57" spans="1:9" x14ac:dyDescent="0.2">
      <c r="A57" s="92">
        <v>45962</v>
      </c>
      <c r="B57" s="93">
        <v>4.09</v>
      </c>
      <c r="C57" s="99">
        <f t="shared" si="0"/>
        <v>3.4083333333333331E-3</v>
      </c>
      <c r="D57" s="94">
        <v>172.05</v>
      </c>
      <c r="E57" s="96">
        <f t="shared" si="3"/>
        <v>3.3333333333333437E-2</v>
      </c>
      <c r="F57" s="94">
        <v>6849.0873723464601</v>
      </c>
      <c r="G57" s="96">
        <f t="shared" si="4"/>
        <v>1.2994696931023508E-3</v>
      </c>
      <c r="H57" s="86">
        <f t="shared" si="1"/>
        <v>-2.1088636402309823E-3</v>
      </c>
      <c r="I57" s="86">
        <f t="shared" si="2"/>
        <v>2.9925000000000104E-2</v>
      </c>
    </row>
    <row r="58" spans="1:9" x14ac:dyDescent="0.2">
      <c r="A58" s="92">
        <v>45992</v>
      </c>
      <c r="B58" s="93">
        <v>4.1399999999999997</v>
      </c>
      <c r="C58" s="99">
        <f t="shared" si="0"/>
        <v>3.4499999999999999E-3</v>
      </c>
      <c r="D58" s="94">
        <v>160.1</v>
      </c>
      <c r="E58" s="96">
        <f t="shared" si="3"/>
        <v>-6.9456553327521209E-2</v>
      </c>
      <c r="F58" s="94">
        <v>6845.5047061575797</v>
      </c>
      <c r="G58" s="96">
        <f t="shared" si="4"/>
        <v>-5.2308665287958966E-4</v>
      </c>
      <c r="H58" s="86">
        <f t="shared" si="1"/>
        <v>-3.9730866528795896E-3</v>
      </c>
      <c r="I58" s="86">
        <f t="shared" si="2"/>
        <v>-7.2906553327521204E-2</v>
      </c>
    </row>
    <row r="59" spans="1:9" x14ac:dyDescent="0.2">
      <c r="A59" s="92">
        <v>46023</v>
      </c>
      <c r="B59" s="93">
        <v>4.21</v>
      </c>
      <c r="C59" s="99">
        <f t="shared" si="0"/>
        <v>3.5083333333333334E-3</v>
      </c>
      <c r="D59" s="94">
        <v>153.16</v>
      </c>
      <c r="E59" s="96">
        <f t="shared" si="3"/>
        <v>-4.3347907557776399E-2</v>
      </c>
      <c r="F59" s="94">
        <v>6939.0295201634999</v>
      </c>
      <c r="G59" s="96">
        <f t="shared" si="4"/>
        <v>1.366222331595135E-2</v>
      </c>
      <c r="H59" s="86">
        <f t="shared" si="1"/>
        <v>1.0153889982618016E-2</v>
      </c>
      <c r="I59" s="86">
        <f t="shared" si="2"/>
        <v>-4.6856240891109735E-2</v>
      </c>
    </row>
    <row r="60" spans="1:9" x14ac:dyDescent="0.2">
      <c r="A60" s="92">
        <v>46054</v>
      </c>
      <c r="B60" s="93">
        <v>4.13</v>
      </c>
      <c r="C60" s="99">
        <f t="shared" si="0"/>
        <v>3.4416666666666662E-3</v>
      </c>
      <c r="D60" s="94">
        <v>165.32</v>
      </c>
      <c r="E60" s="96">
        <f t="shared" si="3"/>
        <v>7.9394097675633324E-2</v>
      </c>
      <c r="F60" s="94">
        <v>6878.8784986626997</v>
      </c>
      <c r="G60" s="96">
        <f t="shared" si="4"/>
        <v>-8.6685063561140474E-3</v>
      </c>
      <c r="H60" s="86">
        <f t="shared" si="1"/>
        <v>-1.2110173022780713E-2</v>
      </c>
      <c r="I60" s="86">
        <f t="shared" si="2"/>
        <v>7.5952431008966662E-2</v>
      </c>
    </row>
    <row r="61" spans="1:9" x14ac:dyDescent="0.2">
      <c r="A61" s="92">
        <v>46082</v>
      </c>
      <c r="B61" s="93">
        <v>4.25</v>
      </c>
      <c r="C61" s="99">
        <f t="shared" si="0"/>
        <v>3.5416666666666669E-3</v>
      </c>
      <c r="D61" s="94">
        <v>145.22999999999999</v>
      </c>
      <c r="E61" s="96">
        <f t="shared" si="3"/>
        <v>-0.12152189692717152</v>
      </c>
      <c r="F61" s="94">
        <v>6528.5173836756603</v>
      </c>
      <c r="G61" s="96">
        <f t="shared" si="4"/>
        <v>-5.0932883180761501E-2</v>
      </c>
      <c r="H61" s="86">
        <f t="shared" si="1"/>
        <v>-5.4474549847428166E-2</v>
      </c>
      <c r="I61" s="86">
        <f t="shared" si="2"/>
        <v>-0.12506356359383819</v>
      </c>
    </row>
  </sheetData>
  <sortState xmlns:xlrd2="http://schemas.microsoft.com/office/spreadsheetml/2017/richdata2" ref="F2:H121">
    <sortCondition ref="F1:F1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1A96-9CE2-4FA2-8B51-801A390F7626}">
  <dimension ref="A1:T37"/>
  <sheetViews>
    <sheetView workbookViewId="0">
      <selection activeCell="B21" sqref="B21"/>
    </sheetView>
  </sheetViews>
  <sheetFormatPr defaultColWidth="8.7109375" defaultRowHeight="12.75" x14ac:dyDescent="0.2"/>
  <cols>
    <col min="1" max="1" width="21.85546875" style="6" customWidth="1"/>
    <col min="2" max="2" width="16.5703125" style="6" customWidth="1"/>
    <col min="3" max="3" width="16.140625" style="6" customWidth="1"/>
    <col min="4" max="4" width="34.85546875" style="6" customWidth="1"/>
    <col min="5" max="5" width="23.42578125" style="6" bestFit="1" customWidth="1"/>
    <col min="6" max="7" width="8.7109375" style="6"/>
    <col min="8" max="8" width="12.5703125" style="6" customWidth="1"/>
    <col min="9" max="9" width="13.42578125" style="6" customWidth="1"/>
    <col min="10" max="10" width="11.28515625" style="6" customWidth="1"/>
    <col min="11" max="11" width="11.5703125" style="6" customWidth="1"/>
    <col min="12" max="12" width="12.42578125" style="6" customWidth="1"/>
    <col min="13" max="16384" width="8.7109375" style="6"/>
  </cols>
  <sheetData>
    <row r="1" spans="1:20" x14ac:dyDescent="0.2">
      <c r="A1" s="39" t="s">
        <v>769</v>
      </c>
      <c r="B1" s="37" t="s">
        <v>314</v>
      </c>
      <c r="C1" s="59"/>
      <c r="D1" s="184"/>
    </row>
    <row r="2" spans="1:20" x14ac:dyDescent="0.2">
      <c r="A2" s="37"/>
      <c r="B2" s="49" t="s">
        <v>316</v>
      </c>
      <c r="C2" s="58" t="s">
        <v>310</v>
      </c>
      <c r="D2" s="268"/>
      <c r="E2" s="269"/>
    </row>
    <row r="3" spans="1:20" x14ac:dyDescent="0.2">
      <c r="A3" s="37" t="s">
        <v>312</v>
      </c>
      <c r="B3" s="37">
        <v>10355</v>
      </c>
      <c r="C3" s="267">
        <v>3.7600000000000001E-2</v>
      </c>
      <c r="D3" s="270"/>
      <c r="E3" s="98"/>
      <c r="G3"/>
    </row>
    <row r="4" spans="1:20" x14ac:dyDescent="0.2">
      <c r="A4" s="37" t="s">
        <v>311</v>
      </c>
      <c r="B4" s="37">
        <v>199</v>
      </c>
      <c r="C4" s="267">
        <v>3.7699999999999997E-2</v>
      </c>
      <c r="D4" s="270"/>
      <c r="E4" s="9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20" x14ac:dyDescent="0.2">
      <c r="A5" s="37" t="s">
        <v>313</v>
      </c>
      <c r="B5" s="37">
        <v>2048</v>
      </c>
      <c r="C5" s="267">
        <v>1.7299999999999999E-2</v>
      </c>
      <c r="D5" s="270"/>
      <c r="E5" s="98"/>
      <c r="G5" s="71"/>
      <c r="H5" s="276"/>
      <c r="I5" s="277"/>
      <c r="J5" s="277"/>
      <c r="K5" s="276"/>
      <c r="L5" s="276"/>
      <c r="M5" s="276"/>
      <c r="N5" s="276"/>
      <c r="O5" s="276"/>
      <c r="P5" s="276"/>
      <c r="Q5" s="276"/>
      <c r="R5" s="276"/>
      <c r="S5" s="276"/>
      <c r="T5" s="276"/>
    </row>
    <row r="6" spans="1:20" x14ac:dyDescent="0.2">
      <c r="A6" s="37" t="s">
        <v>203</v>
      </c>
      <c r="B6" s="37">
        <f>SUM(B3:B5)</f>
        <v>12602</v>
      </c>
      <c r="C6" s="59"/>
      <c r="D6" s="270" t="s">
        <v>837</v>
      </c>
      <c r="E6" s="98"/>
      <c r="G6" s="74"/>
      <c r="H6" s="68"/>
      <c r="I6" s="207"/>
      <c r="J6" s="207"/>
      <c r="K6" s="208"/>
      <c r="L6" s="68"/>
      <c r="M6" s="68"/>
      <c r="N6" s="68"/>
      <c r="O6" s="68"/>
      <c r="P6" s="68"/>
      <c r="Q6" s="209"/>
      <c r="R6" s="210"/>
      <c r="S6" s="209"/>
      <c r="T6" s="68"/>
    </row>
    <row r="7" spans="1:20" x14ac:dyDescent="0.2">
      <c r="C7" s="98"/>
      <c r="G7" s="74"/>
      <c r="H7" s="68"/>
      <c r="I7" s="278"/>
      <c r="J7" s="278"/>
      <c r="K7" s="231"/>
      <c r="L7" s="68"/>
      <c r="M7" s="68"/>
      <c r="N7" s="68"/>
      <c r="O7" s="68"/>
      <c r="P7" s="68"/>
      <c r="Q7" s="209"/>
      <c r="R7" s="218"/>
      <c r="S7" s="279"/>
      <c r="T7" s="68"/>
    </row>
    <row r="8" spans="1:20" x14ac:dyDescent="0.2">
      <c r="A8" s="39" t="s">
        <v>770</v>
      </c>
      <c r="C8" s="6" t="s">
        <v>819</v>
      </c>
      <c r="G8" s="74"/>
      <c r="H8" s="68"/>
      <c r="I8" s="216"/>
      <c r="J8" s="216"/>
      <c r="K8" s="68"/>
      <c r="L8" s="68"/>
      <c r="M8" s="68"/>
      <c r="N8" s="68"/>
      <c r="O8" s="68"/>
      <c r="P8" s="68"/>
      <c r="Q8" s="217"/>
      <c r="R8" s="218"/>
      <c r="S8" s="219"/>
      <c r="T8" s="68"/>
    </row>
    <row r="9" spans="1:20" x14ac:dyDescent="0.2">
      <c r="A9" s="37" t="s">
        <v>818</v>
      </c>
      <c r="B9" s="271">
        <f>'TRACE Bond details'!G20</f>
        <v>8406.7557660000002</v>
      </c>
      <c r="C9" s="272">
        <f>'TRACE Bond details'!B27</f>
        <v>3.9243081418475934E-2</v>
      </c>
      <c r="D9" s="6" t="s">
        <v>822</v>
      </c>
      <c r="G9" s="74"/>
      <c r="H9" s="68"/>
      <c r="I9" s="207"/>
      <c r="J9" s="207"/>
      <c r="K9" s="224"/>
      <c r="L9" s="68"/>
      <c r="M9" s="68"/>
      <c r="N9" s="68"/>
      <c r="O9" s="68"/>
      <c r="P9" s="68"/>
      <c r="Q9" s="209"/>
      <c r="R9" s="210"/>
      <c r="S9" s="209"/>
      <c r="T9" s="199"/>
    </row>
    <row r="10" spans="1:20" x14ac:dyDescent="0.2">
      <c r="A10" s="37" t="s">
        <v>820</v>
      </c>
      <c r="B10" s="271">
        <f>'TRACE Bond details'!B37</f>
        <v>1993.4485124999999</v>
      </c>
      <c r="C10" s="106">
        <f>'TRACE Bond details'!B40</f>
        <v>2.2847483861437329E-2</v>
      </c>
      <c r="G10" s="74"/>
      <c r="H10" s="68"/>
      <c r="I10" s="223"/>
      <c r="J10" s="223"/>
      <c r="K10" s="224"/>
      <c r="L10" s="68"/>
      <c r="M10" s="68"/>
      <c r="N10" s="68"/>
      <c r="O10" s="68"/>
      <c r="P10" s="68"/>
      <c r="Q10" s="225"/>
      <c r="R10" s="218"/>
      <c r="S10" s="209"/>
      <c r="T10" s="68"/>
    </row>
    <row r="11" spans="1:20" x14ac:dyDescent="0.2">
      <c r="A11" s="37"/>
      <c r="B11" s="271">
        <f>SUM(B9:B10)</f>
        <v>10400.204278499999</v>
      </c>
      <c r="C11" s="272">
        <f>B9/B11*C9+(B10/B11)*C10</f>
        <v>3.6100472034428233E-2</v>
      </c>
      <c r="G11" s="74"/>
      <c r="H11" s="68"/>
      <c r="I11" s="228"/>
      <c r="J11" s="228"/>
      <c r="K11" s="224"/>
      <c r="L11" s="68"/>
      <c r="M11" s="68"/>
      <c r="N11" s="68"/>
      <c r="O11" s="68"/>
      <c r="P11" s="68"/>
      <c r="Q11" s="232"/>
      <c r="R11" s="210"/>
      <c r="S11" s="209"/>
      <c r="T11" s="199"/>
    </row>
    <row r="12" spans="1:20" x14ac:dyDescent="0.2">
      <c r="A12" s="37" t="s">
        <v>821</v>
      </c>
      <c r="B12" s="271">
        <f>B11</f>
        <v>10400.204278499999</v>
      </c>
      <c r="C12" s="37"/>
      <c r="G12" s="74"/>
      <c r="H12" s="68"/>
      <c r="I12" s="228"/>
      <c r="J12" s="228"/>
      <c r="K12" s="224"/>
      <c r="L12" s="68"/>
      <c r="M12" s="68"/>
      <c r="N12" s="68"/>
      <c r="O12" s="68"/>
      <c r="P12" s="68"/>
      <c r="Q12" s="209"/>
      <c r="R12" s="218"/>
      <c r="S12" s="209"/>
      <c r="T12" s="199"/>
    </row>
    <row r="13" spans="1:20" x14ac:dyDescent="0.2">
      <c r="G13" s="74"/>
      <c r="H13" s="68"/>
      <c r="I13" s="280"/>
      <c r="J13" s="280"/>
      <c r="K13" s="224"/>
      <c r="L13" s="68"/>
      <c r="M13" s="68"/>
      <c r="N13" s="68"/>
      <c r="O13" s="68"/>
      <c r="P13" s="68"/>
      <c r="Q13" s="209"/>
      <c r="R13" s="240"/>
      <c r="S13" s="209"/>
      <c r="T13" s="68"/>
    </row>
    <row r="14" spans="1:20" x14ac:dyDescent="0.2">
      <c r="G14" s="74"/>
      <c r="H14" s="68"/>
      <c r="I14" s="207"/>
      <c r="J14" s="207"/>
      <c r="K14" s="231"/>
      <c r="L14" s="68"/>
      <c r="M14" s="68"/>
      <c r="N14" s="68"/>
      <c r="O14" s="68"/>
      <c r="P14" s="68"/>
      <c r="Q14" s="225"/>
      <c r="R14" s="218"/>
      <c r="S14" s="232"/>
      <c r="T14" s="68"/>
    </row>
    <row r="15" spans="1:20" x14ac:dyDescent="0.2">
      <c r="A15" s="39" t="s">
        <v>317</v>
      </c>
      <c r="C15" s="98"/>
      <c r="G15" s="74"/>
      <c r="H15" s="68"/>
      <c r="I15" s="223"/>
      <c r="J15" s="223"/>
      <c r="K15" s="208"/>
      <c r="L15" s="68"/>
      <c r="M15" s="68"/>
      <c r="N15" s="68"/>
      <c r="O15" s="68"/>
      <c r="P15" s="68"/>
      <c r="Q15" s="209"/>
      <c r="R15" s="218"/>
      <c r="S15" s="209"/>
      <c r="T15" s="199"/>
    </row>
    <row r="16" spans="1:20" x14ac:dyDescent="0.2">
      <c r="A16" s="37" t="s">
        <v>319</v>
      </c>
      <c r="B16" s="106">
        <v>4.2299999999999997E-2</v>
      </c>
      <c r="C16" s="6" t="s">
        <v>320</v>
      </c>
      <c r="G16" s="74"/>
      <c r="H16" s="68"/>
      <c r="I16" s="228"/>
      <c r="J16" s="228"/>
      <c r="K16" s="235"/>
      <c r="L16" s="68"/>
      <c r="M16" s="68"/>
      <c r="N16" s="68"/>
      <c r="O16" s="68"/>
      <c r="P16" s="68"/>
      <c r="Q16" s="209"/>
      <c r="R16" s="218"/>
      <c r="S16" s="236"/>
      <c r="T16" s="68"/>
    </row>
    <row r="17" spans="1:20" x14ac:dyDescent="0.2">
      <c r="A17" s="37" t="s">
        <v>318</v>
      </c>
      <c r="B17" s="105">
        <f>Beta!M25</f>
        <v>1.0483088293779577</v>
      </c>
      <c r="G17" s="74"/>
      <c r="H17" s="68"/>
      <c r="I17" s="223"/>
      <c r="J17" s="223"/>
      <c r="K17" s="231"/>
      <c r="L17" s="68"/>
      <c r="M17" s="68"/>
      <c r="N17" s="68"/>
      <c r="O17" s="68"/>
      <c r="P17" s="68"/>
      <c r="Q17" s="209"/>
      <c r="R17" s="218"/>
      <c r="S17" s="209"/>
      <c r="T17" s="68"/>
    </row>
    <row r="18" spans="1:20" x14ac:dyDescent="0.2">
      <c r="A18" s="37" t="s">
        <v>181</v>
      </c>
      <c r="B18" s="86">
        <v>0.21</v>
      </c>
      <c r="C18" s="6" t="s">
        <v>854</v>
      </c>
      <c r="G18" s="74"/>
      <c r="H18" s="68"/>
      <c r="I18" s="207"/>
      <c r="J18" s="207"/>
      <c r="K18" s="208"/>
      <c r="L18" s="68"/>
      <c r="M18" s="68"/>
      <c r="N18" s="68"/>
      <c r="O18" s="68"/>
      <c r="P18" s="68"/>
      <c r="Q18" s="225"/>
      <c r="R18" s="218"/>
      <c r="S18" s="225"/>
      <c r="T18" s="68"/>
    </row>
    <row r="19" spans="1:20" x14ac:dyDescent="0.2">
      <c r="A19" s="37" t="s">
        <v>248</v>
      </c>
      <c r="B19" s="106">
        <v>4.2000000000000003E-2</v>
      </c>
      <c r="G19" s="74"/>
      <c r="H19" s="68"/>
      <c r="I19" s="223"/>
      <c r="J19" s="223"/>
      <c r="K19" s="231"/>
      <c r="L19" s="68"/>
      <c r="M19" s="68"/>
      <c r="N19" s="68"/>
      <c r="O19" s="68"/>
      <c r="P19" s="68"/>
      <c r="Q19" s="225"/>
      <c r="R19" s="210"/>
      <c r="S19" s="281"/>
      <c r="T19" s="68"/>
    </row>
    <row r="20" spans="1:20" x14ac:dyDescent="0.2">
      <c r="A20" s="111" t="s">
        <v>321</v>
      </c>
      <c r="B20" s="110">
        <f>B19+B17*B16</f>
        <v>8.6343463482687607E-2</v>
      </c>
      <c r="G20" s="74"/>
      <c r="H20" s="68"/>
      <c r="I20" s="239"/>
      <c r="J20" s="239"/>
      <c r="K20" s="68"/>
      <c r="L20" s="68"/>
      <c r="M20" s="68"/>
      <c r="N20" s="68"/>
      <c r="O20" s="68"/>
      <c r="P20" s="68"/>
      <c r="Q20" s="209"/>
      <c r="R20" s="240"/>
      <c r="S20" s="209"/>
      <c r="T20" s="68"/>
    </row>
    <row r="21" spans="1:20" x14ac:dyDescent="0.2">
      <c r="A21" s="37" t="s">
        <v>322</v>
      </c>
      <c r="B21" s="37">
        <v>150.78</v>
      </c>
      <c r="G21" s="74"/>
      <c r="H21" s="68"/>
      <c r="I21" s="228"/>
      <c r="J21" s="228"/>
      <c r="K21" s="68"/>
      <c r="L21" s="68"/>
      <c r="M21" s="68"/>
      <c r="N21" s="68"/>
      <c r="O21" s="68"/>
      <c r="P21" s="68"/>
      <c r="Q21" s="217"/>
      <c r="R21" s="218"/>
      <c r="S21" s="281"/>
      <c r="T21" s="68"/>
    </row>
    <row r="22" spans="1:20" x14ac:dyDescent="0.2">
      <c r="A22" s="37" t="s">
        <v>323</v>
      </c>
      <c r="B22" s="91">
        <v>530279131</v>
      </c>
      <c r="G22" s="74"/>
      <c r="H22" s="68"/>
      <c r="I22" s="239"/>
      <c r="J22" s="239"/>
      <c r="K22" s="68"/>
      <c r="L22" s="68"/>
      <c r="M22" s="68"/>
      <c r="N22" s="68"/>
      <c r="O22" s="68"/>
      <c r="P22" s="68"/>
      <c r="Q22" s="209"/>
      <c r="R22" s="210"/>
      <c r="S22" s="236"/>
      <c r="T22" s="68"/>
    </row>
    <row r="23" spans="1:20" x14ac:dyDescent="0.2">
      <c r="G23" s="74"/>
      <c r="H23" s="68"/>
      <c r="I23" s="282"/>
      <c r="J23" s="282"/>
      <c r="K23" s="224"/>
      <c r="L23" s="68"/>
      <c r="M23" s="68"/>
      <c r="N23" s="68"/>
      <c r="O23" s="68"/>
      <c r="P23" s="68"/>
      <c r="Q23" s="209"/>
      <c r="R23" s="218"/>
      <c r="S23" s="219"/>
      <c r="T23" s="68"/>
    </row>
    <row r="24" spans="1:20" x14ac:dyDescent="0.2">
      <c r="A24" s="82" t="s">
        <v>315</v>
      </c>
      <c r="G24" s="74"/>
      <c r="H24" s="68"/>
      <c r="I24" s="228"/>
      <c r="J24" s="228"/>
      <c r="K24" s="224"/>
      <c r="L24" s="68"/>
      <c r="M24" s="68"/>
      <c r="N24" s="68"/>
      <c r="O24" s="68"/>
      <c r="P24" s="68"/>
      <c r="Q24" s="209"/>
      <c r="R24" s="218"/>
      <c r="S24" s="219"/>
      <c r="T24" s="68"/>
    </row>
    <row r="25" spans="1:20" x14ac:dyDescent="0.2">
      <c r="A25" s="182">
        <v>2025</v>
      </c>
      <c r="B25" s="49" t="s">
        <v>855</v>
      </c>
      <c r="C25" s="49" t="s">
        <v>857</v>
      </c>
      <c r="D25" s="49" t="s">
        <v>856</v>
      </c>
      <c r="G25" s="74"/>
      <c r="H25" s="68"/>
      <c r="I25" s="228"/>
      <c r="J25" s="228"/>
      <c r="K25" s="224"/>
      <c r="L25" s="68"/>
      <c r="M25" s="68"/>
      <c r="N25" s="68"/>
      <c r="O25" s="68"/>
      <c r="P25" s="68"/>
      <c r="Q25" s="209"/>
      <c r="R25" s="218"/>
      <c r="S25" s="219"/>
      <c r="T25" s="68"/>
    </row>
    <row r="26" spans="1:20" x14ac:dyDescent="0.2">
      <c r="A26" s="37" t="s">
        <v>165</v>
      </c>
      <c r="B26" s="38">
        <f>B21*B22/10^6</f>
        <v>79955.48737218001</v>
      </c>
      <c r="C26" s="84">
        <f>B26/B28</f>
        <v>0.88489707633794945</v>
      </c>
      <c r="D26" s="106">
        <f>B20</f>
        <v>8.6343463482687607E-2</v>
      </c>
      <c r="G26" s="74"/>
      <c r="H26" s="68"/>
      <c r="I26" s="76"/>
      <c r="J26" s="76"/>
      <c r="K26" s="244"/>
      <c r="L26" s="68"/>
      <c r="M26" s="68"/>
      <c r="N26" s="68"/>
      <c r="O26" s="68"/>
      <c r="P26" s="68"/>
      <c r="Q26" s="232"/>
      <c r="R26" s="218"/>
      <c r="S26" s="219"/>
      <c r="T26" s="68"/>
    </row>
    <row r="27" spans="1:20" x14ac:dyDescent="0.2">
      <c r="A27" s="37" t="s">
        <v>316</v>
      </c>
      <c r="B27" s="38">
        <f>B11</f>
        <v>10400.204278499999</v>
      </c>
      <c r="C27" s="84">
        <f>B27/B28</f>
        <v>0.11510292366205056</v>
      </c>
      <c r="D27" s="106">
        <f>C11</f>
        <v>3.6100472034428233E-2</v>
      </c>
      <c r="G27" s="74"/>
      <c r="H27" s="68"/>
      <c r="I27" s="280"/>
      <c r="J27" s="280"/>
      <c r="K27" s="208"/>
      <c r="L27" s="68"/>
      <c r="M27" s="68"/>
      <c r="N27" s="68"/>
      <c r="O27" s="68"/>
      <c r="P27" s="68"/>
      <c r="Q27" s="209"/>
      <c r="R27" s="218"/>
      <c r="S27" s="219"/>
      <c r="T27" s="199"/>
    </row>
    <row r="28" spans="1:20" x14ac:dyDescent="0.2">
      <c r="A28" s="39" t="s">
        <v>203</v>
      </c>
      <c r="B28" s="40">
        <f>B26+B27</f>
        <v>90355.691650680004</v>
      </c>
      <c r="C28" s="291">
        <f>SUM(C26:C27)</f>
        <v>1</v>
      </c>
      <c r="D28" s="292">
        <f>(B26/B28)*D26+(B27/B28)*D27</f>
        <v>8.0560348273465546E-2</v>
      </c>
      <c r="E28" s="6" t="s">
        <v>324</v>
      </c>
      <c r="G28" s="74"/>
      <c r="H28" s="68"/>
      <c r="I28" s="207"/>
      <c r="J28" s="207"/>
      <c r="K28" s="231"/>
      <c r="L28" s="68"/>
      <c r="M28" s="68"/>
      <c r="N28" s="68"/>
      <c r="O28" s="68"/>
      <c r="P28" s="68"/>
      <c r="Q28" s="209"/>
      <c r="R28" s="218"/>
      <c r="S28" s="245"/>
      <c r="T28" s="199"/>
    </row>
    <row r="29" spans="1:20" x14ac:dyDescent="0.2">
      <c r="G29" s="71"/>
      <c r="H29" s="276"/>
      <c r="I29" s="283"/>
      <c r="J29" s="283"/>
      <c r="K29" s="276"/>
      <c r="L29" s="276"/>
      <c r="M29" s="276"/>
      <c r="N29" s="276"/>
      <c r="O29" s="276"/>
      <c r="P29" s="276"/>
      <c r="Q29" s="276"/>
      <c r="R29" s="276"/>
      <c r="S29" s="276"/>
      <c r="T29" s="276"/>
    </row>
    <row r="30" spans="1:20" x14ac:dyDescent="0.2">
      <c r="G30" s="74"/>
      <c r="H30" s="68"/>
      <c r="I30" s="247"/>
      <c r="J30" s="247"/>
      <c r="K30" s="68"/>
      <c r="L30" s="68"/>
      <c r="M30" s="68"/>
      <c r="N30" s="68"/>
      <c r="O30" s="68"/>
      <c r="P30" s="68"/>
      <c r="Q30" s="68"/>
      <c r="R30" s="68"/>
      <c r="S30" s="68"/>
      <c r="T30" s="199"/>
    </row>
    <row r="31" spans="1:20" x14ac:dyDescent="0.2">
      <c r="G31" s="248"/>
      <c r="H31" s="68"/>
      <c r="I31" s="249"/>
      <c r="J31" s="248"/>
      <c r="K31" s="248"/>
      <c r="L31"/>
      <c r="M31"/>
      <c r="N31"/>
      <c r="O31"/>
      <c r="P31"/>
      <c r="Q31"/>
      <c r="R31"/>
      <c r="S31"/>
      <c r="T31"/>
    </row>
    <row r="32" spans="1:20" x14ac:dyDescent="0.2">
      <c r="G32" s="248"/>
      <c r="H32" s="68"/>
      <c r="I32" s="80"/>
      <c r="J32" s="248"/>
      <c r="K32" s="248"/>
      <c r="L32"/>
      <c r="M32"/>
      <c r="N32"/>
      <c r="O32"/>
      <c r="P32"/>
      <c r="Q32"/>
      <c r="R32"/>
      <c r="S32"/>
      <c r="T32"/>
    </row>
    <row r="33" spans="7:20" x14ac:dyDescent="0.2">
      <c r="G33" s="248"/>
      <c r="H33" s="68"/>
      <c r="I33" s="251"/>
      <c r="J33" s="248"/>
      <c r="K33" s="248"/>
      <c r="L33"/>
      <c r="M33"/>
      <c r="N33"/>
      <c r="O33"/>
      <c r="P33"/>
      <c r="Q33"/>
      <c r="R33"/>
      <c r="S33"/>
      <c r="T33"/>
    </row>
    <row r="34" spans="7:20" x14ac:dyDescent="0.2">
      <c r="G34" s="248"/>
      <c r="H34" s="68"/>
      <c r="I34" s="76"/>
      <c r="J34" s="248"/>
      <c r="K34" s="248"/>
      <c r="L34"/>
      <c r="M34"/>
      <c r="N34"/>
      <c r="O34"/>
      <c r="P34"/>
      <c r="Q34"/>
      <c r="R34"/>
      <c r="S34"/>
      <c r="T34"/>
    </row>
    <row r="35" spans="7:20" x14ac:dyDescent="0.2">
      <c r="G35" s="248"/>
      <c r="H35" s="68"/>
      <c r="I35" s="249"/>
      <c r="J35" s="249"/>
      <c r="K35" s="248"/>
      <c r="L35"/>
      <c r="M35"/>
      <c r="N35"/>
      <c r="O35"/>
      <c r="P35"/>
      <c r="Q35"/>
      <c r="R35"/>
      <c r="S35"/>
      <c r="T35"/>
    </row>
    <row r="37" spans="7:20" x14ac:dyDescent="0.2">
      <c r="G37" s="50"/>
      <c r="H37" s="50"/>
      <c r="I37" s="2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6555-1258-42B0-AED5-06D0C5CA7521}">
  <dimension ref="A2:K40"/>
  <sheetViews>
    <sheetView topLeftCell="A16" workbookViewId="0">
      <selection activeCell="D37" sqref="D37"/>
    </sheetView>
  </sheetViews>
  <sheetFormatPr defaultColWidth="8.7109375" defaultRowHeight="12.75" x14ac:dyDescent="0.2"/>
  <cols>
    <col min="1" max="1" width="22" style="135" bestFit="1" customWidth="1"/>
    <col min="2" max="2" width="10.85546875" style="135" bestFit="1" customWidth="1"/>
    <col min="3" max="3" width="9.5703125" style="135" bestFit="1" customWidth="1"/>
    <col min="4" max="4" width="19.140625" style="135" bestFit="1" customWidth="1"/>
    <col min="5" max="5" width="13.85546875" style="135" customWidth="1"/>
    <col min="6" max="6" width="13.42578125" style="135" bestFit="1" customWidth="1"/>
    <col min="7" max="7" width="15.42578125" style="135" bestFit="1" customWidth="1"/>
    <col min="8" max="8" width="9.7109375" style="135" bestFit="1" customWidth="1"/>
    <col min="9" max="9" width="18.42578125" style="135" bestFit="1" customWidth="1"/>
    <col min="10" max="16384" width="8.7109375" style="135"/>
  </cols>
  <sheetData>
    <row r="2" spans="1:9" x14ac:dyDescent="0.2">
      <c r="A2" s="135" t="s">
        <v>181</v>
      </c>
      <c r="B2" s="266">
        <v>0.21</v>
      </c>
    </row>
    <row r="3" spans="1:9" ht="13.5" thickBot="1" x14ac:dyDescent="0.25"/>
    <row r="4" spans="1:9" ht="13.5" thickBot="1" x14ac:dyDescent="0.25">
      <c r="A4" s="256" t="s">
        <v>771</v>
      </c>
      <c r="B4" s="265" t="s">
        <v>474</v>
      </c>
      <c r="C4" s="265" t="s">
        <v>772</v>
      </c>
      <c r="D4" s="265" t="s">
        <v>773</v>
      </c>
      <c r="E4" s="265" t="s">
        <v>774</v>
      </c>
      <c r="F4" s="265" t="s">
        <v>775</v>
      </c>
      <c r="G4" s="265" t="s">
        <v>776</v>
      </c>
      <c r="H4" s="265" t="s">
        <v>777</v>
      </c>
      <c r="I4" s="265" t="s">
        <v>778</v>
      </c>
    </row>
    <row r="5" spans="1:9" x14ac:dyDescent="0.2">
      <c r="A5" s="257" t="s">
        <v>779</v>
      </c>
      <c r="B5" s="258" t="s">
        <v>780</v>
      </c>
      <c r="C5" s="259">
        <v>2.2499999999999999E-2</v>
      </c>
      <c r="D5" s="259">
        <v>0.9909</v>
      </c>
      <c r="E5" s="259">
        <v>4.02E-2</v>
      </c>
      <c r="F5" s="260">
        <v>650</v>
      </c>
      <c r="G5" s="260">
        <f>D5*F5</f>
        <v>644.08500000000004</v>
      </c>
      <c r="H5" s="259">
        <f>G5/SUM(G5:G19)</f>
        <v>7.6615167363956946E-2</v>
      </c>
      <c r="I5" s="261">
        <f t="shared" ref="I5:I19" si="0">H5*E5</f>
        <v>3.0799297280310694E-3</v>
      </c>
    </row>
    <row r="6" spans="1:9" x14ac:dyDescent="0.2">
      <c r="A6" s="257" t="s">
        <v>781</v>
      </c>
      <c r="B6" s="258" t="s">
        <v>782</v>
      </c>
      <c r="C6" s="259">
        <v>6.3750000000000001E-2</v>
      </c>
      <c r="D6" s="259">
        <v>1.0397000000000001</v>
      </c>
      <c r="E6" s="259">
        <v>4.2000000000000003E-2</v>
      </c>
      <c r="F6" s="260">
        <v>219.78</v>
      </c>
      <c r="G6" s="260">
        <f t="shared" ref="G6:G19" si="1">D6*F6</f>
        <v>228.50526600000001</v>
      </c>
      <c r="H6" s="259">
        <f>G6/SUM(G5:G19)</f>
        <v>2.7181147205936326E-2</v>
      </c>
      <c r="I6" s="261">
        <f t="shared" si="0"/>
        <v>1.1416081826493257E-3</v>
      </c>
    </row>
    <row r="7" spans="1:9" x14ac:dyDescent="0.2">
      <c r="A7" s="257" t="s">
        <v>783</v>
      </c>
      <c r="B7" s="258" t="s">
        <v>784</v>
      </c>
      <c r="C7" s="259">
        <v>3.6249999999999998E-2</v>
      </c>
      <c r="D7" s="259">
        <v>0.98519999999999996</v>
      </c>
      <c r="E7" s="259">
        <v>4.2500000000000003E-2</v>
      </c>
      <c r="F7" s="260">
        <v>600</v>
      </c>
      <c r="G7" s="260">
        <f t="shared" si="1"/>
        <v>591.12</v>
      </c>
      <c r="H7" s="259">
        <f>G7/SUM(G5:G19)</f>
        <v>7.0314877278902982E-2</v>
      </c>
      <c r="I7" s="261">
        <f t="shared" si="0"/>
        <v>2.9883822843533771E-3</v>
      </c>
    </row>
    <row r="8" spans="1:9" x14ac:dyDescent="0.2">
      <c r="A8" s="257" t="s">
        <v>785</v>
      </c>
      <c r="B8" s="258" t="s">
        <v>786</v>
      </c>
      <c r="C8" s="259">
        <v>3.3750000000000002E-2</v>
      </c>
      <c r="D8" s="259">
        <v>0.97450000000000003</v>
      </c>
      <c r="E8" s="259">
        <v>4.2999999999999997E-2</v>
      </c>
      <c r="F8" s="260">
        <v>800</v>
      </c>
      <c r="G8" s="260">
        <f t="shared" si="1"/>
        <v>779.6</v>
      </c>
      <c r="H8" s="259">
        <f>G8/SUM(G5:G19)</f>
        <v>9.2734941004589191E-2</v>
      </c>
      <c r="I8" s="261">
        <f>H8*E8</f>
        <v>3.9876024631973353E-3</v>
      </c>
    </row>
    <row r="9" spans="1:9" x14ac:dyDescent="0.2">
      <c r="A9" s="257" t="s">
        <v>787</v>
      </c>
      <c r="B9" s="258" t="s">
        <v>788</v>
      </c>
      <c r="C9" s="259">
        <v>2.375E-2</v>
      </c>
      <c r="D9" s="259">
        <v>0.93659999999999999</v>
      </c>
      <c r="E9" s="259">
        <v>4.3799999999999999E-2</v>
      </c>
      <c r="F9" s="260">
        <v>1000</v>
      </c>
      <c r="G9" s="260">
        <f t="shared" si="1"/>
        <v>936.6</v>
      </c>
      <c r="H9" s="259">
        <f>G9/SUM(G5:G19)</f>
        <v>0.11141039731259395</v>
      </c>
      <c r="I9" s="261">
        <f t="shared" si="0"/>
        <v>4.8797754022916143E-3</v>
      </c>
    </row>
    <row r="10" spans="1:9" x14ac:dyDescent="0.2">
      <c r="A10" s="257" t="s">
        <v>789</v>
      </c>
      <c r="B10" s="258" t="s">
        <v>790</v>
      </c>
      <c r="C10" s="259">
        <v>3.0499999999999999E-2</v>
      </c>
      <c r="D10" s="259">
        <v>0.95189999999999997</v>
      </c>
      <c r="E10" s="259">
        <v>4.3700000000000003E-2</v>
      </c>
      <c r="F10" s="260">
        <v>600</v>
      </c>
      <c r="G10" s="260">
        <f t="shared" si="1"/>
        <v>571.14</v>
      </c>
      <c r="H10" s="259">
        <f>G10/SUM(G5:G19)</f>
        <v>6.7938217297795103E-2</v>
      </c>
      <c r="I10" s="261">
        <f t="shared" si="0"/>
        <v>2.9689000959136464E-3</v>
      </c>
    </row>
    <row r="11" spans="1:9" x14ac:dyDescent="0.2">
      <c r="A11" s="257" t="s">
        <v>791</v>
      </c>
      <c r="B11" s="258" t="s">
        <v>792</v>
      </c>
      <c r="C11" s="259">
        <v>4.8000000000000001E-2</v>
      </c>
      <c r="D11" s="259">
        <v>1.0150999999999999</v>
      </c>
      <c r="E11" s="259">
        <v>4.3799999999999999E-2</v>
      </c>
      <c r="F11" s="260">
        <v>550</v>
      </c>
      <c r="G11" s="260">
        <f t="shared" si="1"/>
        <v>558.30499999999995</v>
      </c>
      <c r="H11" s="259">
        <f>G11/SUM(G5:G19)</f>
        <v>6.6411469006627963E-2</v>
      </c>
      <c r="I11" s="261">
        <f t="shared" si="0"/>
        <v>2.9088223424903045E-3</v>
      </c>
    </row>
    <row r="12" spans="1:9" x14ac:dyDescent="0.2">
      <c r="A12" s="257" t="s">
        <v>793</v>
      </c>
      <c r="B12" s="258" t="s">
        <v>794</v>
      </c>
      <c r="C12" s="259">
        <v>5.1499999999999997E-2</v>
      </c>
      <c r="D12" s="259">
        <v>1.0103</v>
      </c>
      <c r="E12" s="259">
        <v>5.04E-2</v>
      </c>
      <c r="F12" s="260">
        <v>550</v>
      </c>
      <c r="G12" s="260">
        <f t="shared" si="1"/>
        <v>555.66499999999996</v>
      </c>
      <c r="H12" s="259">
        <f>G12/SUM(G5:G19)</f>
        <v>6.6097435855971068E-2</v>
      </c>
      <c r="I12" s="261">
        <f t="shared" si="0"/>
        <v>3.331310767140942E-3</v>
      </c>
    </row>
    <row r="13" spans="1:9" x14ac:dyDescent="0.2">
      <c r="A13" s="257" t="s">
        <v>795</v>
      </c>
      <c r="B13" s="258" t="s">
        <v>796</v>
      </c>
      <c r="C13" s="259">
        <v>5.7000000000000002E-2</v>
      </c>
      <c r="D13" s="259">
        <v>1.0375000000000001</v>
      </c>
      <c r="E13" s="259">
        <v>5.3100000000000001E-2</v>
      </c>
      <c r="F13" s="260">
        <v>555.28</v>
      </c>
      <c r="G13" s="260">
        <f t="shared" si="1"/>
        <v>576.10300000000007</v>
      </c>
      <c r="H13" s="259">
        <f>G13/SUM(G5:G19)</f>
        <v>6.8528575830639885E-2</v>
      </c>
      <c r="I13" s="261">
        <f t="shared" si="0"/>
        <v>3.6388673766069779E-3</v>
      </c>
    </row>
    <row r="14" spans="1:9" x14ac:dyDescent="0.2">
      <c r="A14" s="257" t="s">
        <v>797</v>
      </c>
      <c r="B14" s="258" t="s">
        <v>798</v>
      </c>
      <c r="C14" s="259">
        <v>3.875E-2</v>
      </c>
      <c r="D14" s="259">
        <v>0.79569999999999996</v>
      </c>
      <c r="E14" s="259">
        <v>5.6500000000000002E-2</v>
      </c>
      <c r="F14" s="260">
        <v>325</v>
      </c>
      <c r="G14" s="260">
        <f t="shared" si="1"/>
        <v>258.60249999999996</v>
      </c>
      <c r="H14" s="259">
        <f>G14/SUM(G5:G19)</f>
        <v>3.0761271910132469E-2</v>
      </c>
      <c r="I14" s="261">
        <f t="shared" si="0"/>
        <v>1.7380118629224846E-3</v>
      </c>
    </row>
    <row r="15" spans="1:9" x14ac:dyDescent="0.2">
      <c r="A15" s="257" t="s">
        <v>799</v>
      </c>
      <c r="B15" s="258" t="s">
        <v>800</v>
      </c>
      <c r="C15" s="259">
        <v>3.125E-2</v>
      </c>
      <c r="D15" s="259">
        <v>0.67720000000000002</v>
      </c>
      <c r="E15" s="259">
        <v>5.8400000000000001E-2</v>
      </c>
      <c r="F15" s="260">
        <v>500</v>
      </c>
      <c r="G15" s="260">
        <f t="shared" si="1"/>
        <v>338.6</v>
      </c>
      <c r="H15" s="259">
        <f>G15/SUM(G5:G19)</f>
        <v>4.0277130610766931E-2</v>
      </c>
      <c r="I15" s="261">
        <f t="shared" si="0"/>
        <v>2.3521844276687886E-3</v>
      </c>
    </row>
    <row r="16" spans="1:9" x14ac:dyDescent="0.2">
      <c r="A16" s="257" t="s">
        <v>801</v>
      </c>
      <c r="B16" s="258" t="s">
        <v>802</v>
      </c>
      <c r="C16" s="259">
        <v>3.6249999999999998E-2</v>
      </c>
      <c r="D16" s="259">
        <v>0.72770000000000001</v>
      </c>
      <c r="E16" s="259">
        <v>5.8599999999999999E-2</v>
      </c>
      <c r="F16" s="260">
        <v>500</v>
      </c>
      <c r="G16" s="260">
        <f t="shared" si="1"/>
        <v>363.85</v>
      </c>
      <c r="H16" s="259">
        <f>G16/SUM(G5:G19)</f>
        <v>4.3280667373678527E-2</v>
      </c>
      <c r="I16" s="261">
        <f t="shared" si="0"/>
        <v>2.5362471080975619E-3</v>
      </c>
    </row>
    <row r="17" spans="1:11" x14ac:dyDescent="0.2">
      <c r="A17" s="257" t="s">
        <v>803</v>
      </c>
      <c r="B17" s="258" t="s">
        <v>804</v>
      </c>
      <c r="C17" s="259">
        <v>0.04</v>
      </c>
      <c r="D17" s="259">
        <v>0.75700000000000001</v>
      </c>
      <c r="E17" s="259">
        <v>5.9700000000000003E-2</v>
      </c>
      <c r="F17" s="260">
        <v>1150</v>
      </c>
      <c r="G17" s="260">
        <f t="shared" si="1"/>
        <v>870.55</v>
      </c>
      <c r="H17" s="259">
        <f>G17/SUM(G5:G19)</f>
        <v>0.10355362094862124</v>
      </c>
      <c r="I17" s="261">
        <f t="shared" si="0"/>
        <v>6.182151170632688E-3</v>
      </c>
    </row>
    <row r="18" spans="1:11" x14ac:dyDescent="0.2">
      <c r="A18" s="257" t="s">
        <v>805</v>
      </c>
      <c r="B18" s="258" t="s">
        <v>806</v>
      </c>
      <c r="C18" s="259">
        <v>3.2500000000000001E-2</v>
      </c>
      <c r="D18" s="259">
        <v>0.6633</v>
      </c>
      <c r="E18" s="259">
        <v>5.9200000000000003E-2</v>
      </c>
      <c r="F18" s="260">
        <v>1000</v>
      </c>
      <c r="G18" s="260">
        <f t="shared" si="1"/>
        <v>663.3</v>
      </c>
      <c r="H18" s="259">
        <f>G18/SUM(G5:G19)</f>
        <v>7.8900829102544895E-2</v>
      </c>
      <c r="I18" s="261">
        <f t="shared" si="0"/>
        <v>4.6709290828706581E-3</v>
      </c>
    </row>
    <row r="19" spans="1:11" x14ac:dyDescent="0.2">
      <c r="A19" s="257" t="s">
        <v>807</v>
      </c>
      <c r="B19" s="258" t="s">
        <v>808</v>
      </c>
      <c r="C19" s="259">
        <v>3.6999999999999998E-2</v>
      </c>
      <c r="D19" s="259">
        <v>0.72419999999999995</v>
      </c>
      <c r="E19" s="259">
        <v>5.8400000000000001E-2</v>
      </c>
      <c r="F19" s="260">
        <v>650</v>
      </c>
      <c r="G19" s="260">
        <f t="shared" si="1"/>
        <v>470.72999999999996</v>
      </c>
      <c r="H19" s="259">
        <f>G19/SUM(G5:G19)</f>
        <v>5.5994251897242511E-2</v>
      </c>
      <c r="I19" s="261">
        <f t="shared" si="0"/>
        <v>3.2700643107989626E-3</v>
      </c>
    </row>
    <row r="20" spans="1:11" x14ac:dyDescent="0.2">
      <c r="A20" s="262" t="s">
        <v>809</v>
      </c>
      <c r="B20" s="262"/>
      <c r="C20" s="262"/>
      <c r="D20" s="262"/>
      <c r="E20" s="262"/>
      <c r="F20" s="260">
        <f>SUM(F5:F19)</f>
        <v>9650.06</v>
      </c>
      <c r="G20" s="260">
        <f>SUM(G5:G19)</f>
        <v>8406.7557660000002</v>
      </c>
      <c r="H20" s="263" t="s">
        <v>810</v>
      </c>
      <c r="I20" s="261">
        <f>SUM(I5:I19)</f>
        <v>4.9674786605665738E-2</v>
      </c>
    </row>
    <row r="22" spans="1:11" x14ac:dyDescent="0.2">
      <c r="A22" s="306" t="s">
        <v>811</v>
      </c>
      <c r="B22" s="306"/>
      <c r="C22" s="306"/>
    </row>
    <row r="23" spans="1:11" x14ac:dyDescent="0.2">
      <c r="A23" s="257" t="s">
        <v>812</v>
      </c>
      <c r="B23" s="260">
        <f>F20</f>
        <v>9650.06</v>
      </c>
    </row>
    <row r="24" spans="1:11" x14ac:dyDescent="0.2">
      <c r="A24" s="257" t="s">
        <v>813</v>
      </c>
      <c r="B24" s="260">
        <f>G20</f>
        <v>8406.7557660000002</v>
      </c>
    </row>
    <row r="25" spans="1:11" x14ac:dyDescent="0.2">
      <c r="A25" s="257" t="s">
        <v>814</v>
      </c>
      <c r="B25" s="259">
        <f>G20/F20</f>
        <v>0.871160984076783</v>
      </c>
    </row>
    <row r="26" spans="1:11" x14ac:dyDescent="0.2">
      <c r="A26" s="257" t="s">
        <v>815</v>
      </c>
      <c r="B26" s="259">
        <f>I20</f>
        <v>4.9674786605665738E-2</v>
      </c>
    </row>
    <row r="27" spans="1:11" x14ac:dyDescent="0.2">
      <c r="A27" s="257" t="s">
        <v>816</v>
      </c>
      <c r="B27" s="259">
        <f>I20*(1-B2)</f>
        <v>3.9243081418475934E-2</v>
      </c>
    </row>
    <row r="28" spans="1:11" x14ac:dyDescent="0.2">
      <c r="A28" s="257" t="s">
        <v>817</v>
      </c>
      <c r="B28" s="264">
        <f>G20-F20</f>
        <v>-1243.3042339999993</v>
      </c>
    </row>
    <row r="30" spans="1:11" x14ac:dyDescent="0.2">
      <c r="A30" s="137" t="s">
        <v>826</v>
      </c>
      <c r="B30" s="137" t="s">
        <v>474</v>
      </c>
      <c r="C30" s="137" t="s">
        <v>772</v>
      </c>
      <c r="D30" s="137" t="s">
        <v>830</v>
      </c>
      <c r="E30" s="171" t="s">
        <v>846</v>
      </c>
      <c r="F30" s="137" t="s">
        <v>847</v>
      </c>
      <c r="G30" s="137" t="s">
        <v>848</v>
      </c>
      <c r="H30" s="137" t="s">
        <v>834</v>
      </c>
      <c r="I30" s="137" t="s">
        <v>827</v>
      </c>
    </row>
    <row r="31" spans="1:11" x14ac:dyDescent="0.2">
      <c r="A31" s="133" t="s">
        <v>823</v>
      </c>
      <c r="B31" s="133" t="s">
        <v>828</v>
      </c>
      <c r="C31" s="273">
        <v>1.4999999999999999E-2</v>
      </c>
      <c r="D31" s="273">
        <v>2.3599999999999999E-2</v>
      </c>
      <c r="E31" s="133">
        <v>750</v>
      </c>
      <c r="F31" s="274">
        <v>0.99850000000000005</v>
      </c>
      <c r="G31" s="133">
        <v>748.875</v>
      </c>
      <c r="H31" s="133">
        <v>1.1778999999999999</v>
      </c>
      <c r="I31" s="159">
        <v>882.09986249999997</v>
      </c>
      <c r="K31" s="266"/>
    </row>
    <row r="32" spans="1:11" x14ac:dyDescent="0.2">
      <c r="A32" s="133" t="s">
        <v>824</v>
      </c>
      <c r="B32" s="133" t="s">
        <v>792</v>
      </c>
      <c r="C32" s="273">
        <v>1.7500000000000002E-2</v>
      </c>
      <c r="D32" s="273">
        <v>3.2500000000000001E-2</v>
      </c>
      <c r="E32" s="133">
        <v>500</v>
      </c>
      <c r="F32" s="274">
        <v>0.95199999999999996</v>
      </c>
      <c r="G32" s="133">
        <v>476</v>
      </c>
      <c r="H32" s="133">
        <v>1.1778999999999999</v>
      </c>
      <c r="I32" s="159">
        <v>560.68039999999996</v>
      </c>
    </row>
    <row r="33" spans="1:9" x14ac:dyDescent="0.2">
      <c r="A33" s="133" t="s">
        <v>825</v>
      </c>
      <c r="B33" s="133" t="s">
        <v>829</v>
      </c>
      <c r="C33" s="273">
        <v>1.4999999999999999E-2</v>
      </c>
      <c r="D33" s="273">
        <v>3.3799999999999997E-2</v>
      </c>
      <c r="E33" s="133">
        <v>500</v>
      </c>
      <c r="F33" s="274">
        <v>0.93500000000000005</v>
      </c>
      <c r="G33" s="133">
        <v>467.5</v>
      </c>
      <c r="H33" s="133">
        <v>1.1778999999999999</v>
      </c>
      <c r="I33" s="159">
        <v>550.66824999999994</v>
      </c>
    </row>
    <row r="34" spans="1:9" x14ac:dyDescent="0.2">
      <c r="A34" s="133"/>
      <c r="B34" s="133"/>
      <c r="C34" s="133"/>
      <c r="D34" s="133"/>
      <c r="E34" s="133">
        <f>SUM(E31:E33)</f>
        <v>1750</v>
      </c>
      <c r="F34" s="133"/>
      <c r="G34" s="159">
        <f>SUM(G31:G33)</f>
        <v>1692.375</v>
      </c>
      <c r="H34" s="133"/>
      <c r="I34" s="159">
        <v>1993.4485124999999</v>
      </c>
    </row>
    <row r="35" spans="1:9" x14ac:dyDescent="0.2">
      <c r="A35" s="253" t="s">
        <v>831</v>
      </c>
      <c r="B35" s="254">
        <f>E34</f>
        <v>1750</v>
      </c>
    </row>
    <row r="36" spans="1:9" x14ac:dyDescent="0.2">
      <c r="A36" s="253" t="s">
        <v>832</v>
      </c>
      <c r="B36" s="254">
        <f>G34</f>
        <v>1692.375</v>
      </c>
    </row>
    <row r="37" spans="1:9" x14ac:dyDescent="0.2">
      <c r="A37" s="253" t="s">
        <v>833</v>
      </c>
      <c r="B37" s="254">
        <f>I34</f>
        <v>1993.4485124999999</v>
      </c>
    </row>
    <row r="38" spans="1:9" x14ac:dyDescent="0.2">
      <c r="A38" s="253" t="s">
        <v>834</v>
      </c>
      <c r="B38" s="275">
        <v>1.1778999999999999</v>
      </c>
    </row>
    <row r="39" spans="1:9" x14ac:dyDescent="0.2">
      <c r="A39" s="253" t="s">
        <v>835</v>
      </c>
      <c r="B39" s="255">
        <f>I31/I34*D31+(I32/I34)*D32+(I33/I34)*D33</f>
        <v>2.8920865647389025E-2</v>
      </c>
    </row>
    <row r="40" spans="1:9" x14ac:dyDescent="0.2">
      <c r="A40" s="253" t="s">
        <v>836</v>
      </c>
      <c r="B40" s="255">
        <f>B39*(1-B2)</f>
        <v>2.2847483861437329E-2</v>
      </c>
    </row>
  </sheetData>
  <mergeCells count="1">
    <mergeCell ref="A22:C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B000-D3B0-4B05-91D4-248F58E086A0}">
  <dimension ref="A1:W39"/>
  <sheetViews>
    <sheetView tabSelected="1" workbookViewId="0">
      <selection activeCell="O47" sqref="O47"/>
    </sheetView>
  </sheetViews>
  <sheetFormatPr defaultColWidth="8.7109375" defaultRowHeight="12.75" x14ac:dyDescent="0.2"/>
  <cols>
    <col min="1" max="1" width="38.5703125" style="6" customWidth="1"/>
    <col min="2" max="2" width="18.42578125" style="6" hidden="1" customWidth="1"/>
    <col min="3" max="9" width="10.140625" style="6" hidden="1" customWidth="1"/>
    <col min="10" max="10" width="10.85546875" style="6" hidden="1" customWidth="1"/>
    <col min="11" max="11" width="10.140625" style="6" bestFit="1" customWidth="1"/>
    <col min="12" max="12" width="14.85546875" style="6" customWidth="1"/>
    <col min="13" max="21" width="8.7109375" style="6"/>
    <col min="22" max="22" width="9.7109375" style="6" customWidth="1"/>
    <col min="23" max="23" width="11.85546875" style="6" bestFit="1" customWidth="1"/>
    <col min="24" max="16384" width="8.7109375" style="6"/>
  </cols>
  <sheetData>
    <row r="1" spans="1:23" x14ac:dyDescent="0.2">
      <c r="A1" s="37" t="s">
        <v>366</v>
      </c>
      <c r="B1" s="37"/>
      <c r="C1" s="37"/>
      <c r="D1" s="37"/>
      <c r="E1" s="37"/>
      <c r="F1" s="37"/>
      <c r="G1" s="37"/>
      <c r="H1" s="37"/>
      <c r="I1" s="37"/>
      <c r="J1" s="37"/>
      <c r="K1" s="85">
        <v>2.5000000000000001E-2</v>
      </c>
    </row>
    <row r="2" spans="1:23" x14ac:dyDescent="0.2">
      <c r="A2" s="37" t="s">
        <v>315</v>
      </c>
      <c r="B2" s="37"/>
      <c r="C2" s="37"/>
      <c r="D2" s="37"/>
      <c r="E2" s="37"/>
      <c r="F2" s="37"/>
      <c r="G2" s="37"/>
      <c r="H2" s="37"/>
      <c r="I2" s="37"/>
      <c r="J2" s="37"/>
      <c r="K2" s="106">
        <f>WACC!D28</f>
        <v>8.0560348273465546E-2</v>
      </c>
    </row>
    <row r="3" spans="1:23" x14ac:dyDescent="0.2">
      <c r="A3" s="37"/>
      <c r="B3" s="37"/>
      <c r="C3" s="37"/>
      <c r="D3" s="37"/>
      <c r="E3" s="37"/>
      <c r="F3" s="37"/>
      <c r="G3" s="37"/>
      <c r="H3" s="37"/>
      <c r="I3" s="37"/>
      <c r="J3" s="37"/>
      <c r="K3" s="106"/>
    </row>
    <row r="4" spans="1:23" x14ac:dyDescent="0.2">
      <c r="A4" s="37" t="s">
        <v>839</v>
      </c>
      <c r="B4" s="37"/>
      <c r="C4" s="37"/>
      <c r="D4" s="37"/>
      <c r="E4" s="37"/>
      <c r="F4" s="37"/>
      <c r="G4" s="37"/>
      <c r="H4" s="37"/>
      <c r="I4" s="37"/>
      <c r="J4" s="37"/>
      <c r="K4" s="37">
        <f>WACC!B21</f>
        <v>150.78</v>
      </c>
    </row>
    <row r="5" spans="1:23" x14ac:dyDescent="0.2">
      <c r="A5" s="37" t="s">
        <v>840</v>
      </c>
      <c r="B5" s="37"/>
      <c r="C5" s="37"/>
      <c r="D5" s="37"/>
      <c r="E5" s="37"/>
      <c r="F5" s="37"/>
      <c r="G5" s="37"/>
      <c r="H5" s="37"/>
      <c r="I5" s="37"/>
      <c r="J5" s="37"/>
      <c r="K5" s="107">
        <f>'IS-Reorg'!L54-'IS-Reorg'!L55</f>
        <v>11.020868999999948</v>
      </c>
    </row>
    <row r="8" spans="1:23" x14ac:dyDescent="0.2">
      <c r="K8" s="6">
        <v>0</v>
      </c>
      <c r="L8" s="6">
        <v>1</v>
      </c>
      <c r="M8" s="6">
        <v>2</v>
      </c>
      <c r="N8" s="6">
        <v>3</v>
      </c>
      <c r="O8" s="6">
        <v>4</v>
      </c>
      <c r="P8" s="6">
        <v>5</v>
      </c>
      <c r="Q8" s="6">
        <v>6</v>
      </c>
      <c r="R8" s="6">
        <v>7</v>
      </c>
      <c r="S8" s="6">
        <v>8</v>
      </c>
      <c r="T8" s="6">
        <v>9</v>
      </c>
      <c r="U8" s="6">
        <v>10</v>
      </c>
      <c r="V8" s="6">
        <v>11</v>
      </c>
    </row>
    <row r="9" spans="1:23" x14ac:dyDescent="0.2">
      <c r="A9" s="136" t="s">
        <v>191</v>
      </c>
      <c r="B9" s="49">
        <v>2016</v>
      </c>
      <c r="C9" s="49">
        <v>2017</v>
      </c>
      <c r="D9" s="49">
        <f>C9+1</f>
        <v>2018</v>
      </c>
      <c r="E9" s="49">
        <f t="shared" ref="E9:J9" si="0">D9+1</f>
        <v>2019</v>
      </c>
      <c r="F9" s="49">
        <f t="shared" si="0"/>
        <v>2020</v>
      </c>
      <c r="G9" s="49">
        <f t="shared" si="0"/>
        <v>2021</v>
      </c>
      <c r="H9" s="49">
        <f t="shared" si="0"/>
        <v>2022</v>
      </c>
      <c r="I9" s="49">
        <f t="shared" si="0"/>
        <v>2023</v>
      </c>
      <c r="J9" s="49">
        <f t="shared" si="0"/>
        <v>2024</v>
      </c>
      <c r="K9" s="49">
        <f t="shared" ref="K9" si="1">J9+1</f>
        <v>2025</v>
      </c>
      <c r="L9" s="49">
        <f t="shared" ref="L9" si="2">K9+1</f>
        <v>2026</v>
      </c>
      <c r="M9" s="49">
        <f t="shared" ref="M9" si="3">L9+1</f>
        <v>2027</v>
      </c>
      <c r="N9" s="49">
        <f t="shared" ref="N9" si="4">M9+1</f>
        <v>2028</v>
      </c>
      <c r="O9" s="49">
        <f t="shared" ref="O9" si="5">N9+1</f>
        <v>2029</v>
      </c>
      <c r="P9" s="49">
        <f t="shared" ref="P9" si="6">O9+1</f>
        <v>2030</v>
      </c>
      <c r="Q9" s="49">
        <f t="shared" ref="Q9" si="7">P9+1</f>
        <v>2031</v>
      </c>
      <c r="R9" s="49">
        <f t="shared" ref="R9" si="8">Q9+1</f>
        <v>2032</v>
      </c>
      <c r="S9" s="49">
        <f t="shared" ref="S9" si="9">R9+1</f>
        <v>2033</v>
      </c>
      <c r="T9" s="49">
        <f t="shared" ref="T9" si="10">S9+1</f>
        <v>2034</v>
      </c>
      <c r="U9" s="49">
        <f t="shared" ref="U9" si="11">T9+1</f>
        <v>2035</v>
      </c>
      <c r="V9" s="49">
        <f t="shared" ref="V9" si="12">U9+1</f>
        <v>2036</v>
      </c>
      <c r="W9" s="49" t="s">
        <v>197</v>
      </c>
    </row>
    <row r="10" spans="1:23" x14ac:dyDescent="0.2">
      <c r="A10" s="38" t="s">
        <v>182</v>
      </c>
      <c r="B10" s="38">
        <f>'IS-Reorg'!B19</f>
        <v>5033.6171841769465</v>
      </c>
      <c r="C10" s="38">
        <f>'IS-Reorg'!C19</f>
        <v>4661.2869634340223</v>
      </c>
      <c r="D10" s="38">
        <f>'IS-Reorg'!D19</f>
        <v>5955.9945714285714</v>
      </c>
      <c r="E10" s="38">
        <f>'IS-Reorg'!E19</f>
        <v>5594.3396358543414</v>
      </c>
      <c r="F10" s="38">
        <f>'IS-Reorg'!F19</f>
        <v>5588.1245033112582</v>
      </c>
      <c r="G10" s="38">
        <f>'IS-Reorg'!G19</f>
        <v>6183.5638534147693</v>
      </c>
      <c r="H10" s="38">
        <f>'IS-Reorg'!H19</f>
        <v>3683.0319148936169</v>
      </c>
      <c r="I10" s="38">
        <f>'IS-Reorg'!I19</f>
        <v>3017.5661431993612</v>
      </c>
      <c r="J10" s="38">
        <f>'IS-Reorg'!J19</f>
        <v>4108.3139655530194</v>
      </c>
      <c r="K10" s="38">
        <f>'IS-Reorg'!K19</f>
        <v>3603.9164490861622</v>
      </c>
      <c r="L10" s="87">
        <f>'IS-Reorg'!L19</f>
        <v>3804.0680614941643</v>
      </c>
      <c r="M10" s="87">
        <f>'IS-Reorg'!M19</f>
        <v>4207.3576150662402</v>
      </c>
      <c r="N10" s="87">
        <f>'IS-Reorg'!N19</f>
        <v>4632.9264793286338</v>
      </c>
      <c r="O10" s="87">
        <f>'IS-Reorg'!O19</f>
        <v>5082.1239788754874</v>
      </c>
      <c r="P10" s="87">
        <f>'IS-Reorg'!P19</f>
        <v>5556.3583680345455</v>
      </c>
      <c r="Q10" s="87">
        <f>'IS-Reorg'!Q19</f>
        <v>5988.7836974948568</v>
      </c>
      <c r="R10" s="87">
        <f>'IS-Reorg'!R19</f>
        <v>6440.1342942866049</v>
      </c>
      <c r="S10" s="87">
        <f>'IS-Reorg'!S19</f>
        <v>6911.2705439426636</v>
      </c>
      <c r="T10" s="87">
        <f>'IS-Reorg'!T19</f>
        <v>7403.0799791536947</v>
      </c>
      <c r="U10" s="87">
        <f>'IS-Reorg'!U19</f>
        <v>7916.4786814751806</v>
      </c>
      <c r="V10" s="177">
        <f>'IS-Reorg'!V19</f>
        <v>8452.4126992102538</v>
      </c>
      <c r="W10" s="87">
        <f>V10*(1+K1)</f>
        <v>8663.7230166905101</v>
      </c>
    </row>
    <row r="11" spans="1:23" x14ac:dyDescent="0.2">
      <c r="A11" s="38" t="s">
        <v>186</v>
      </c>
      <c r="B11" s="38"/>
      <c r="C11" s="38">
        <f>'BS-Reorg'!C78-'BS-Reorg'!B78</f>
        <v>2207</v>
      </c>
      <c r="D11" s="38">
        <f>'BS-Reorg'!D78-'BS-Reorg'!C78</f>
        <v>-245</v>
      </c>
      <c r="E11" s="38">
        <f>'BS-Reorg'!E78-'BS-Reorg'!D78</f>
        <v>7175</v>
      </c>
      <c r="F11" s="38">
        <f>'BS-Reorg'!F78-'BS-Reorg'!E78</f>
        <v>-797</v>
      </c>
      <c r="G11" s="38">
        <f>'BS-Reorg'!G78-'BS-Reorg'!F78</f>
        <v>922</v>
      </c>
      <c r="H11" s="38">
        <f>'BS-Reorg'!H78-'BS-Reorg'!G78</f>
        <v>-1599</v>
      </c>
      <c r="I11" s="38">
        <f>'BS-Reorg'!I78-'BS-Reorg'!H78</f>
        <v>3178</v>
      </c>
      <c r="J11" s="38">
        <f>'BS-Reorg'!J78-'BS-Reorg'!I78</f>
        <v>-22703</v>
      </c>
      <c r="K11" s="38">
        <f>'BS-Reorg'!K78-'BS-Reorg'!J78</f>
        <v>4543</v>
      </c>
      <c r="L11" s="38">
        <f>'BS-Reorg'!L78-'BS-Reorg'!K78</f>
        <v>959.77635019127774</v>
      </c>
      <c r="M11" s="38">
        <f>'BS-Reorg'!M78-'BS-Reorg'!L78</f>
        <v>3025.5934313130074</v>
      </c>
      <c r="N11" s="38">
        <f>'BS-Reorg'!N78-'BS-Reorg'!M78</f>
        <v>1172.6440115250025</v>
      </c>
      <c r="O11" s="38">
        <f>'BS-Reorg'!O78-'BS-Reorg'!N78</f>
        <v>1286.7986076519592</v>
      </c>
      <c r="P11" s="38">
        <f>'BS-Reorg'!P78-'BS-Reorg'!O78</f>
        <v>288.94477793013357</v>
      </c>
      <c r="Q11" s="38">
        <f>'BS-Reorg'!Q78-'BS-Reorg'!P78</f>
        <v>250.33026899023025</v>
      </c>
      <c r="R11" s="38">
        <f>'BS-Reorg'!R78-'BS-Reorg'!Q78</f>
        <v>234.33219484043366</v>
      </c>
      <c r="S11" s="38">
        <f>'BS-Reorg'!S78-'BS-Reorg'!R78</f>
        <v>279.70909236855368</v>
      </c>
      <c r="T11" s="38">
        <f>'BS-Reorg'!T78-'BS-Reorg'!S78</f>
        <v>261.12979186764278</v>
      </c>
      <c r="U11" s="38">
        <f>'BS-Reorg'!U78-'BS-Reorg'!T78</f>
        <v>245.92928571150696</v>
      </c>
      <c r="V11" s="60">
        <f>'BS-Reorg'!V78-'BS-Reorg'!U78</f>
        <v>232.52980736246536</v>
      </c>
      <c r="W11" s="87">
        <f>W10*K3</f>
        <v>0</v>
      </c>
    </row>
    <row r="12" spans="1:23" x14ac:dyDescent="0.2">
      <c r="A12" s="38" t="s">
        <v>187</v>
      </c>
      <c r="B12" s="38"/>
      <c r="C12" s="38">
        <f>'IS-Reorg'!C7</f>
        <v>1544</v>
      </c>
      <c r="D12" s="38">
        <f>'IS-Reorg'!D7</f>
        <v>1488</v>
      </c>
      <c r="E12" s="38">
        <f>'IS-Reorg'!E7</f>
        <v>1593</v>
      </c>
      <c r="F12" s="38">
        <f>'IS-Reorg'!F7</f>
        <v>1911</v>
      </c>
      <c r="G12" s="38">
        <f>'IS-Reorg'!G7</f>
        <v>1915</v>
      </c>
      <c r="H12" s="38">
        <f>'IS-Reorg'!H7</f>
        <v>1831</v>
      </c>
      <c r="I12" s="38">
        <f>'IS-Reorg'!I7</f>
        <v>1433</v>
      </c>
      <c r="J12" s="38">
        <f>'IS-Reorg'!J7</f>
        <v>1224</v>
      </c>
      <c r="K12" s="38">
        <f>'IS-Reorg'!K7</f>
        <v>1308</v>
      </c>
      <c r="L12" s="38">
        <f>'IS-Reorg'!L7</f>
        <v>1311.1302835185077</v>
      </c>
      <c r="M12" s="38">
        <f>'IS-Reorg'!M7</f>
        <v>1308.951542160122</v>
      </c>
      <c r="N12" s="38">
        <f>'IS-Reorg'!N7</f>
        <v>1309.4340407572331</v>
      </c>
      <c r="O12" s="38">
        <f>'IS-Reorg'!O7</f>
        <v>1312.5255024359531</v>
      </c>
      <c r="P12" s="38">
        <f>'IS-Reorg'!P7</f>
        <v>1318.18213339973</v>
      </c>
      <c r="Q12" s="38">
        <f>'IS-Reorg'!Q7</f>
        <v>1326.3681734103607</v>
      </c>
      <c r="R12" s="38">
        <f>'IS-Reorg'!R7</f>
        <v>1336.4153788698657</v>
      </c>
      <c r="S12" s="38">
        <f>'IS-Reorg'!S7</f>
        <v>1348.2836822824459</v>
      </c>
      <c r="T12" s="38">
        <f>'IS-Reorg'!T7</f>
        <v>1361.9383588683399</v>
      </c>
      <c r="U12" s="38">
        <f>'IS-Reorg'!U7</f>
        <v>1377.3496904981873</v>
      </c>
      <c r="V12" s="38">
        <f>'IS-Reorg'!V7</f>
        <v>1394.4926597110359</v>
      </c>
      <c r="W12" s="38">
        <v>0</v>
      </c>
    </row>
    <row r="13" spans="1:23" x14ac:dyDescent="0.2">
      <c r="A13" s="32" t="s">
        <v>110</v>
      </c>
      <c r="B13" s="32"/>
      <c r="C13" s="32">
        <f>C10-C11+C12</f>
        <v>3998.2869634340223</v>
      </c>
      <c r="D13" s="32">
        <f t="shared" ref="D13:V13" si="13">D10-D11+D12</f>
        <v>7688.9945714285714</v>
      </c>
      <c r="E13" s="32">
        <f t="shared" si="13"/>
        <v>12.339635854341395</v>
      </c>
      <c r="F13" s="32">
        <f t="shared" si="13"/>
        <v>8296.1245033112573</v>
      </c>
      <c r="G13" s="32">
        <f t="shared" si="13"/>
        <v>7176.5638534147693</v>
      </c>
      <c r="H13" s="32">
        <f t="shared" si="13"/>
        <v>7113.0319148936169</v>
      </c>
      <c r="I13" s="32">
        <f t="shared" si="13"/>
        <v>1272.5661431993612</v>
      </c>
      <c r="J13" s="32">
        <f t="shared" si="13"/>
        <v>28035.313965553018</v>
      </c>
      <c r="K13" s="32">
        <f t="shared" si="13"/>
        <v>368.91644908616217</v>
      </c>
      <c r="L13" s="32">
        <f t="shared" si="13"/>
        <v>4155.421994821394</v>
      </c>
      <c r="M13" s="32">
        <f t="shared" si="13"/>
        <v>2490.7157259133546</v>
      </c>
      <c r="N13" s="32">
        <f t="shared" si="13"/>
        <v>4769.7165085608649</v>
      </c>
      <c r="O13" s="32">
        <f t="shared" si="13"/>
        <v>5107.8508736594813</v>
      </c>
      <c r="P13" s="32">
        <f t="shared" si="13"/>
        <v>6585.5957235041424</v>
      </c>
      <c r="Q13" s="32">
        <f t="shared" si="13"/>
        <v>7064.8216019149877</v>
      </c>
      <c r="R13" s="32">
        <f t="shared" si="13"/>
        <v>7542.2174783160372</v>
      </c>
      <c r="S13" s="32">
        <f t="shared" si="13"/>
        <v>7979.8451338565555</v>
      </c>
      <c r="T13" s="32">
        <f t="shared" si="13"/>
        <v>8503.8885461543923</v>
      </c>
      <c r="U13" s="32">
        <f t="shared" si="13"/>
        <v>9047.8990862618612</v>
      </c>
      <c r="V13" s="134">
        <f t="shared" si="13"/>
        <v>9614.3755515588236</v>
      </c>
      <c r="W13" s="32">
        <f>W10-W11+W12</f>
        <v>8663.7230166905101</v>
      </c>
    </row>
    <row r="14" spans="1:23" x14ac:dyDescent="0.2">
      <c r="A14" s="33" t="s">
        <v>185</v>
      </c>
      <c r="B14" s="34">
        <f>'BS-Reorg'!B78</f>
        <v>19104</v>
      </c>
      <c r="C14" s="34">
        <f>'BS-Reorg'!C78</f>
        <v>21311</v>
      </c>
      <c r="D14" s="34">
        <f>'BS-Reorg'!D78</f>
        <v>21066</v>
      </c>
      <c r="E14" s="34">
        <f>'BS-Reorg'!E78</f>
        <v>28241</v>
      </c>
      <c r="F14" s="34">
        <f>'BS-Reorg'!F78</f>
        <v>27444</v>
      </c>
      <c r="G14" s="34">
        <f>'BS-Reorg'!G78</f>
        <v>28366</v>
      </c>
      <c r="H14" s="34">
        <f>'BS-Reorg'!H78</f>
        <v>26767</v>
      </c>
      <c r="I14" s="34">
        <f>'BS-Reorg'!I78</f>
        <v>29945</v>
      </c>
      <c r="J14" s="34">
        <f>'BS-Reorg'!J78</f>
        <v>7242</v>
      </c>
      <c r="K14" s="34">
        <f>'BS-Reorg'!K78</f>
        <v>11785</v>
      </c>
      <c r="L14" s="34">
        <f>'BS-Reorg'!L78</f>
        <v>12744.776350191278</v>
      </c>
      <c r="M14" s="34">
        <f>'BS-Reorg'!M78</f>
        <v>15770.369781504285</v>
      </c>
      <c r="N14" s="34">
        <f>'BS-Reorg'!N78</f>
        <v>16943.013793029288</v>
      </c>
      <c r="O14" s="34">
        <f>'BS-Reorg'!O78</f>
        <v>18229.812400681247</v>
      </c>
      <c r="P14" s="34">
        <f>'BS-Reorg'!P78</f>
        <v>18518.75717861138</v>
      </c>
      <c r="Q14" s="34">
        <f>'BS-Reorg'!Q78</f>
        <v>18769.087447601611</v>
      </c>
      <c r="R14" s="34">
        <f>'BS-Reorg'!R78</f>
        <v>19003.419642442044</v>
      </c>
      <c r="S14" s="34">
        <f>'BS-Reorg'!S78</f>
        <v>19283.128734810598</v>
      </c>
      <c r="T14" s="34">
        <f>'BS-Reorg'!T78</f>
        <v>19544.258526678241</v>
      </c>
      <c r="U14" s="34">
        <f>'BS-Reorg'!U78</f>
        <v>19790.187812389748</v>
      </c>
      <c r="V14" s="34">
        <f>'BS-Reorg'!V78</f>
        <v>20022.717619752213</v>
      </c>
      <c r="W14" s="37"/>
    </row>
    <row r="15" spans="1:23" x14ac:dyDescent="0.2">
      <c r="A15" s="35" t="s">
        <v>188</v>
      </c>
      <c r="B15" s="36"/>
      <c r="C15" s="36">
        <f>C10/AVERAGE(B14:C14)</f>
        <v>0.23067113514457613</v>
      </c>
      <c r="D15" s="36">
        <f t="shared" ref="D15:K15" si="14">D10/AVERAGE(C14:D14)</f>
        <v>0.28109562127704046</v>
      </c>
      <c r="E15" s="36">
        <f t="shared" si="14"/>
        <v>0.22691867831562826</v>
      </c>
      <c r="F15" s="36">
        <f t="shared" si="14"/>
        <v>0.20070483984237256</v>
      </c>
      <c r="G15" s="36">
        <f t="shared" si="14"/>
        <v>0.22159340094659627</v>
      </c>
      <c r="H15" s="36">
        <f t="shared" si="14"/>
        <v>0.13360535123768402</v>
      </c>
      <c r="I15" s="36">
        <f t="shared" si="14"/>
        <v>0.10641720070529558</v>
      </c>
      <c r="J15" s="36">
        <f t="shared" si="14"/>
        <v>0.22095431013811384</v>
      </c>
      <c r="K15" s="36">
        <f t="shared" si="14"/>
        <v>0.37882130121260965</v>
      </c>
      <c r="L15" s="36">
        <f t="shared" ref="L15" si="15">L10/AVERAGE(K14:L14)</f>
        <v>0.31015921280215841</v>
      </c>
      <c r="M15" s="36">
        <f t="shared" ref="M15" si="16">M10/AVERAGE(L14:M14)</f>
        <v>0.29509633902171156</v>
      </c>
      <c r="N15" s="36">
        <f t="shared" ref="N15" si="17">N10/AVERAGE(M14:N14)</f>
        <v>0.28324349077331357</v>
      </c>
      <c r="O15" s="36">
        <f t="shared" ref="O15" si="18">O10/AVERAGE(N14:O14)</f>
        <v>0.28898013204206224</v>
      </c>
      <c r="P15" s="36">
        <f t="shared" ref="P15" si="19">P10/AVERAGE(O14:P14)</f>
        <v>0.3023986202263223</v>
      </c>
      <c r="Q15" s="36">
        <f t="shared" ref="Q15" si="20">Q10/AVERAGE(P14:Q14)</f>
        <v>0.32121908667709909</v>
      </c>
      <c r="R15" s="36">
        <f t="shared" ref="R15" si="21">R10/AVERAGE(Q14:R14)</f>
        <v>0.34099586129850201</v>
      </c>
      <c r="S15" s="36">
        <f t="shared" ref="S15" si="22">S10/AVERAGE(R14:S14)</f>
        <v>0.36102865559167968</v>
      </c>
      <c r="T15" s="36">
        <f t="shared" ref="T15" si="23">T10/AVERAGE(S14:T14)</f>
        <v>0.38133289419123401</v>
      </c>
      <c r="U15" s="36">
        <f t="shared" ref="U15" si="24">U10/AVERAGE(T14:U14)</f>
        <v>0.40252142426178394</v>
      </c>
      <c r="V15" s="178">
        <f>V10/AVERAGE(U14:V14)</f>
        <v>0.42460667501982452</v>
      </c>
      <c r="W15" s="37"/>
    </row>
    <row r="17" spans="1:22" x14ac:dyDescent="0.2">
      <c r="A17" s="39" t="s">
        <v>367</v>
      </c>
      <c r="B17" s="39"/>
      <c r="C17" s="39"/>
      <c r="D17" s="39"/>
      <c r="E17" s="39"/>
      <c r="F17" s="39"/>
      <c r="G17" s="39"/>
      <c r="H17" s="39"/>
      <c r="I17" s="39"/>
      <c r="J17" s="39"/>
      <c r="K17" s="185">
        <f>1/(1+$K$2)^K8</f>
        <v>1</v>
      </c>
      <c r="L17" s="185">
        <f t="shared" ref="L17:U17" si="25">1/(1+$K$2)^L8</f>
        <v>0.9254457667244721</v>
      </c>
      <c r="M17" s="185">
        <f t="shared" si="25"/>
        <v>0.85644986714824611</v>
      </c>
      <c r="N17" s="185">
        <f t="shared" si="25"/>
        <v>0.79259790396408092</v>
      </c>
      <c r="O17" s="185">
        <f t="shared" si="25"/>
        <v>0.73350637493824855</v>
      </c>
      <c r="P17" s="185">
        <f t="shared" si="25"/>
        <v>0.67882036955201552</v>
      </c>
      <c r="Q17" s="185">
        <f t="shared" si="25"/>
        <v>0.62821143736825458</v>
      </c>
      <c r="R17" s="185">
        <f t="shared" si="25"/>
        <v>0.58137561532034709</v>
      </c>
      <c r="S17" s="185">
        <f t="shared" si="25"/>
        <v>0.53803160207505041</v>
      </c>
      <c r="T17" s="185">
        <f t="shared" si="25"/>
        <v>0.49791906850434109</v>
      </c>
      <c r="U17" s="185">
        <f t="shared" si="25"/>
        <v>0.46079709411873493</v>
      </c>
      <c r="V17" s="185">
        <f>1/(1+$K$2)^V8</f>
        <v>0.42644272007112144</v>
      </c>
    </row>
    <row r="18" spans="1:22" x14ac:dyDescent="0.2">
      <c r="A18" s="39" t="s">
        <v>368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90">
        <f>L13*L17</f>
        <v>3845.6176940612204</v>
      </c>
      <c r="M18" s="90">
        <f t="shared" ref="M18:V18" si="26">M13*M17</f>
        <v>2133.1731525625401</v>
      </c>
      <c r="N18" s="90">
        <f t="shared" si="26"/>
        <v>3780.4673071882157</v>
      </c>
      <c r="O18" s="90">
        <f t="shared" si="26"/>
        <v>3746.641178063132</v>
      </c>
      <c r="P18" s="90">
        <f t="shared" si="26"/>
        <v>4470.4365227492553</v>
      </c>
      <c r="Q18" s="90">
        <f t="shared" si="26"/>
        <v>4438.2017332893092</v>
      </c>
      <c r="R18" s="90">
        <f t="shared" si="26"/>
        <v>4384.8613273358624</v>
      </c>
      <c r="S18" s="90">
        <f t="shared" si="26"/>
        <v>4293.408861679638</v>
      </c>
      <c r="T18" s="90">
        <f t="shared" si="26"/>
        <v>4234.2482635659308</v>
      </c>
      <c r="U18" s="90">
        <f t="shared" si="26"/>
        <v>4169.245606829023</v>
      </c>
      <c r="V18" s="90">
        <f t="shared" si="26"/>
        <v>4099.9804619920333</v>
      </c>
    </row>
    <row r="19" spans="1:22" x14ac:dyDescent="0.2">
      <c r="A19" s="290" t="s">
        <v>369</v>
      </c>
      <c r="B19" s="290"/>
      <c r="C19" s="290"/>
      <c r="D19" s="290"/>
      <c r="E19" s="290"/>
      <c r="F19" s="290"/>
      <c r="G19" s="290"/>
      <c r="H19" s="290"/>
      <c r="I19" s="290"/>
      <c r="J19" s="290"/>
      <c r="K19" s="293">
        <f>W10*(1-(K1/K2))/(K2-K1)</f>
        <v>107543.26666117592</v>
      </c>
    </row>
    <row r="20" spans="1:22" x14ac:dyDescent="0.2">
      <c r="A20" s="39" t="s">
        <v>370</v>
      </c>
      <c r="B20" s="37"/>
      <c r="C20" s="37"/>
      <c r="D20" s="37"/>
      <c r="E20" s="37"/>
      <c r="F20" s="37"/>
      <c r="G20" s="37"/>
      <c r="H20" s="37"/>
      <c r="I20" s="37"/>
      <c r="J20" s="37"/>
      <c r="K20" s="38">
        <f>K19*V17</f>
        <v>45861.043160325811</v>
      </c>
    </row>
    <row r="22" spans="1:22" x14ac:dyDescent="0.2">
      <c r="A22" s="39" t="s">
        <v>371</v>
      </c>
      <c r="B22" s="37"/>
      <c r="C22" s="37"/>
      <c r="D22" s="37"/>
      <c r="E22" s="37"/>
      <c r="F22" s="37"/>
      <c r="G22" s="37"/>
      <c r="H22" s="37"/>
      <c r="I22" s="37"/>
      <c r="J22" s="37"/>
      <c r="K22" s="129">
        <f>K20+SUM(L18:V18)</f>
        <v>89457.325269641966</v>
      </c>
      <c r="O22" s="50" t="s">
        <v>852</v>
      </c>
    </row>
    <row r="23" spans="1:22" x14ac:dyDescent="0.2">
      <c r="A23" s="39"/>
      <c r="B23" s="37"/>
      <c r="C23" s="37"/>
      <c r="D23" s="37"/>
      <c r="E23" s="37"/>
      <c r="F23" s="37"/>
      <c r="G23" s="37"/>
      <c r="H23" s="37"/>
      <c r="I23" s="37"/>
      <c r="J23" s="37"/>
      <c r="K23" s="90"/>
      <c r="O23" s="294">
        <f>K36</f>
        <v>135.67126148477823</v>
      </c>
      <c r="P23" s="84">
        <v>0.01</v>
      </c>
      <c r="Q23" s="84">
        <v>1.4999999999999999E-2</v>
      </c>
      <c r="R23" s="84">
        <v>0.02</v>
      </c>
      <c r="S23" s="84">
        <v>2.5000000000000001E-2</v>
      </c>
      <c r="T23" s="84">
        <v>0.03</v>
      </c>
    </row>
    <row r="24" spans="1:22" x14ac:dyDescent="0.2">
      <c r="A24" s="286" t="s">
        <v>843</v>
      </c>
      <c r="B24" s="38"/>
      <c r="C24" s="38"/>
      <c r="D24" s="38"/>
      <c r="E24" s="38"/>
      <c r="F24" s="38"/>
      <c r="G24" s="38"/>
      <c r="H24" s="38"/>
      <c r="I24" s="38"/>
      <c r="J24" s="38"/>
      <c r="K24" s="38">
        <f>'BS-Reorg'!K42+'BS-Reorg'!K49+'BS-Reorg'!K50</f>
        <v>13132</v>
      </c>
      <c r="O24" s="84">
        <f>O25-0.5%</f>
        <v>7.0559999999999998E-2</v>
      </c>
      <c r="P24" s="175">
        <f t="dataTable" ref="P24:T29" dt2D="1" dtr="1" r1="K1" r2="K2"/>
        <v>161.93243285867845</v>
      </c>
      <c r="Q24" s="175">
        <v>162.46597220487797</v>
      </c>
      <c r="R24" s="175">
        <v>162.99951155107755</v>
      </c>
      <c r="S24" s="175">
        <v>163.53305089727704</v>
      </c>
      <c r="T24" s="175">
        <v>164.06659024347661</v>
      </c>
    </row>
    <row r="25" spans="1:22" x14ac:dyDescent="0.2">
      <c r="A25" s="39" t="s">
        <v>844</v>
      </c>
      <c r="B25" s="37"/>
      <c r="C25" s="37"/>
      <c r="D25" s="37"/>
      <c r="E25" s="37"/>
      <c r="F25" s="37"/>
      <c r="G25" s="37"/>
      <c r="H25" s="37"/>
      <c r="I25" s="37"/>
      <c r="J25" s="37"/>
      <c r="K25" s="87">
        <f>'BS-Reorg'!K4-(2%*'IS-Reorg'!K4)</f>
        <v>5434.04</v>
      </c>
      <c r="L25" s="6" t="s">
        <v>873</v>
      </c>
      <c r="O25" s="84">
        <f>O26-0.5%</f>
        <v>7.5560000000000002E-2</v>
      </c>
      <c r="P25" s="175">
        <v>147.23593843964213</v>
      </c>
      <c r="Q25" s="175">
        <v>147.70927837360128</v>
      </c>
      <c r="R25" s="175">
        <v>148.1826183075604</v>
      </c>
      <c r="S25" s="175">
        <v>148.65595824151956</v>
      </c>
      <c r="T25" s="175">
        <v>149.12929817547874</v>
      </c>
    </row>
    <row r="26" spans="1:22" x14ac:dyDescent="0.2">
      <c r="A26" s="39" t="s">
        <v>372</v>
      </c>
      <c r="B26" s="37"/>
      <c r="C26" s="37"/>
      <c r="D26" s="37"/>
      <c r="E26" s="37"/>
      <c r="F26" s="37"/>
      <c r="G26" s="37"/>
      <c r="H26" s="37"/>
      <c r="I26" s="37"/>
      <c r="J26" s="37"/>
      <c r="K26" s="90">
        <f>K24-K25</f>
        <v>7697.96</v>
      </c>
      <c r="O26" s="84">
        <v>8.0560000000000007E-2</v>
      </c>
      <c r="P26" s="175">
        <v>134.40646811351382</v>
      </c>
      <c r="Q26" s="175">
        <v>134.82834812514972</v>
      </c>
      <c r="R26" s="175">
        <v>135.25022813678564</v>
      </c>
      <c r="S26" s="295">
        <v>135.6721081484215</v>
      </c>
      <c r="T26" s="175">
        <v>136.09398816005736</v>
      </c>
    </row>
    <row r="27" spans="1:22" x14ac:dyDescent="0.2">
      <c r="A27" s="39" t="s">
        <v>373</v>
      </c>
      <c r="B27" s="37"/>
      <c r="C27" s="37"/>
      <c r="D27" s="37"/>
      <c r="E27" s="37"/>
      <c r="F27" s="37"/>
      <c r="G27" s="37"/>
      <c r="H27" s="37"/>
      <c r="I27" s="37"/>
      <c r="J27" s="37"/>
      <c r="K27" s="37">
        <f>'BS-Reorg'!K69</f>
        <v>45</v>
      </c>
      <c r="O27" s="84">
        <f>O26+0.5%</f>
        <v>8.5560000000000011E-2</v>
      </c>
      <c r="P27" s="175">
        <v>123.11557907337185</v>
      </c>
      <c r="Q27" s="175">
        <v>123.49313668533807</v>
      </c>
      <c r="R27" s="175">
        <v>123.87069429730427</v>
      </c>
      <c r="S27" s="175">
        <v>124.24825190927048</v>
      </c>
      <c r="T27" s="175">
        <v>124.62580952123668</v>
      </c>
    </row>
    <row r="28" spans="1:22" x14ac:dyDescent="0.2">
      <c r="A28" s="39" t="s">
        <v>878</v>
      </c>
      <c r="B28" s="37"/>
      <c r="C28" s="37"/>
      <c r="D28" s="37"/>
      <c r="E28" s="37"/>
      <c r="F28" s="37"/>
      <c r="G28" s="37"/>
      <c r="H28" s="37"/>
      <c r="I28" s="37"/>
      <c r="J28" s="37"/>
      <c r="K28" s="91">
        <f>'BS-Reorg'!K53</f>
        <v>10047</v>
      </c>
      <c r="O28" s="84">
        <f t="shared" ref="O28:O29" si="27">O27+0.5%</f>
        <v>9.0560000000000015E-2</v>
      </c>
      <c r="P28" s="175">
        <v>113.10739149148354</v>
      </c>
      <c r="Q28" s="175">
        <v>113.44652018741481</v>
      </c>
      <c r="R28" s="175">
        <v>113.78564888334607</v>
      </c>
      <c r="S28" s="175">
        <v>114.12477757927735</v>
      </c>
      <c r="T28" s="175">
        <v>114.46390627520861</v>
      </c>
    </row>
    <row r="29" spans="1:22" x14ac:dyDescent="0.2">
      <c r="A29" s="39" t="s">
        <v>374</v>
      </c>
      <c r="B29" s="37"/>
      <c r="C29" s="37"/>
      <c r="D29" s="37"/>
      <c r="E29" s="37"/>
      <c r="F29" s="37"/>
      <c r="G29" s="37"/>
      <c r="H29" s="37"/>
      <c r="I29" s="37"/>
      <c r="J29" s="37"/>
      <c r="K29" s="38">
        <f>'BS-Reorg'!K51</f>
        <v>1631</v>
      </c>
      <c r="O29" s="84">
        <f t="shared" si="27"/>
        <v>9.556000000000002E-2</v>
      </c>
      <c r="P29" s="175">
        <v>104.17960474147752</v>
      </c>
      <c r="Q29" s="175">
        <v>104.48521799224658</v>
      </c>
      <c r="R29" s="175">
        <v>104.79083124301563</v>
      </c>
      <c r="S29" s="175">
        <v>105.09644449378467</v>
      </c>
      <c r="T29" s="175">
        <v>105.40205774455373</v>
      </c>
    </row>
    <row r="30" spans="1:22" x14ac:dyDescent="0.2">
      <c r="A30" s="39" t="s">
        <v>838</v>
      </c>
      <c r="B30" s="37"/>
      <c r="C30" s="37"/>
      <c r="D30" s="37"/>
      <c r="E30" s="37"/>
      <c r="F30" s="37"/>
      <c r="G30" s="37"/>
      <c r="H30" s="37"/>
      <c r="I30" s="37"/>
      <c r="J30" s="37"/>
      <c r="K30" s="38">
        <f>K4*K5</f>
        <v>1661.7266278199922</v>
      </c>
      <c r="O30" s="284"/>
      <c r="P30" s="285"/>
      <c r="Q30" s="285"/>
      <c r="R30" s="285"/>
      <c r="S30" s="285"/>
      <c r="T30" s="285"/>
    </row>
    <row r="31" spans="1:22" x14ac:dyDescent="0.2">
      <c r="A31" s="39" t="s">
        <v>375</v>
      </c>
      <c r="B31" s="37"/>
      <c r="C31" s="37"/>
      <c r="D31" s="37"/>
      <c r="E31" s="37"/>
      <c r="F31" s="37"/>
      <c r="G31" s="37"/>
      <c r="H31" s="37"/>
      <c r="I31" s="37"/>
      <c r="J31" s="37"/>
      <c r="K31" s="38">
        <f>'BS-Reorg'!K34-'BS-Reorg'!K52</f>
        <v>3408</v>
      </c>
    </row>
    <row r="32" spans="1:22" x14ac:dyDescent="0.2">
      <c r="A32" s="50" t="s">
        <v>842</v>
      </c>
      <c r="K32" s="38">
        <f>'BS-Reorg'!K28</f>
        <v>161</v>
      </c>
    </row>
    <row r="33" spans="1:19" x14ac:dyDescent="0.2">
      <c r="A33" s="39" t="s">
        <v>376</v>
      </c>
      <c r="B33" s="39"/>
      <c r="C33" s="39"/>
      <c r="D33" s="39"/>
      <c r="E33" s="39"/>
      <c r="F33" s="39"/>
      <c r="G33" s="39"/>
      <c r="H33" s="39"/>
      <c r="I33" s="39"/>
      <c r="J33" s="39"/>
      <c r="K33" s="129">
        <f>K22-K26-K27-K28-K29-K30+K31+K32</f>
        <v>71943.638641821963</v>
      </c>
    </row>
    <row r="34" spans="1:19" x14ac:dyDescent="0.2">
      <c r="A34" s="39" t="s">
        <v>841</v>
      </c>
      <c r="B34" s="39"/>
      <c r="C34" s="39"/>
      <c r="D34" s="39"/>
      <c r="E34" s="39"/>
      <c r="F34" s="39"/>
      <c r="G34" s="39"/>
      <c r="H34" s="39"/>
      <c r="I34" s="39"/>
      <c r="J34" s="39"/>
      <c r="K34" s="174">
        <f>'IS-Reorg'!K55</f>
        <v>530.27913100000001</v>
      </c>
    </row>
    <row r="35" spans="1:19" x14ac:dyDescent="0.2">
      <c r="K35" s="108"/>
      <c r="S35" s="285"/>
    </row>
    <row r="36" spans="1:19" x14ac:dyDescent="0.2">
      <c r="A36" s="39" t="s">
        <v>377</v>
      </c>
      <c r="B36" s="39"/>
      <c r="C36" s="39"/>
      <c r="D36" s="39"/>
      <c r="E36" s="39"/>
      <c r="F36" s="39"/>
      <c r="G36" s="39"/>
      <c r="H36" s="39"/>
      <c r="I36" s="39"/>
      <c r="J36" s="39"/>
      <c r="K36" s="185">
        <f>K33/K34</f>
        <v>135.67126148477823</v>
      </c>
      <c r="S36" s="285"/>
    </row>
    <row r="37" spans="1:19" x14ac:dyDescent="0.2">
      <c r="A37" s="39" t="s">
        <v>849</v>
      </c>
      <c r="B37" s="39"/>
      <c r="C37" s="39"/>
      <c r="D37" s="39"/>
      <c r="E37" s="39"/>
      <c r="F37" s="39"/>
      <c r="G37" s="39"/>
      <c r="H37" s="39"/>
      <c r="I37" s="39"/>
      <c r="J37" s="39"/>
      <c r="K37" s="185">
        <f>K36*(1+WACC!B20)-'IS-Reorg'!L56</f>
        <v>144.26558809643933</v>
      </c>
    </row>
    <row r="39" spans="1:19" x14ac:dyDescent="0.2">
      <c r="A39" s="6" t="s">
        <v>845</v>
      </c>
      <c r="K39" s="10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FB12-71D6-44BA-B197-87687E7615F2}">
  <sheetPr>
    <outlinePr summaryBelow="0" summaryRight="0"/>
  </sheetPr>
  <dimension ref="A1:K46"/>
  <sheetViews>
    <sheetView workbookViewId="0">
      <selection activeCell="F14" sqref="F14"/>
    </sheetView>
  </sheetViews>
  <sheetFormatPr defaultColWidth="9.140625" defaultRowHeight="15" customHeight="1" outlineLevelRow="1" x14ac:dyDescent="0.2"/>
  <cols>
    <col min="1" max="1" width="28.42578125" bestFit="1" customWidth="1"/>
    <col min="2" max="11" width="8" customWidth="1"/>
  </cols>
  <sheetData>
    <row r="1" spans="1:11" ht="15" customHeight="1" x14ac:dyDescent="0.2">
      <c r="A1" t="s">
        <v>200</v>
      </c>
    </row>
    <row r="2" spans="1:11" ht="15" customHeight="1" x14ac:dyDescent="0.2">
      <c r="A2" s="2" t="s">
        <v>14</v>
      </c>
    </row>
    <row r="3" spans="1:11" ht="15" customHeight="1" x14ac:dyDescent="0.2">
      <c r="A3" s="66"/>
      <c r="B3" s="66" t="s">
        <v>12</v>
      </c>
      <c r="C3" s="66" t="s">
        <v>11</v>
      </c>
      <c r="D3" s="66" t="s">
        <v>10</v>
      </c>
      <c r="E3" s="66" t="s">
        <v>9</v>
      </c>
      <c r="F3" s="66" t="s">
        <v>8</v>
      </c>
      <c r="G3" s="66" t="s">
        <v>7</v>
      </c>
      <c r="H3" s="66" t="s">
        <v>6</v>
      </c>
      <c r="I3" s="66" t="s">
        <v>5</v>
      </c>
      <c r="J3" s="66" t="s">
        <v>4</v>
      </c>
      <c r="K3" s="66" t="s">
        <v>3</v>
      </c>
    </row>
    <row r="4" spans="1:11" ht="15" customHeight="1" x14ac:dyDescent="0.2">
      <c r="A4" s="67"/>
      <c r="B4" s="66" t="s">
        <v>201</v>
      </c>
      <c r="C4" s="66" t="s">
        <v>202</v>
      </c>
      <c r="D4" s="66" t="s">
        <v>202</v>
      </c>
      <c r="E4" s="66" t="s">
        <v>202</v>
      </c>
      <c r="F4" s="66" t="s">
        <v>201</v>
      </c>
      <c r="G4" s="66" t="s">
        <v>202</v>
      </c>
      <c r="H4" s="66" t="s">
        <v>202</v>
      </c>
      <c r="I4" s="66" t="s">
        <v>202</v>
      </c>
      <c r="J4" s="66" t="s">
        <v>201</v>
      </c>
      <c r="K4" s="66" t="s">
        <v>202</v>
      </c>
    </row>
    <row r="5" spans="1:11" ht="15" customHeight="1" x14ac:dyDescent="0.2">
      <c r="A5" s="68" t="s">
        <v>203</v>
      </c>
      <c r="B5" s="69">
        <v>30808</v>
      </c>
      <c r="C5" s="69">
        <v>32620</v>
      </c>
      <c r="D5" s="69">
        <v>35383</v>
      </c>
      <c r="E5" s="69">
        <v>33729</v>
      </c>
      <c r="F5" s="69">
        <v>34275</v>
      </c>
      <c r="G5" s="69">
        <v>37555</v>
      </c>
      <c r="H5" s="69">
        <v>34225</v>
      </c>
      <c r="I5" s="69">
        <v>32678</v>
      </c>
      <c r="J5" s="69">
        <v>24304</v>
      </c>
      <c r="K5" s="69">
        <v>24576</v>
      </c>
    </row>
    <row r="6" spans="1:11" ht="15" customHeight="1" x14ac:dyDescent="0.2">
      <c r="A6" s="67" t="s">
        <v>204</v>
      </c>
      <c r="B6" s="67" t="s">
        <v>205</v>
      </c>
      <c r="C6" s="67" t="s">
        <v>205</v>
      </c>
      <c r="D6" s="67" t="s">
        <v>205</v>
      </c>
      <c r="E6" s="70">
        <v>11607</v>
      </c>
      <c r="F6" s="70">
        <v>11767</v>
      </c>
      <c r="G6" s="70">
        <v>12880</v>
      </c>
      <c r="H6" s="70">
        <v>11604</v>
      </c>
      <c r="I6" s="70">
        <v>10956</v>
      </c>
      <c r="J6" s="70">
        <v>10961</v>
      </c>
      <c r="K6" s="70">
        <v>11384</v>
      </c>
    </row>
    <row r="7" spans="1:11" ht="15" customHeight="1" x14ac:dyDescent="0.2">
      <c r="A7" s="68" t="s">
        <v>206</v>
      </c>
      <c r="B7" s="68" t="s">
        <v>205</v>
      </c>
      <c r="C7" s="68" t="s">
        <v>205</v>
      </c>
      <c r="D7" s="68" t="s">
        <v>205</v>
      </c>
      <c r="E7" s="69">
        <v>9602</v>
      </c>
      <c r="F7" s="69">
        <v>8827</v>
      </c>
      <c r="G7" s="69">
        <v>9769</v>
      </c>
      <c r="H7" s="69">
        <v>8902</v>
      </c>
      <c r="I7" s="69">
        <v>8501</v>
      </c>
      <c r="J7" s="69">
        <v>8380</v>
      </c>
      <c r="K7" s="69">
        <v>8272</v>
      </c>
    </row>
    <row r="8" spans="1:11" ht="15" customHeight="1" x14ac:dyDescent="0.2">
      <c r="A8" s="67" t="s">
        <v>207</v>
      </c>
      <c r="B8" s="70">
        <v>4482</v>
      </c>
      <c r="C8" s="70">
        <v>4589</v>
      </c>
      <c r="D8" s="70">
        <v>4796</v>
      </c>
      <c r="E8" s="70">
        <v>5089</v>
      </c>
      <c r="F8" s="70">
        <v>5336</v>
      </c>
      <c r="G8" s="70">
        <v>5856</v>
      </c>
      <c r="H8" s="70">
        <v>5298</v>
      </c>
      <c r="I8" s="70">
        <v>5026</v>
      </c>
      <c r="J8" s="70">
        <v>4931</v>
      </c>
      <c r="K8" s="70">
        <v>4920</v>
      </c>
    </row>
    <row r="9" spans="1:11" ht="15" customHeight="1" x14ac:dyDescent="0.2">
      <c r="A9" s="71" t="s">
        <v>208</v>
      </c>
      <c r="B9" s="72">
        <v>26326</v>
      </c>
      <c r="C9" s="72">
        <v>28031</v>
      </c>
      <c r="D9" s="72">
        <v>30587</v>
      </c>
      <c r="E9" s="72">
        <v>7431</v>
      </c>
      <c r="F9" s="72">
        <v>8345</v>
      </c>
      <c r="G9" s="72">
        <v>9050</v>
      </c>
      <c r="H9" s="72">
        <v>8421</v>
      </c>
      <c r="I9" s="72">
        <v>8195</v>
      </c>
      <c r="J9" s="72">
        <v>32</v>
      </c>
      <c r="K9" s="71" t="s">
        <v>205</v>
      </c>
    </row>
    <row r="10" spans="1:11" ht="15" customHeight="1" outlineLevel="1" x14ac:dyDescent="0.2">
      <c r="A10" s="73" t="s">
        <v>209</v>
      </c>
      <c r="B10" s="67" t="s">
        <v>205</v>
      </c>
      <c r="C10" s="67" t="s">
        <v>205</v>
      </c>
      <c r="D10" s="67" t="s">
        <v>205</v>
      </c>
      <c r="E10" s="67" t="s">
        <v>205</v>
      </c>
      <c r="F10" s="67" t="s">
        <v>205</v>
      </c>
      <c r="G10" s="67" t="s">
        <v>205</v>
      </c>
      <c r="H10" s="67" t="s">
        <v>205</v>
      </c>
      <c r="I10" s="67" t="s">
        <v>205</v>
      </c>
      <c r="J10" s="70">
        <v>32</v>
      </c>
      <c r="K10" s="67" t="s">
        <v>205</v>
      </c>
    </row>
    <row r="11" spans="1:11" ht="15" customHeight="1" outlineLevel="1" x14ac:dyDescent="0.2">
      <c r="A11" s="74" t="s">
        <v>210</v>
      </c>
      <c r="B11" s="69">
        <v>5527</v>
      </c>
      <c r="C11" s="69">
        <v>5813</v>
      </c>
      <c r="D11" s="69">
        <v>6021</v>
      </c>
      <c r="E11" s="69">
        <v>7431</v>
      </c>
      <c r="F11" s="69">
        <v>8345</v>
      </c>
      <c r="G11" s="69">
        <v>9050</v>
      </c>
      <c r="H11" s="69">
        <v>8421</v>
      </c>
      <c r="I11" s="69">
        <v>8195</v>
      </c>
      <c r="J11" s="68" t="s">
        <v>205</v>
      </c>
      <c r="K11" s="68" t="s">
        <v>205</v>
      </c>
    </row>
    <row r="12" spans="1:11" ht="15" customHeight="1" outlineLevel="1" x14ac:dyDescent="0.2">
      <c r="A12" s="73" t="s">
        <v>211</v>
      </c>
      <c r="B12" s="70">
        <v>10313</v>
      </c>
      <c r="C12" s="70">
        <v>10911</v>
      </c>
      <c r="D12" s="70">
        <v>12267</v>
      </c>
      <c r="E12" s="67" t="s">
        <v>205</v>
      </c>
      <c r="F12" s="67" t="s">
        <v>205</v>
      </c>
      <c r="G12" s="67" t="s">
        <v>205</v>
      </c>
      <c r="H12" s="67" t="s">
        <v>205</v>
      </c>
      <c r="I12" s="67" t="s">
        <v>205</v>
      </c>
      <c r="J12" s="67" t="s">
        <v>205</v>
      </c>
      <c r="K12" s="67" t="s">
        <v>205</v>
      </c>
    </row>
    <row r="13" spans="1:11" ht="15" customHeight="1" outlineLevel="1" x14ac:dyDescent="0.2">
      <c r="A13" s="74" t="s">
        <v>212</v>
      </c>
      <c r="B13" s="69">
        <v>5660</v>
      </c>
      <c r="C13" s="69">
        <v>6148</v>
      </c>
      <c r="D13" s="69">
        <v>6827</v>
      </c>
      <c r="E13" s="68" t="s">
        <v>205</v>
      </c>
      <c r="F13" s="68" t="s">
        <v>205</v>
      </c>
      <c r="G13" s="68" t="s">
        <v>205</v>
      </c>
      <c r="H13" s="68" t="s">
        <v>205</v>
      </c>
      <c r="I13" s="68" t="s">
        <v>205</v>
      </c>
      <c r="J13" s="68" t="s">
        <v>205</v>
      </c>
      <c r="K13" s="68" t="s">
        <v>205</v>
      </c>
    </row>
    <row r="14" spans="1:11" ht="15" customHeight="1" outlineLevel="1" x14ac:dyDescent="0.2">
      <c r="A14" s="73" t="s">
        <v>213</v>
      </c>
      <c r="B14" s="70">
        <v>4826</v>
      </c>
      <c r="C14" s="70">
        <v>5159</v>
      </c>
      <c r="D14" s="70">
        <v>5472</v>
      </c>
      <c r="E14" s="67" t="s">
        <v>205</v>
      </c>
      <c r="F14" s="67" t="s">
        <v>205</v>
      </c>
      <c r="G14" s="67" t="s">
        <v>205</v>
      </c>
      <c r="H14" s="67" t="s">
        <v>205</v>
      </c>
      <c r="I14" s="67" t="s">
        <v>205</v>
      </c>
      <c r="J14" s="67" t="s">
        <v>205</v>
      </c>
      <c r="K14" s="67" t="s">
        <v>205</v>
      </c>
    </row>
    <row r="15" spans="1:11" ht="15" customHeight="1" x14ac:dyDescent="0.2">
      <c r="A15" s="1" t="s">
        <v>191</v>
      </c>
    </row>
    <row r="17" spans="1:11" ht="15" customHeight="1" x14ac:dyDescent="0.2">
      <c r="A17" s="2" t="s">
        <v>214</v>
      </c>
    </row>
    <row r="18" spans="1:11" ht="15" customHeight="1" x14ac:dyDescent="0.2">
      <c r="A18" s="66"/>
      <c r="B18" s="66" t="s">
        <v>12</v>
      </c>
      <c r="C18" s="66" t="s">
        <v>11</v>
      </c>
      <c r="D18" s="66" t="s">
        <v>10</v>
      </c>
      <c r="E18" s="66" t="s">
        <v>9</v>
      </c>
      <c r="F18" s="66" t="s">
        <v>8</v>
      </c>
      <c r="G18" s="66" t="s">
        <v>7</v>
      </c>
      <c r="H18" s="66" t="s">
        <v>6</v>
      </c>
      <c r="I18" s="66" t="s">
        <v>5</v>
      </c>
      <c r="J18" s="66" t="s">
        <v>4</v>
      </c>
      <c r="K18" s="66" t="s">
        <v>3</v>
      </c>
    </row>
    <row r="19" spans="1:11" ht="15" customHeight="1" x14ac:dyDescent="0.2">
      <c r="A19" s="67" t="s">
        <v>203</v>
      </c>
      <c r="B19" s="75">
        <v>99.999998000000005</v>
      </c>
      <c r="C19" s="75">
        <v>99.999996999999993</v>
      </c>
      <c r="D19" s="75">
        <v>99.999995999999996</v>
      </c>
      <c r="E19" s="75">
        <v>100.00000300000001</v>
      </c>
      <c r="F19" s="75">
        <v>100.00000300000001</v>
      </c>
      <c r="G19" s="75">
        <v>100.00000300000001</v>
      </c>
      <c r="H19" s="75">
        <v>100</v>
      </c>
      <c r="I19" s="75">
        <v>100</v>
      </c>
      <c r="J19" s="75">
        <v>100.000001</v>
      </c>
      <c r="K19" s="75">
        <v>100</v>
      </c>
    </row>
    <row r="20" spans="1:11" ht="15" customHeight="1" x14ac:dyDescent="0.2">
      <c r="A20" s="68" t="s">
        <v>204</v>
      </c>
      <c r="B20" s="68" t="s">
        <v>205</v>
      </c>
      <c r="C20" s="68" t="s">
        <v>205</v>
      </c>
      <c r="D20" s="68" t="s">
        <v>205</v>
      </c>
      <c r="E20" s="76">
        <v>34.412525000000002</v>
      </c>
      <c r="F20" s="76">
        <v>34.331145999999997</v>
      </c>
      <c r="G20" s="76">
        <v>34.296368000000001</v>
      </c>
      <c r="H20" s="76">
        <v>33.905040999999997</v>
      </c>
      <c r="I20" s="76">
        <v>33.527144999999997</v>
      </c>
      <c r="J20" s="76">
        <v>45.099570999999997</v>
      </c>
      <c r="K20" s="76">
        <v>46.321617000000003</v>
      </c>
    </row>
    <row r="21" spans="1:11" ht="15" customHeight="1" x14ac:dyDescent="0.2">
      <c r="A21" s="67" t="s">
        <v>206</v>
      </c>
      <c r="B21" s="67" t="s">
        <v>205</v>
      </c>
      <c r="C21" s="67" t="s">
        <v>205</v>
      </c>
      <c r="D21" s="67" t="s">
        <v>205</v>
      </c>
      <c r="E21" s="75">
        <v>28.468084000000001</v>
      </c>
      <c r="F21" s="75">
        <v>25.753466</v>
      </c>
      <c r="G21" s="75">
        <v>26.012516000000002</v>
      </c>
      <c r="H21" s="75">
        <v>26.010227</v>
      </c>
      <c r="I21" s="75">
        <v>26.014444000000001</v>
      </c>
      <c r="J21" s="75">
        <v>34.479922999999999</v>
      </c>
      <c r="K21" s="75">
        <v>33.658852000000003</v>
      </c>
    </row>
    <row r="22" spans="1:11" ht="15" customHeight="1" x14ac:dyDescent="0.2">
      <c r="A22" s="68" t="s">
        <v>207</v>
      </c>
      <c r="B22" s="76">
        <v>14.548169</v>
      </c>
      <c r="C22" s="76">
        <v>14.068057</v>
      </c>
      <c r="D22" s="76">
        <v>13.554531000000001</v>
      </c>
      <c r="E22" s="76">
        <v>15.087907</v>
      </c>
      <c r="F22" s="76">
        <v>15.568198000000001</v>
      </c>
      <c r="G22" s="76">
        <v>15.593128999999999</v>
      </c>
      <c r="H22" s="76">
        <v>15.479912000000001</v>
      </c>
      <c r="I22" s="76">
        <v>15.380378</v>
      </c>
      <c r="J22" s="76">
        <v>20.288841000000001</v>
      </c>
      <c r="K22" s="76">
        <v>20.019531000000001</v>
      </c>
    </row>
    <row r="23" spans="1:11" ht="15" customHeight="1" x14ac:dyDescent="0.2">
      <c r="A23" s="77" t="s">
        <v>208</v>
      </c>
      <c r="B23" s="78">
        <v>85.451829000000004</v>
      </c>
      <c r="C23" s="78">
        <v>85.931939999999997</v>
      </c>
      <c r="D23" s="78">
        <v>86.445464999999999</v>
      </c>
      <c r="E23" s="78">
        <v>22.031486999999998</v>
      </c>
      <c r="F23" s="78">
        <v>24.347193000000001</v>
      </c>
      <c r="G23" s="78">
        <v>24.097989999999999</v>
      </c>
      <c r="H23" s="78">
        <v>24.60482</v>
      </c>
      <c r="I23" s="78">
        <v>25.078033000000001</v>
      </c>
      <c r="J23" s="78">
        <v>0.13166600000000001</v>
      </c>
      <c r="K23" s="77" t="s">
        <v>205</v>
      </c>
    </row>
    <row r="24" spans="1:11" ht="15" customHeight="1" outlineLevel="1" x14ac:dyDescent="0.2">
      <c r="A24" s="74" t="s">
        <v>209</v>
      </c>
      <c r="B24" s="68" t="s">
        <v>205</v>
      </c>
      <c r="C24" s="68" t="s">
        <v>205</v>
      </c>
      <c r="D24" s="68" t="s">
        <v>205</v>
      </c>
      <c r="E24" s="68" t="s">
        <v>205</v>
      </c>
      <c r="F24" s="68" t="s">
        <v>205</v>
      </c>
      <c r="G24" s="68" t="s">
        <v>205</v>
      </c>
      <c r="H24" s="68" t="s">
        <v>205</v>
      </c>
      <c r="I24" s="68" t="s">
        <v>205</v>
      </c>
      <c r="J24" s="76">
        <v>0.13166600000000001</v>
      </c>
      <c r="K24" s="68" t="s">
        <v>205</v>
      </c>
    </row>
    <row r="25" spans="1:11" ht="15" customHeight="1" outlineLevel="1" x14ac:dyDescent="0.2">
      <c r="A25" s="73" t="s">
        <v>210</v>
      </c>
      <c r="B25" s="75">
        <v>17.940145000000001</v>
      </c>
      <c r="C25" s="75">
        <v>17.820353999999998</v>
      </c>
      <c r="D25" s="75">
        <v>17.016645</v>
      </c>
      <c r="E25" s="75">
        <v>22.031486999999998</v>
      </c>
      <c r="F25" s="75">
        <v>24.347193000000001</v>
      </c>
      <c r="G25" s="75">
        <v>24.097989999999999</v>
      </c>
      <c r="H25" s="75">
        <v>24.60482</v>
      </c>
      <c r="I25" s="75">
        <v>25.078033000000001</v>
      </c>
      <c r="J25" s="67" t="s">
        <v>205</v>
      </c>
      <c r="K25" s="67" t="s">
        <v>205</v>
      </c>
    </row>
    <row r="26" spans="1:11" ht="15" customHeight="1" outlineLevel="1" x14ac:dyDescent="0.2">
      <c r="A26" s="74" t="s">
        <v>211</v>
      </c>
      <c r="B26" s="76">
        <v>33.475071</v>
      </c>
      <c r="C26" s="76">
        <v>33.448802999999998</v>
      </c>
      <c r="D26" s="76">
        <v>34.669189000000003</v>
      </c>
      <c r="E26" s="68" t="s">
        <v>205</v>
      </c>
      <c r="F26" s="68" t="s">
        <v>205</v>
      </c>
      <c r="G26" s="68" t="s">
        <v>205</v>
      </c>
      <c r="H26" s="68" t="s">
        <v>205</v>
      </c>
      <c r="I26" s="68" t="s">
        <v>205</v>
      </c>
      <c r="J26" s="68" t="s">
        <v>205</v>
      </c>
      <c r="K26" s="68" t="s">
        <v>205</v>
      </c>
    </row>
    <row r="27" spans="1:11" ht="15" customHeight="1" outlineLevel="1" x14ac:dyDescent="0.2">
      <c r="A27" s="73" t="s">
        <v>212</v>
      </c>
      <c r="B27" s="75">
        <v>18.371850999999999</v>
      </c>
      <c r="C27" s="75">
        <v>18.847332000000002</v>
      </c>
      <c r="D27" s="75">
        <v>19.294577</v>
      </c>
      <c r="E27" s="67" t="s">
        <v>205</v>
      </c>
      <c r="F27" s="67" t="s">
        <v>205</v>
      </c>
      <c r="G27" s="67" t="s">
        <v>205</v>
      </c>
      <c r="H27" s="67" t="s">
        <v>205</v>
      </c>
      <c r="I27" s="67" t="s">
        <v>205</v>
      </c>
      <c r="J27" s="67" t="s">
        <v>205</v>
      </c>
      <c r="K27" s="67" t="s">
        <v>205</v>
      </c>
    </row>
    <row r="28" spans="1:11" ht="15" customHeight="1" outlineLevel="1" x14ac:dyDescent="0.2">
      <c r="A28" s="74" t="s">
        <v>213</v>
      </c>
      <c r="B28" s="76">
        <v>15.664762</v>
      </c>
      <c r="C28" s="76">
        <v>15.815450999999999</v>
      </c>
      <c r="D28" s="76">
        <v>15.465054</v>
      </c>
      <c r="E28" s="68" t="s">
        <v>205</v>
      </c>
      <c r="F28" s="68" t="s">
        <v>205</v>
      </c>
      <c r="G28" s="68" t="s">
        <v>205</v>
      </c>
      <c r="H28" s="68" t="s">
        <v>205</v>
      </c>
      <c r="I28" s="68" t="s">
        <v>205</v>
      </c>
      <c r="J28" s="68" t="s">
        <v>205</v>
      </c>
      <c r="K28" s="68" t="s">
        <v>205</v>
      </c>
    </row>
    <row r="30" spans="1:11" ht="15" customHeight="1" x14ac:dyDescent="0.2">
      <c r="A30" s="2" t="s">
        <v>215</v>
      </c>
    </row>
    <row r="31" spans="1:11" ht="15" customHeight="1" x14ac:dyDescent="0.2">
      <c r="A31" s="66"/>
      <c r="B31" s="66" t="s">
        <v>12</v>
      </c>
      <c r="C31" s="66" t="s">
        <v>11</v>
      </c>
      <c r="D31" s="66" t="s">
        <v>10</v>
      </c>
      <c r="E31" s="66" t="s">
        <v>9</v>
      </c>
      <c r="F31" s="66" t="s">
        <v>8</v>
      </c>
      <c r="G31" s="66" t="s">
        <v>7</v>
      </c>
      <c r="H31" s="66" t="s">
        <v>6</v>
      </c>
      <c r="I31" s="66" t="s">
        <v>5</v>
      </c>
      <c r="J31" s="66" t="s">
        <v>4</v>
      </c>
      <c r="K31" s="66" t="s">
        <v>3</v>
      </c>
    </row>
    <row r="32" spans="1:11" ht="15" customHeight="1" x14ac:dyDescent="0.2">
      <c r="A32" s="67" t="s">
        <v>203</v>
      </c>
      <c r="B32" s="79">
        <v>-0.31386500000000001</v>
      </c>
      <c r="C32" s="75">
        <v>5.8815900000000001</v>
      </c>
      <c r="D32" s="75">
        <v>8.4702599999999997</v>
      </c>
      <c r="E32" s="79">
        <v>-4.6745599999999996</v>
      </c>
      <c r="F32" s="75">
        <v>1.61879</v>
      </c>
      <c r="G32" s="75">
        <v>9.5696600000000007</v>
      </c>
      <c r="H32" s="79">
        <v>-8.8669899999999995</v>
      </c>
      <c r="I32" s="79">
        <v>-4.5200899999999997</v>
      </c>
      <c r="J32" s="79">
        <v>-25.625800000000002</v>
      </c>
      <c r="K32" s="75">
        <v>1.1191599999999999</v>
      </c>
    </row>
    <row r="33" spans="1:11" ht="15" customHeight="1" x14ac:dyDescent="0.2">
      <c r="A33" s="68" t="s">
        <v>204</v>
      </c>
      <c r="B33" s="68" t="s">
        <v>205</v>
      </c>
      <c r="C33" s="68" t="s">
        <v>205</v>
      </c>
      <c r="D33" s="68" t="s">
        <v>205</v>
      </c>
      <c r="E33" s="68" t="s">
        <v>205</v>
      </c>
      <c r="F33" s="76">
        <v>1.378479</v>
      </c>
      <c r="G33" s="76">
        <v>9.4586550000000003</v>
      </c>
      <c r="H33" s="80">
        <v>-9.9068330000000007</v>
      </c>
      <c r="I33" s="80">
        <v>-5.5842809999999998</v>
      </c>
      <c r="J33" s="76">
        <v>4.5636999999999997E-2</v>
      </c>
      <c r="K33" s="76">
        <v>3.859137</v>
      </c>
    </row>
    <row r="34" spans="1:11" ht="15" customHeight="1" x14ac:dyDescent="0.2">
      <c r="A34" s="67" t="s">
        <v>206</v>
      </c>
      <c r="B34" s="67" t="s">
        <v>205</v>
      </c>
      <c r="C34" s="67" t="s">
        <v>205</v>
      </c>
      <c r="D34" s="67" t="s">
        <v>205</v>
      </c>
      <c r="E34" s="67" t="s">
        <v>205</v>
      </c>
      <c r="F34" s="79">
        <v>-8.0712349999999997</v>
      </c>
      <c r="G34" s="75">
        <v>10.671803000000001</v>
      </c>
      <c r="H34" s="79">
        <v>-8.8750119999999999</v>
      </c>
      <c r="I34" s="79">
        <v>-4.5046059999999999</v>
      </c>
      <c r="J34" s="79">
        <v>-1.423362</v>
      </c>
      <c r="K34" s="79">
        <v>-1.288783</v>
      </c>
    </row>
    <row r="35" spans="1:11" ht="15" customHeight="1" x14ac:dyDescent="0.2">
      <c r="A35" s="68" t="s">
        <v>207</v>
      </c>
      <c r="B35" s="76">
        <v>1.3568519999999999</v>
      </c>
      <c r="C35" s="76">
        <v>2.387327</v>
      </c>
      <c r="D35" s="76">
        <v>4.5107869999999997</v>
      </c>
      <c r="E35" s="76">
        <v>6.1092579999999996</v>
      </c>
      <c r="F35" s="76">
        <v>4.8536060000000001</v>
      </c>
      <c r="G35" s="76">
        <v>9.7451279999999993</v>
      </c>
      <c r="H35" s="80">
        <v>-9.5286880000000007</v>
      </c>
      <c r="I35" s="80">
        <v>-5.1340130000000004</v>
      </c>
      <c r="J35" s="80">
        <v>-1.890171</v>
      </c>
      <c r="K35" s="80">
        <v>-0.223078</v>
      </c>
    </row>
    <row r="36" spans="1:11" ht="15" customHeight="1" x14ac:dyDescent="0.2">
      <c r="A36" s="77" t="s">
        <v>208</v>
      </c>
      <c r="B36" s="78">
        <v>-0.59283300000000005</v>
      </c>
      <c r="C36" s="78">
        <v>6.4764900000000001</v>
      </c>
      <c r="D36" s="78">
        <v>9.1184799999999999</v>
      </c>
      <c r="E36" s="78">
        <v>-75.705399999999997</v>
      </c>
      <c r="F36" s="78">
        <v>12.299799999999999</v>
      </c>
      <c r="G36" s="78">
        <v>8.4481699999999993</v>
      </c>
      <c r="H36" s="78">
        <v>-6.9502800000000002</v>
      </c>
      <c r="I36" s="78">
        <v>-2.68377</v>
      </c>
      <c r="J36" s="78">
        <v>-99.609499999999997</v>
      </c>
      <c r="K36" s="77" t="s">
        <v>205</v>
      </c>
    </row>
    <row r="37" spans="1:11" ht="15" customHeight="1" outlineLevel="1" x14ac:dyDescent="0.2">
      <c r="A37" s="74" t="s">
        <v>209</v>
      </c>
      <c r="B37" s="68" t="s">
        <v>205</v>
      </c>
      <c r="C37" s="68" t="s">
        <v>205</v>
      </c>
      <c r="D37" s="68" t="s">
        <v>205</v>
      </c>
      <c r="E37" s="68" t="s">
        <v>205</v>
      </c>
      <c r="F37" s="68" t="s">
        <v>205</v>
      </c>
      <c r="G37" s="68" t="s">
        <v>205</v>
      </c>
      <c r="H37" s="68" t="s">
        <v>205</v>
      </c>
      <c r="I37" s="68" t="s">
        <v>205</v>
      </c>
      <c r="J37" s="68" t="s">
        <v>205</v>
      </c>
      <c r="K37" s="68" t="s">
        <v>205</v>
      </c>
    </row>
    <row r="38" spans="1:11" ht="15" customHeight="1" outlineLevel="1" x14ac:dyDescent="0.2">
      <c r="A38" s="73" t="s">
        <v>210</v>
      </c>
      <c r="B38" s="75">
        <v>1.97417</v>
      </c>
      <c r="C38" s="75">
        <v>5.1745970000000003</v>
      </c>
      <c r="D38" s="75">
        <v>3.5781869999999998</v>
      </c>
      <c r="E38" s="75">
        <v>23.418037000000002</v>
      </c>
      <c r="F38" s="75">
        <v>12.299825</v>
      </c>
      <c r="G38" s="75">
        <v>8.4481730000000006</v>
      </c>
      <c r="H38" s="79">
        <v>-6.9502759999999997</v>
      </c>
      <c r="I38" s="79">
        <v>-2.683767</v>
      </c>
      <c r="J38" s="67" t="s">
        <v>205</v>
      </c>
      <c r="K38" s="67" t="s">
        <v>205</v>
      </c>
    </row>
    <row r="39" spans="1:11" ht="15" customHeight="1" outlineLevel="1" x14ac:dyDescent="0.2">
      <c r="A39" s="74" t="s">
        <v>211</v>
      </c>
      <c r="B39" s="80">
        <v>-0.145236</v>
      </c>
      <c r="C39" s="76">
        <v>5.7985069999999999</v>
      </c>
      <c r="D39" s="76">
        <v>12.427825</v>
      </c>
      <c r="E39" s="68" t="s">
        <v>205</v>
      </c>
      <c r="F39" s="68" t="s">
        <v>205</v>
      </c>
      <c r="G39" s="68" t="s">
        <v>205</v>
      </c>
      <c r="H39" s="68" t="s">
        <v>205</v>
      </c>
      <c r="I39" s="68" t="s">
        <v>205</v>
      </c>
      <c r="J39" s="68" t="s">
        <v>205</v>
      </c>
      <c r="K39" s="68" t="s">
        <v>205</v>
      </c>
    </row>
    <row r="40" spans="1:11" ht="15" customHeight="1" outlineLevel="1" x14ac:dyDescent="0.2">
      <c r="A40" s="73" t="s">
        <v>212</v>
      </c>
      <c r="B40" s="75">
        <v>2.6291929999999999</v>
      </c>
      <c r="C40" s="75">
        <v>8.6219079999999995</v>
      </c>
      <c r="D40" s="75">
        <v>11.044242000000001</v>
      </c>
      <c r="E40" s="67" t="s">
        <v>205</v>
      </c>
      <c r="F40" s="67" t="s">
        <v>205</v>
      </c>
      <c r="G40" s="67" t="s">
        <v>205</v>
      </c>
      <c r="H40" s="67" t="s">
        <v>205</v>
      </c>
      <c r="I40" s="67" t="s">
        <v>205</v>
      </c>
      <c r="J40" s="67" t="s">
        <v>205</v>
      </c>
      <c r="K40" s="67" t="s">
        <v>205</v>
      </c>
    </row>
    <row r="41" spans="1:11" ht="15" customHeight="1" outlineLevel="1" x14ac:dyDescent="0.2">
      <c r="A41" s="74" t="s">
        <v>213</v>
      </c>
      <c r="B41" s="80">
        <v>-7.5478930000000002</v>
      </c>
      <c r="C41" s="76">
        <v>6.9001250000000001</v>
      </c>
      <c r="D41" s="76">
        <v>6.0670669999999998</v>
      </c>
      <c r="E41" s="68" t="s">
        <v>205</v>
      </c>
      <c r="F41" s="68" t="s">
        <v>205</v>
      </c>
      <c r="G41" s="68" t="s">
        <v>205</v>
      </c>
      <c r="H41" s="68" t="s">
        <v>205</v>
      </c>
      <c r="I41" s="68" t="s">
        <v>205</v>
      </c>
      <c r="J41" s="68" t="s">
        <v>205</v>
      </c>
      <c r="K41" s="68" t="s">
        <v>205</v>
      </c>
    </row>
    <row r="43" spans="1:11" ht="15" customHeight="1" x14ac:dyDescent="0.2">
      <c r="A43" s="2" t="s">
        <v>216</v>
      </c>
    </row>
    <row r="46" spans="1:11" ht="15" customHeight="1" x14ac:dyDescent="0.2">
      <c r="A46" s="2" t="s">
        <v>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785B-CF0F-459D-B2AE-62C448E10F83}">
  <dimension ref="A1:T33"/>
  <sheetViews>
    <sheetView workbookViewId="0">
      <selection activeCell="J49" sqref="J49"/>
    </sheetView>
  </sheetViews>
  <sheetFormatPr defaultColWidth="8.7109375" defaultRowHeight="12.75" x14ac:dyDescent="0.2"/>
  <cols>
    <col min="1" max="1" width="29.28515625" style="6" customWidth="1"/>
    <col min="2" max="2" width="38.5703125" style="6" customWidth="1"/>
    <col min="3" max="6" width="8.7109375" style="6" hidden="1" customWidth="1"/>
    <col min="7" max="12" width="8.7109375" style="6"/>
    <col min="13" max="13" width="136.28515625" style="6" bestFit="1" customWidth="1"/>
    <col min="14" max="16384" width="8.7109375" style="6"/>
  </cols>
  <sheetData>
    <row r="1" spans="1:20" x14ac:dyDescent="0.2">
      <c r="A1" s="49" t="s">
        <v>410</v>
      </c>
      <c r="B1" s="49" t="s">
        <v>411</v>
      </c>
      <c r="C1" s="49">
        <v>2016</v>
      </c>
      <c r="D1" s="49">
        <v>2017</v>
      </c>
      <c r="E1" s="49">
        <v>2018</v>
      </c>
      <c r="F1" s="49">
        <v>2019</v>
      </c>
      <c r="G1" s="49">
        <v>2020</v>
      </c>
      <c r="H1" s="49">
        <v>2021</v>
      </c>
      <c r="I1" s="49">
        <v>2022</v>
      </c>
      <c r="J1" s="49">
        <v>2023</v>
      </c>
      <c r="K1" s="49">
        <v>2024</v>
      </c>
      <c r="L1" s="49">
        <v>2025</v>
      </c>
      <c r="M1" s="58" t="s">
        <v>412</v>
      </c>
      <c r="N1" s="183"/>
      <c r="O1" s="50"/>
      <c r="P1" s="50"/>
      <c r="Q1" s="50"/>
      <c r="R1" s="50"/>
      <c r="S1" s="50"/>
      <c r="T1" s="50"/>
    </row>
    <row r="2" spans="1:20" x14ac:dyDescent="0.2">
      <c r="A2" s="37" t="s">
        <v>386</v>
      </c>
      <c r="B2" s="37" t="s">
        <v>413</v>
      </c>
      <c r="C2" s="45">
        <f>'IS-Reorg'!B10/'IS-Reorg'!B4</f>
        <v>0.49739280613769971</v>
      </c>
      <c r="D2" s="45">
        <f>'IS-Reorg'!C10/'IS-Reorg'!C4</f>
        <v>0.49474049973149697</v>
      </c>
      <c r="E2" s="45">
        <f>'IS-Reorg'!D10/'IS-Reorg'!D4</f>
        <v>0.49412482832290555</v>
      </c>
      <c r="F2" s="45">
        <f>'IS-Reorg'!E10/'IS-Reorg'!E4</f>
        <v>0.47628827483196418</v>
      </c>
      <c r="G2" s="45">
        <f>'IS-Reorg'!F10/'IS-Reorg'!F4</f>
        <v>0.4848061148396719</v>
      </c>
      <c r="H2" s="45">
        <f>'IS-Reorg'!G10/'IS-Reorg'!G4</f>
        <v>0.46986281996888701</v>
      </c>
      <c r="I2" s="45">
        <f>'IS-Reorg'!H10/'IS-Reorg'!H4</f>
        <v>0.43723158725057698</v>
      </c>
      <c r="J2" s="45">
        <f>'IS-Reorg'!I10/'IS-Reorg'!I4</f>
        <v>0.38898821617228768</v>
      </c>
      <c r="K2" s="45">
        <f>'IS-Reorg'!J10/'IS-Reorg'!J4</f>
        <v>0.41017293997965409</v>
      </c>
      <c r="L2" s="45">
        <f>'IS-Reorg'!K10/'IS-Reorg'!K4</f>
        <v>0.39586339586339586</v>
      </c>
      <c r="M2" s="59" t="s">
        <v>455</v>
      </c>
      <c r="N2" s="184"/>
    </row>
    <row r="3" spans="1:20" x14ac:dyDescent="0.2">
      <c r="A3" s="37" t="s">
        <v>387</v>
      </c>
      <c r="B3" s="37" t="s">
        <v>414</v>
      </c>
      <c r="C3" s="45">
        <f>'IS-Reorg'!B14/'IS-Reorg'!B4</f>
        <v>0.23311966521638047</v>
      </c>
      <c r="D3" s="45">
        <f>'IS-Reorg'!C14/'IS-Reorg'!C4</f>
        <v>0.22825915279401079</v>
      </c>
      <c r="E3" s="45">
        <f>'IS-Reorg'!D14/'IS-Reorg'!D4</f>
        <v>0.23726537463757058</v>
      </c>
      <c r="F3" s="45">
        <f>'IS-Reorg'!E14/'IS-Reorg'!E4</f>
        <v>0.21701518546178741</v>
      </c>
      <c r="G3" s="45">
        <f>'IS-Reorg'!F14/'IS-Reorg'!F4</f>
        <v>0.21616331096196867</v>
      </c>
      <c r="H3" s="45">
        <f>'IS-Reorg'!G14/'IS-Reorg'!G4</f>
        <v>0.21286946683637392</v>
      </c>
      <c r="I3" s="45">
        <f>'IS-Reorg'!H14/'IS-Reorg'!H4</f>
        <v>0.11899266703672325</v>
      </c>
      <c r="J3" s="45">
        <f>'IS-Reorg'!I14/'IS-Reorg'!I4</f>
        <v>0.16444534741974806</v>
      </c>
      <c r="K3" s="45">
        <f>'IS-Reorg'!J14/'IS-Reorg'!J4</f>
        <v>0.20065106815869788</v>
      </c>
      <c r="L3" s="45">
        <f>'IS-Reorg'!K14/'IS-Reorg'!K4</f>
        <v>0.18959435626102292</v>
      </c>
      <c r="M3" s="59" t="s">
        <v>456</v>
      </c>
      <c r="N3" s="184"/>
    </row>
    <row r="4" spans="1:20" x14ac:dyDescent="0.2">
      <c r="A4" s="37" t="s">
        <v>388</v>
      </c>
      <c r="B4" s="37" t="s">
        <v>415</v>
      </c>
      <c r="C4" s="45">
        <f>'IS-Reorg'!B59/'IS-Reorg'!B4</f>
        <v>0.28207512703842708</v>
      </c>
      <c r="D4" s="45">
        <f>'IS-Reorg'!C59/'IS-Reorg'!C4</f>
        <v>0.27703193606469345</v>
      </c>
      <c r="E4" s="45">
        <f>'IS-Reorg'!D59/'IS-Reorg'!D4</f>
        <v>0.28267968869220206</v>
      </c>
      <c r="F4" s="45">
        <f>'IS-Reorg'!E59/'IS-Reorg'!E4</f>
        <v>0.26658576051779936</v>
      </c>
      <c r="G4" s="45">
        <f>'IS-Reorg'!F59/'IS-Reorg'!F4</f>
        <v>0.27554064131245337</v>
      </c>
      <c r="H4" s="45">
        <f>'IS-Reorg'!G59/'IS-Reorg'!G4</f>
        <v>0.26703436571913447</v>
      </c>
      <c r="I4" s="45">
        <f>'IS-Reorg'!H59/'IS-Reorg'!H4</f>
        <v>0.17248531946594992</v>
      </c>
      <c r="J4" s="45">
        <f>'IS-Reorg'!I59/'IS-Reorg'!I4</f>
        <v>0.22267370987403495</v>
      </c>
      <c r="K4" s="45">
        <f>'IS-Reorg'!J59/'IS-Reorg'!J4</f>
        <v>0.25045778229908444</v>
      </c>
      <c r="L4" s="45">
        <f>'IS-Reorg'!K59/'IS-Reorg'!K4</f>
        <v>0.24202340869007535</v>
      </c>
      <c r="M4" s="59" t="s">
        <v>457</v>
      </c>
      <c r="N4" s="184"/>
    </row>
    <row r="5" spans="1:20" x14ac:dyDescent="0.2">
      <c r="A5" s="37" t="s">
        <v>389</v>
      </c>
      <c r="B5" s="37" t="s">
        <v>416</v>
      </c>
      <c r="C5" s="45">
        <f>'IS-Reorg'!B46/'IS-Reorg'!B4</f>
        <v>0.16772393636454216</v>
      </c>
      <c r="D5" s="45">
        <f>'IS-Reorg'!C46/'IS-Reorg'!C4</f>
        <v>0.15345737119752345</v>
      </c>
      <c r="E5" s="45">
        <f>'IS-Reorg'!D46/'IS-Reorg'!D4</f>
        <v>0.16325347169235466</v>
      </c>
      <c r="F5" s="45">
        <f>'IS-Reorg'!E46/'IS-Reorg'!E4</f>
        <v>0.14220811550908638</v>
      </c>
      <c r="G5" s="45">
        <f>'IS-Reorg'!F46/'IS-Reorg'!F4</f>
        <v>0.16930773054934128</v>
      </c>
      <c r="H5" s="45">
        <f>'IS-Reorg'!G46/'IS-Reorg'!G4</f>
        <v>0.16747277612784614</v>
      </c>
      <c r="I5" s="45">
        <f>'IS-Reorg'!H46/'IS-Reorg'!H4</f>
        <v>0.1687750153378714</v>
      </c>
      <c r="J5" s="45">
        <f>'IS-Reorg'!I46/'IS-Reorg'!I4</f>
        <v>-0.34140593254774482</v>
      </c>
      <c r="K5" s="45">
        <f>'IS-Reorg'!J46/'IS-Reorg'!J4</f>
        <v>0.16313326551373347</v>
      </c>
      <c r="L5" s="45">
        <f>'IS-Reorg'!K46/'IS-Reorg'!K4</f>
        <v>0.13027096360429694</v>
      </c>
      <c r="M5" s="59" t="s">
        <v>442</v>
      </c>
      <c r="N5" s="184"/>
    </row>
    <row r="6" spans="1:20" x14ac:dyDescent="0.2">
      <c r="A6" s="37" t="s">
        <v>390</v>
      </c>
      <c r="B6" s="37" t="s">
        <v>417</v>
      </c>
      <c r="C6" s="45">
        <f>'IS-Reorg'!B19/'IS-Reorg'!B4</f>
        <v>0.16717981946185348</v>
      </c>
      <c r="D6" s="45">
        <f>'IS-Reorg'!C19/'IS-Reorg'!C4</f>
        <v>0.14724348369820331</v>
      </c>
      <c r="E6" s="45">
        <f>'IS-Reorg'!D19/'IS-Reorg'!D4</f>
        <v>0.18177917202589872</v>
      </c>
      <c r="F6" s="45">
        <f>'IS-Reorg'!E19/'IS-Reorg'!E4</f>
        <v>0.17408325976644079</v>
      </c>
      <c r="G6" s="45">
        <f>'IS-Reorg'!F19/'IS-Reorg'!F4</f>
        <v>0.17363051526569906</v>
      </c>
      <c r="H6" s="45">
        <f>'IS-Reorg'!G19/'IS-Reorg'!G4</f>
        <v>0.17489927459807011</v>
      </c>
      <c r="I6" s="45">
        <f>'IS-Reorg'!H19/'IS-Reorg'!H4</f>
        <v>0.10759975210767528</v>
      </c>
      <c r="J6" s="45">
        <f>'IS-Reorg'!I19/'IS-Reorg'!I4</f>
        <v>0.1226154466964389</v>
      </c>
      <c r="K6" s="45">
        <f>'IS-Reorg'!J19/'IS-Reorg'!J4</f>
        <v>0.16717452555658269</v>
      </c>
      <c r="L6" s="45">
        <f>'IS-Reorg'!K19/'IS-Reorg'!K4</f>
        <v>0.14445712879133246</v>
      </c>
      <c r="M6" s="59" t="s">
        <v>443</v>
      </c>
      <c r="N6" s="184"/>
    </row>
    <row r="7" spans="1:20" x14ac:dyDescent="0.2">
      <c r="A7" s="37" t="s">
        <v>391</v>
      </c>
      <c r="B7" s="37" t="s">
        <v>418</v>
      </c>
      <c r="C7" s="45">
        <f>'IS-Reorg'!B46/'BS-Reorg'!B38</f>
        <v>0.15346745274418039</v>
      </c>
      <c r="D7" s="45">
        <f>'IS-Reorg'!C46/'BS-Reorg'!C38</f>
        <v>0.12788585568747202</v>
      </c>
      <c r="E7" s="45">
        <f>'IS-Reorg'!D46/'BS-Reorg'!D38</f>
        <v>0.14654794520547945</v>
      </c>
      <c r="F7" s="45">
        <f>'IS-Reorg'!E46/'BS-Reorg'!E38</f>
        <v>0.1023309971114445</v>
      </c>
      <c r="G7" s="45">
        <f>'IS-Reorg'!F46/'BS-Reorg'!F38</f>
        <v>0.11509378168300101</v>
      </c>
      <c r="H7" s="45">
        <f>'IS-Reorg'!G46/'BS-Reorg'!G38</f>
        <v>0.12578602991162474</v>
      </c>
      <c r="I7" s="45">
        <f>'IS-Reorg'!H46/'BS-Reorg'!H38</f>
        <v>0.12435690453126681</v>
      </c>
      <c r="J7" s="45">
        <f>'IS-Reorg'!I46/'BS-Reorg'!I38</f>
        <v>-0.16611308817714512</v>
      </c>
      <c r="K7" s="45">
        <f>'IS-Reorg'!J46/'BS-Reorg'!J38</f>
        <v>0.10055683756396107</v>
      </c>
      <c r="L7" s="45">
        <f>'IS-Reorg'!K46/'BS-Reorg'!K38</f>
        <v>8.6131502928471104E-2</v>
      </c>
      <c r="M7" s="59" t="s">
        <v>444</v>
      </c>
      <c r="N7" s="184"/>
    </row>
    <row r="8" spans="1:20" x14ac:dyDescent="0.2">
      <c r="A8" s="37" t="s">
        <v>392</v>
      </c>
      <c r="B8" s="37" t="s">
        <v>419</v>
      </c>
      <c r="C8" s="45">
        <f>IFERROR('IS-Reorg'!B46/'BS-Reorg'!B61,"-")</f>
        <v>0.49038648281219654</v>
      </c>
      <c r="D8" s="45">
        <f>IFERROR('IS-Reorg'!C46/'BS-Reorg'!C61,"-")</f>
        <v>0.42013318342990574</v>
      </c>
      <c r="E8" s="45">
        <f>IFERROR('IS-Reorg'!D46/'BS-Reorg'!D61,"-")</f>
        <v>0.54603919967333603</v>
      </c>
      <c r="F8" s="45">
        <f>IFERROR('IS-Reorg'!E46/'BS-Reorg'!E61,"-")</f>
        <v>0.45413892477392426</v>
      </c>
      <c r="G8" s="45">
        <f>IFERROR('IS-Reorg'!F46/'BS-Reorg'!F61,"-")</f>
        <v>0.42348643817517678</v>
      </c>
      <c r="H8" s="45">
        <f>IFERROR('IS-Reorg'!G46/'BS-Reorg'!G61,"-")</f>
        <v>0.39352651867606009</v>
      </c>
      <c r="I8" s="45">
        <f>IFERROR('IS-Reorg'!H46/'BS-Reorg'!H61,"-")</f>
        <v>0.39240592310827332</v>
      </c>
      <c r="J8" s="45">
        <f>IFERROR('IS-Reorg'!I46/'BS-Reorg'!I61,"-")</f>
        <v>-1.7478676929477845</v>
      </c>
      <c r="K8" s="45">
        <f>IFERROR('IS-Reorg'!J46/'BS-Reorg'!J61,"-")</f>
        <v>1.0434669442998439</v>
      </c>
      <c r="L8" s="45">
        <f>IFERROR('IS-Reorg'!K46/'BS-Reorg'!K61,"-")</f>
        <v>0.69119523606975752</v>
      </c>
      <c r="M8" s="59" t="s">
        <v>458</v>
      </c>
      <c r="N8" s="184"/>
    </row>
    <row r="9" spans="1:20" x14ac:dyDescent="0.2">
      <c r="A9" s="37" t="s">
        <v>393</v>
      </c>
      <c r="B9" s="37" t="s">
        <v>420</v>
      </c>
      <c r="C9" s="45">
        <f>'IS-Reorg'!B19/AVERAGE('BS-Reorg'!B78)</f>
        <v>0.26348498660892727</v>
      </c>
      <c r="D9" s="45">
        <f>'IS-Reorg'!C19/AVERAGE('BS-Reorg'!B78,'BS-Reorg'!C78)</f>
        <v>0.23067113514457613</v>
      </c>
      <c r="E9" s="45">
        <f>'IS-Reorg'!D19/AVERAGE('BS-Reorg'!C78,'BS-Reorg'!D78)</f>
        <v>0.28109562127704046</v>
      </c>
      <c r="F9" s="45">
        <f>'IS-Reorg'!E19/AVERAGE('BS-Reorg'!D78,'BS-Reorg'!E78)</f>
        <v>0.22691867831562826</v>
      </c>
      <c r="G9" s="45">
        <f>'IS-Reorg'!F19/AVERAGE('BS-Reorg'!E78,'BS-Reorg'!F78)</f>
        <v>0.20070483984237256</v>
      </c>
      <c r="H9" s="45">
        <f>'IS-Reorg'!G19/AVERAGE('BS-Reorg'!F78,'BS-Reorg'!G78)</f>
        <v>0.22159340094659627</v>
      </c>
      <c r="I9" s="45">
        <f>'IS-Reorg'!H19/AVERAGE('BS-Reorg'!G78,'BS-Reorg'!H78)</f>
        <v>0.13360535123768402</v>
      </c>
      <c r="J9" s="45">
        <f>'IS-Reorg'!I19/AVERAGE('BS-Reorg'!H78,'BS-Reorg'!I78)</f>
        <v>0.10641720070529558</v>
      </c>
      <c r="K9" s="45">
        <f>'IS-Reorg'!J19/AVERAGE('BS-Reorg'!I78,'BS-Reorg'!J78)</f>
        <v>0.22095431013811384</v>
      </c>
      <c r="L9" s="45">
        <f>'IS-Reorg'!K19/AVERAGE('BS-Reorg'!J78,'BS-Reorg'!K78)</f>
        <v>0.37882130121260965</v>
      </c>
      <c r="M9" s="59" t="s">
        <v>445</v>
      </c>
      <c r="N9" s="184"/>
    </row>
    <row r="11" spans="1:20" x14ac:dyDescent="0.2">
      <c r="A11" s="49" t="s">
        <v>421</v>
      </c>
      <c r="B11" s="113"/>
    </row>
    <row r="12" spans="1:20" x14ac:dyDescent="0.2">
      <c r="A12" s="37" t="s">
        <v>394</v>
      </c>
      <c r="B12" s="37" t="s">
        <v>422</v>
      </c>
      <c r="C12" s="93">
        <f>('BS-Reorg'!B42+'BS-Reorg'!B48)/'BS-Reorg'!B70</f>
        <v>1.1307164265686938</v>
      </c>
      <c r="D12" s="93">
        <f>('BS-Reorg'!C42+'BS-Reorg'!C48)/'BS-Reorg'!C70</f>
        <v>1.2053863362588195</v>
      </c>
      <c r="E12" s="93">
        <f>('BS-Reorg'!D42+'BS-Reorg'!D48)/'BS-Reorg'!D70</f>
        <v>1.4923842404549148</v>
      </c>
      <c r="F12" s="93">
        <f>('BS-Reorg'!E42+'BS-Reorg'!E48)/'BS-Reorg'!E70</f>
        <v>2.103397195338732</v>
      </c>
      <c r="G12" s="93">
        <f>('BS-Reorg'!F42+'BS-Reorg'!F48)/'BS-Reorg'!F70</f>
        <v>1.529270744721986</v>
      </c>
      <c r="H12" s="93">
        <f>('BS-Reorg'!G42+'BS-Reorg'!G48)/'BS-Reorg'!G70</f>
        <v>1.2116822120791162</v>
      </c>
      <c r="I12" s="93">
        <f>('BS-Reorg'!H42+'BS-Reorg'!H48)/'BS-Reorg'!H70</f>
        <v>1.1419092755585647</v>
      </c>
      <c r="J12" s="93">
        <f>('BS-Reorg'!I42+'BS-Reorg'!I48)/'BS-Reorg'!I70</f>
        <v>3.4410435497124077</v>
      </c>
      <c r="K12" s="93">
        <f>('BS-Reorg'!J42+'BS-Reorg'!J48)/'BS-Reorg'!J70</f>
        <v>3.5077041602465333</v>
      </c>
      <c r="L12" s="93">
        <f>('BS-Reorg'!K42+'BS-Reorg'!K48)/'BS-Reorg'!K70</f>
        <v>2.7663787655361283</v>
      </c>
      <c r="M12" s="6" t="s">
        <v>446</v>
      </c>
    </row>
    <row r="13" spans="1:20" x14ac:dyDescent="0.2">
      <c r="A13" s="37" t="s">
        <v>395</v>
      </c>
      <c r="B13" s="37" t="s">
        <v>423</v>
      </c>
      <c r="C13" s="45">
        <f>('BS-Reorg'!B42+'BS-Reorg'!B48)/'BS-Reorg'!B38</f>
        <v>0.35540630887983954</v>
      </c>
      <c r="D13" s="45">
        <f>('BS-Reorg'!C42+'BS-Reorg'!C48)/'BS-Reorg'!C38</f>
        <v>0.36878405770395134</v>
      </c>
      <c r="E13" s="45">
        <f>('BS-Reorg'!D42+'BS-Reorg'!D48)/'BS-Reorg'!D38</f>
        <v>0.40265753424657535</v>
      </c>
      <c r="F13" s="45">
        <f>('BS-Reorg'!E42+'BS-Reorg'!E48)/'BS-Reorg'!E38</f>
        <v>0.47692514386797735</v>
      </c>
      <c r="G13" s="45">
        <f>('BS-Reorg'!F42+'BS-Reorg'!F48)/'BS-Reorg'!F38</f>
        <v>0.41768756336600205</v>
      </c>
      <c r="H13" s="45">
        <f>('BS-Reorg'!G42+'BS-Reorg'!G48)/'BS-Reorg'!G38</f>
        <v>0.38912729435757987</v>
      </c>
      <c r="I13" s="45">
        <f>('BS-Reorg'!H42+'BS-Reorg'!H48)/'BS-Reorg'!H38</f>
        <v>0.36306102680012914</v>
      </c>
      <c r="J13" s="45">
        <f>('BS-Reorg'!I42+'BS-Reorg'!I48)/'BS-Reorg'!I38</f>
        <v>0.33117833135626729</v>
      </c>
      <c r="K13" s="45">
        <f>('BS-Reorg'!J42+'BS-Reorg'!J48)/'BS-Reorg'!J38</f>
        <v>0.34260559847496741</v>
      </c>
      <c r="L13" s="45">
        <f>('BS-Reorg'!K42+'BS-Reorg'!K48)/'BS-Reorg'!K38</f>
        <v>0.34802427583282536</v>
      </c>
      <c r="M13" s="6" t="s">
        <v>447</v>
      </c>
    </row>
    <row r="14" spans="1:20" x14ac:dyDescent="0.2">
      <c r="A14" s="37" t="s">
        <v>396</v>
      </c>
      <c r="B14" s="37" t="s">
        <v>850</v>
      </c>
      <c r="C14" s="93">
        <f>('BS-Reorg'!B42+'BS-Reorg'!B48-'BS-Reorg'!B4)/'IS-Reorg'!B59</f>
        <v>1.0616978688331566</v>
      </c>
      <c r="D14" s="93">
        <f>('BS-Reorg'!C42+'BS-Reorg'!C48-'BS-Reorg'!C4)/'IS-Reorg'!C59</f>
        <v>1.1265678449258838</v>
      </c>
      <c r="E14" s="93">
        <f>('BS-Reorg'!D42+'BS-Reorg'!D48-'BS-Reorg'!D4)/'IS-Reorg'!D59</f>
        <v>1.2377456272943208</v>
      </c>
      <c r="F14" s="93">
        <f>('BS-Reorg'!E42+'BS-Reorg'!E48-'BS-Reorg'!E4)/'IS-Reorg'!E59</f>
        <v>2.1452083576514531</v>
      </c>
      <c r="G14" s="93">
        <f>('BS-Reorg'!F42+'BS-Reorg'!F48-'BS-Reorg'!F4)/'IS-Reorg'!F59</f>
        <v>1.6618177717636446</v>
      </c>
      <c r="H14" s="93">
        <f>('BS-Reorg'!G42+'BS-Reorg'!G48-'BS-Reorg'!G4)/'IS-Reorg'!G59</f>
        <v>1.435441160893973</v>
      </c>
      <c r="I14" s="93">
        <f>('BS-Reorg'!H42+'BS-Reorg'!H48-'BS-Reorg'!H4)/'IS-Reorg'!H59</f>
        <v>2.1973238482384825</v>
      </c>
      <c r="J14" s="93">
        <f>('BS-Reorg'!I42+'BS-Reorg'!I48-'BS-Reorg'!I4)/'IS-Reorg'!I59</f>
        <v>2.0010948905109487</v>
      </c>
      <c r="K14" s="93">
        <f>('BS-Reorg'!J42+'BS-Reorg'!J48-'BS-Reorg'!J4)/'IS-Reorg'!J59</f>
        <v>0.9636068237205524</v>
      </c>
      <c r="L14" s="93">
        <f>('BS-Reorg'!K42+'BS-Reorg'!K48-'BS-Reorg'!K4)/'IS-Reorg'!K59</f>
        <v>1.1922822126531964</v>
      </c>
      <c r="M14" s="6" t="s">
        <v>459</v>
      </c>
    </row>
    <row r="15" spans="1:20" x14ac:dyDescent="0.2">
      <c r="A15" s="37" t="s">
        <v>397</v>
      </c>
      <c r="B15" s="37" t="s">
        <v>424</v>
      </c>
      <c r="C15" s="93">
        <f>'IS-Reorg'!B14/'IS-Reorg'!B24</f>
        <v>33.908212560386474</v>
      </c>
      <c r="D15" s="93">
        <f>'IS-Reorg'!C14/'IS-Reorg'!C24</f>
        <v>86.023809523809518</v>
      </c>
      <c r="E15" s="93">
        <f>'IS-Reorg'!D14/'IS-Reorg'!D24</f>
        <v>32.391666666666666</v>
      </c>
      <c r="F15" s="93">
        <f>'IS-Reorg'!E14/'IS-Reorg'!E24</f>
        <v>16.180974477958237</v>
      </c>
      <c r="G15" s="93">
        <f>'IS-Reorg'!F14/'IS-Reorg'!F24</f>
        <v>12.580470162748643</v>
      </c>
      <c r="H15" s="93">
        <f>'IS-Reorg'!G14/'IS-Reorg'!G24</f>
        <v>16.468271334792121</v>
      </c>
      <c r="I15" s="93">
        <f>'IS-Reorg'!H14/'IS-Reorg'!H24</f>
        <v>8.1787148594377506</v>
      </c>
      <c r="J15" s="93">
        <f>'IS-Reorg'!I14/'IS-Reorg'!I24</f>
        <v>4.342274678111588</v>
      </c>
      <c r="K15" s="93">
        <f>'IS-Reorg'!J14/'IS-Reorg'!J24</f>
        <v>4.1717428087986468</v>
      </c>
      <c r="L15" s="93">
        <f>'IS-Reorg'!K14/'IS-Reorg'!K24</f>
        <v>5.0426439232409379</v>
      </c>
      <c r="M15" s="6" t="s">
        <v>448</v>
      </c>
    </row>
    <row r="16" spans="1:20" x14ac:dyDescent="0.2">
      <c r="A16" s="37" t="s">
        <v>398</v>
      </c>
      <c r="B16" s="37" t="s">
        <v>425</v>
      </c>
      <c r="C16" s="93">
        <f>'IS-Reorg'!B59/'IS-Reorg'!B24</f>
        <v>41.028985507246375</v>
      </c>
      <c r="D16" s="93">
        <f>'IS-Reorg'!C59/'IS-Reorg'!C24</f>
        <v>104.4047619047619</v>
      </c>
      <c r="E16" s="93">
        <f>'IS-Reorg'!D59/'IS-Reorg'!D24</f>
        <v>38.591666666666669</v>
      </c>
      <c r="F16" s="93">
        <f>'IS-Reorg'!E59/'IS-Reorg'!E24</f>
        <v>19.877030162412993</v>
      </c>
      <c r="G16" s="93">
        <f>'IS-Reorg'!F59/'IS-Reorg'!F24</f>
        <v>16.036166365280291</v>
      </c>
      <c r="H16" s="93">
        <f>'IS-Reorg'!G59/'IS-Reorg'!G24</f>
        <v>20.658643326039389</v>
      </c>
      <c r="I16" s="93">
        <f>'IS-Reorg'!H59/'IS-Reorg'!H24</f>
        <v>11.855421686746988</v>
      </c>
      <c r="J16" s="93">
        <f>'IS-Reorg'!I59/'IS-Reorg'!I24</f>
        <v>5.8798283261802577</v>
      </c>
      <c r="K16" s="93">
        <f>'IS-Reorg'!J59/'IS-Reorg'!J24</f>
        <v>5.2072758037225046</v>
      </c>
      <c r="L16" s="93">
        <f>'IS-Reorg'!K59/'IS-Reorg'!K24</f>
        <v>6.4371002132196162</v>
      </c>
      <c r="M16" s="6" t="s">
        <v>449</v>
      </c>
    </row>
    <row r="18" spans="1:13" x14ac:dyDescent="0.2">
      <c r="A18" s="49" t="s">
        <v>426</v>
      </c>
    </row>
    <row r="19" spans="1:13" x14ac:dyDescent="0.2">
      <c r="A19" s="37" t="s">
        <v>399</v>
      </c>
      <c r="B19" s="37" t="s">
        <v>433</v>
      </c>
      <c r="C19" s="93">
        <f>('BS-Reorg'!B4+'BS-Reorg'!B7+'BS-Reorg'!B11)/('BS-Reorg'!B42+'BS-Reorg'!B43+'BS-Reorg'!B45)</f>
        <v>1.7660472972972974</v>
      </c>
      <c r="D19" s="93">
        <f>('BS-Reorg'!C4+'BS-Reorg'!C7+'BS-Reorg'!C11)/('BS-Reorg'!C42+'BS-Reorg'!C43+'BS-Reorg'!C45)</f>
        <v>1.7722651484343228</v>
      </c>
      <c r="E19" s="93">
        <f>('BS-Reorg'!D4+'BS-Reorg'!D7+'BS-Reorg'!D11)/('BS-Reorg'!D42+'BS-Reorg'!D43+'BS-Reorg'!D45)</f>
        <v>1.8024567918868732</v>
      </c>
      <c r="F19" s="93">
        <f>('BS-Reorg'!E4+'BS-Reorg'!E7+'BS-Reorg'!E11)/('BS-Reorg'!E42+'BS-Reorg'!E43+'BS-Reorg'!E45)</f>
        <v>1.3121400088613204</v>
      </c>
      <c r="G19" s="93">
        <f>('BS-Reorg'!F4+'BS-Reorg'!F7+'BS-Reorg'!F11)/('BS-Reorg'!F42+'BS-Reorg'!F43+'BS-Reorg'!F45)</f>
        <v>1.8281903765690377</v>
      </c>
      <c r="H19" s="93">
        <f>('BS-Reorg'!G4+'BS-Reorg'!G7+'BS-Reorg'!G11)/('BS-Reorg'!G42+'BS-Reorg'!G43+'BS-Reorg'!G45)</f>
        <v>1.6421652421652422</v>
      </c>
      <c r="I19" s="93">
        <f>('BS-Reorg'!H4+'BS-Reorg'!H7+'BS-Reorg'!H11)/('BS-Reorg'!H42+'BS-Reorg'!H43+'BS-Reorg'!H45)</f>
        <v>1.4893134715025906</v>
      </c>
      <c r="J19" s="93">
        <f>('BS-Reorg'!I4+'BS-Reorg'!I7+'BS-Reorg'!I11)/('BS-Reorg'!I42+'BS-Reorg'!I43+'BS-Reorg'!I45)</f>
        <v>0.88908157139998667</v>
      </c>
      <c r="K19" s="93">
        <f>('BS-Reorg'!J4+'BS-Reorg'!J7+'BS-Reorg'!J11)/('BS-Reorg'!J42+'BS-Reorg'!J43+'BS-Reorg'!J45)</f>
        <v>1.3382151029748284</v>
      </c>
      <c r="L19" s="93">
        <f>('BS-Reorg'!K4+'BS-Reorg'!K7+'BS-Reorg'!K11)/('BS-Reorg'!K42+'BS-Reorg'!K43+'BS-Reorg'!K45)</f>
        <v>1.3681083897863471</v>
      </c>
      <c r="M19" s="6" t="s">
        <v>460</v>
      </c>
    </row>
    <row r="20" spans="1:13" x14ac:dyDescent="0.2">
      <c r="A20" s="37" t="s">
        <v>400</v>
      </c>
      <c r="B20" s="37" t="s">
        <v>434</v>
      </c>
      <c r="C20" s="93">
        <f>('BS-Reorg'!B4+'BS-Reorg'!B7)/('BS-Reorg'!B42+'BS-Reorg'!B43+'BS-Reorg'!B45)</f>
        <v>1.1942567567567568</v>
      </c>
      <c r="D20" s="93">
        <f>('BS-Reorg'!C4+'BS-Reorg'!C7)/('BS-Reorg'!C42+'BS-Reorg'!C43+'BS-Reorg'!C45)</f>
        <v>1.2254303917581673</v>
      </c>
      <c r="E20" s="93">
        <f>('BS-Reorg'!D4+'BS-Reorg'!D7)/('BS-Reorg'!D42+'BS-Reorg'!D43+'BS-Reorg'!D45)</f>
        <v>1.1788315954863591</v>
      </c>
      <c r="F20" s="93">
        <f>('BS-Reorg'!E4+'BS-Reorg'!E7)/('BS-Reorg'!E42+'BS-Reorg'!E43+'BS-Reorg'!E45)</f>
        <v>0.85423128046078867</v>
      </c>
      <c r="G20" s="93">
        <f>('BS-Reorg'!F4+'BS-Reorg'!F7)/('BS-Reorg'!F42+'BS-Reorg'!F43+'BS-Reorg'!F45)</f>
        <v>1.2739278242677825</v>
      </c>
      <c r="H20" s="93">
        <f>('BS-Reorg'!G4+'BS-Reorg'!G7)/('BS-Reorg'!G42+'BS-Reorg'!G43+'BS-Reorg'!G45)</f>
        <v>1.0740740740740742</v>
      </c>
      <c r="I20" s="93">
        <f>('BS-Reorg'!H4+'BS-Reorg'!H7)/('BS-Reorg'!H42+'BS-Reorg'!H43+'BS-Reorg'!H45)</f>
        <v>0.90943436960276336</v>
      </c>
      <c r="J20" s="93">
        <f>('BS-Reorg'!I4+'BS-Reorg'!I7)/('BS-Reorg'!I42+'BS-Reorg'!I43+'BS-Reorg'!I45)</f>
        <v>0.6260254785566598</v>
      </c>
      <c r="K20" s="93">
        <f>('BS-Reorg'!J4+'BS-Reorg'!J7)/('BS-Reorg'!J42+'BS-Reorg'!J43+'BS-Reorg'!J45)</f>
        <v>0.99972540045766589</v>
      </c>
      <c r="L20" s="93">
        <f>('BS-Reorg'!K4+'BS-Reorg'!K7)/('BS-Reorg'!K42+'BS-Reorg'!K43+'BS-Reorg'!K45)</f>
        <v>0.9865554976550287</v>
      </c>
      <c r="M20" s="6" t="s">
        <v>450</v>
      </c>
    </row>
    <row r="21" spans="1:13" x14ac:dyDescent="0.2">
      <c r="A21" s="37" t="s">
        <v>401</v>
      </c>
      <c r="B21" s="37" t="s">
        <v>435</v>
      </c>
      <c r="C21" s="93">
        <f>'BS-Reorg'!B4/('BS-Reorg'!B42+'BS-Reorg'!B43+'BS-Reorg'!B45)</f>
        <v>0.45236486486486488</v>
      </c>
      <c r="D21" s="93">
        <f>'BS-Reorg'!C4/('BS-Reorg'!C42+'BS-Reorg'!C43+'BS-Reorg'!C45)</f>
        <v>0.5597126203063576</v>
      </c>
      <c r="E21" s="93">
        <f>'BS-Reorg'!D4/('BS-Reorg'!D42+'BS-Reorg'!D43+'BS-Reorg'!D45)</f>
        <v>0.46179117268961578</v>
      </c>
      <c r="F21" s="93">
        <f>'BS-Reorg'!E4/('BS-Reorg'!E42+'BS-Reorg'!E43+'BS-Reorg'!E45)</f>
        <v>0.32354895879486045</v>
      </c>
      <c r="G21" s="93">
        <f>'BS-Reorg'!F4/('BS-Reorg'!F42+'BS-Reorg'!F43+'BS-Reorg'!F45)</f>
        <v>0.65873430962343094</v>
      </c>
      <c r="H21" s="93">
        <f>'BS-Reorg'!G4/('BS-Reorg'!G42+'BS-Reorg'!G43+'BS-Reorg'!G45)</f>
        <v>0.54301994301994305</v>
      </c>
      <c r="I21" s="93">
        <f>'BS-Reorg'!H4/('BS-Reorg'!H42+'BS-Reorg'!H43+'BS-Reorg'!H45)</f>
        <v>0.42022884283246975</v>
      </c>
      <c r="J21" s="93">
        <f>'BS-Reorg'!I4/('BS-Reorg'!I42+'BS-Reorg'!I43+'BS-Reorg'!I45)</f>
        <v>0.38584672847328755</v>
      </c>
      <c r="K21" s="93">
        <f>'BS-Reorg'!J4/('BS-Reorg'!J42+'BS-Reorg'!J43+'BS-Reorg'!J45)</f>
        <v>0.70736842105263154</v>
      </c>
      <c r="L21" s="93">
        <f>'BS-Reorg'!K4/('BS-Reorg'!K42+'BS-Reorg'!K43+'BS-Reorg'!K45)</f>
        <v>0.61834288692027095</v>
      </c>
      <c r="M21" s="6" t="s">
        <v>461</v>
      </c>
    </row>
    <row r="23" spans="1:13" x14ac:dyDescent="0.2">
      <c r="A23" s="49" t="s">
        <v>427</v>
      </c>
    </row>
    <row r="24" spans="1:13" x14ac:dyDescent="0.2">
      <c r="A24" s="37" t="s">
        <v>402</v>
      </c>
      <c r="B24" s="37" t="s">
        <v>428</v>
      </c>
      <c r="C24" s="93">
        <f>'IS-Reorg'!B4/'BS-Reorg'!B38</f>
        <v>0.915000303895946</v>
      </c>
      <c r="D24" s="93">
        <f>'IS-Reorg'!C4/'BS-Reorg'!C38</f>
        <v>0.83336404559454547</v>
      </c>
      <c r="E24" s="93">
        <f>'IS-Reorg'!D4/'BS-Reorg'!D38</f>
        <v>0.89767123287671235</v>
      </c>
      <c r="F24" s="93">
        <f>'IS-Reorg'!E4/'BS-Reorg'!E38</f>
        <v>0.71958619763093667</v>
      </c>
      <c r="G24" s="93">
        <f>'IS-Reorg'!F4/'BS-Reorg'!F38</f>
        <v>0.67979046975329505</v>
      </c>
      <c r="H24" s="93">
        <f>'IS-Reorg'!G4/'BS-Reorg'!G38</f>
        <v>0.7510834466349422</v>
      </c>
      <c r="I24" s="93">
        <f>'IS-Reorg'!H4/'BS-Reorg'!H38</f>
        <v>0.73682057905499942</v>
      </c>
      <c r="J24" s="93">
        <f>'IS-Reorg'!I4/'BS-Reorg'!I38</f>
        <v>0.48655595096876236</v>
      </c>
      <c r="K24" s="93">
        <f>'IS-Reorg'!J4/'BS-Reorg'!J38</f>
        <v>0.61640915019564568</v>
      </c>
      <c r="L24" s="93">
        <f>'IS-Reorg'!K4/'BS-Reorg'!K38</f>
        <v>0.66117191847984524</v>
      </c>
      <c r="M24" s="6" t="s">
        <v>451</v>
      </c>
    </row>
    <row r="25" spans="1:13" x14ac:dyDescent="0.2">
      <c r="A25" s="37" t="s">
        <v>403</v>
      </c>
      <c r="B25" s="37" t="s">
        <v>429</v>
      </c>
      <c r="C25" s="93">
        <f>'BS-Reorg'!B7/'IS-Reorg'!B4*365</f>
        <v>53.242552060845597</v>
      </c>
      <c r="D25" s="93">
        <f>'BS-Reorg'!C7/'IS-Reorg'!C4*365</f>
        <v>56.623021764538649</v>
      </c>
      <c r="E25" s="93">
        <f>'BS-Reorg'!D7/'IS-Reorg'!D4*365</f>
        <v>55.922478254234704</v>
      </c>
      <c r="F25" s="93">
        <f>'BS-Reorg'!E7/'IS-Reorg'!E4*365</f>
        <v>54.41607542942495</v>
      </c>
      <c r="G25" s="93">
        <f>'BS-Reorg'!F7/'IS-Reorg'!F4*365</f>
        <v>53.359588615461092</v>
      </c>
      <c r="H25" s="93">
        <f>'BS-Reorg'!G7/'IS-Reorg'!G4*365</f>
        <v>48.109178334040443</v>
      </c>
      <c r="I25" s="93">
        <f>'BS-Reorg'!H7/'IS-Reorg'!H4*365</f>
        <v>48.326857343188529</v>
      </c>
      <c r="J25" s="93">
        <f>'BS-Reorg'!I7/'IS-Reorg'!I4*365</f>
        <v>53.407761072734658</v>
      </c>
      <c r="K25" s="93">
        <f>'BS-Reorg'!J7/'IS-Reorg'!J4*365</f>
        <v>47.438860630722282</v>
      </c>
      <c r="L25" s="93">
        <f>'BS-Reorg'!K7/'IS-Reorg'!K4*365</f>
        <v>51.689313772647111</v>
      </c>
      <c r="M25" s="6" t="s">
        <v>462</v>
      </c>
    </row>
    <row r="26" spans="1:13" x14ac:dyDescent="0.2">
      <c r="A26" s="37" t="s">
        <v>404</v>
      </c>
      <c r="B26" s="37" t="s">
        <v>430</v>
      </c>
      <c r="C26" s="93">
        <f>'BS-Reorg'!B11/'IS-Reorg'!B6*365</f>
        <v>90.45501134782927</v>
      </c>
      <c r="D26" s="93">
        <f>'BS-Reorg'!C11/'IS-Reorg'!C6*365</f>
        <v>101.88983461352156</v>
      </c>
      <c r="E26" s="93">
        <f>'BS-Reorg'!D11/'IS-Reorg'!D6*365</f>
        <v>105.62669848213693</v>
      </c>
      <c r="F26" s="93">
        <f>'BS-Reorg'!E11/'IS-Reorg'!E6*365</f>
        <v>99.02933648355976</v>
      </c>
      <c r="G26" s="93">
        <f>'BS-Reorg'!F11/'IS-Reorg'!F6*365</f>
        <v>105.46932515337423</v>
      </c>
      <c r="H26" s="93">
        <f>'BS-Reorg'!G11/'IS-Reorg'!G6*365</f>
        <v>108.12485143807939</v>
      </c>
      <c r="I26" s="93">
        <f>'BS-Reorg'!H11/'IS-Reorg'!H6*365</f>
        <v>112.48164295548418</v>
      </c>
      <c r="J26" s="93">
        <f>'BS-Reorg'!I11/'IS-Reorg'!I6*365</f>
        <v>105.8188768009409</v>
      </c>
      <c r="K26" s="93">
        <f>'BS-Reorg'!J11/'IS-Reorg'!J6*365</f>
        <v>101.70823600331551</v>
      </c>
      <c r="L26" s="93">
        <f>'BS-Reorg'!K11/'IS-Reorg'!K6*365</f>
        <v>97.084059866317943</v>
      </c>
      <c r="M26" s="6" t="s">
        <v>452</v>
      </c>
    </row>
    <row r="27" spans="1:13" x14ac:dyDescent="0.2">
      <c r="A27" s="37" t="s">
        <v>405</v>
      </c>
      <c r="B27" s="37" t="s">
        <v>431</v>
      </c>
      <c r="C27" s="93">
        <f>'BS-Reorg'!B43/'IS-Reorg'!B6*365</f>
        <v>48.046709129511676</v>
      </c>
      <c r="D27" s="93">
        <f>'BS-Reorg'!C43/'IS-Reorg'!C6*365</f>
        <v>49.126358037506058</v>
      </c>
      <c r="E27" s="93">
        <f>'BS-Reorg'!D43/'IS-Reorg'!D6*365</f>
        <v>54.821369390866309</v>
      </c>
      <c r="F27" s="93">
        <f>'BS-Reorg'!E43/'IS-Reorg'!E6*365</f>
        <v>53.371398569272166</v>
      </c>
      <c r="G27" s="93">
        <f>'BS-Reorg'!F43/'IS-Reorg'!F6*365</f>
        <v>63.719495569188823</v>
      </c>
      <c r="H27" s="93">
        <f>'BS-Reorg'!G43/'IS-Reorg'!G6*365</f>
        <v>64.939980984074168</v>
      </c>
      <c r="I27" s="93">
        <f>'BS-Reorg'!H43/'IS-Reorg'!H6*365</f>
        <v>66.647257916475453</v>
      </c>
      <c r="J27" s="93">
        <f>'BS-Reorg'!I43/'IS-Reorg'!I6*365</f>
        <v>74.481034989708903</v>
      </c>
      <c r="K27" s="93">
        <f>'BS-Reorg'!J43/'IS-Reorg'!J6*365</f>
        <v>73.159520759550901</v>
      </c>
      <c r="L27" s="93">
        <f>'BS-Reorg'!K43/'IS-Reorg'!K6*365</f>
        <v>71.652862539959315</v>
      </c>
      <c r="M27" s="6" t="s">
        <v>453</v>
      </c>
    </row>
    <row r="28" spans="1:13" x14ac:dyDescent="0.2">
      <c r="A28" s="37" t="s">
        <v>406</v>
      </c>
      <c r="B28" s="37" t="s">
        <v>432</v>
      </c>
      <c r="C28" s="93">
        <f>'BS-Reorg'!B7/'IS-Reorg'!B4*365+'BS-Reorg'!B11/'IS-Reorg'!B6*365-'BS-Reorg'!B43/'IS-Reorg'!B6*365</f>
        <v>95.650854279163184</v>
      </c>
      <c r="D28" s="93">
        <f>'BS-Reorg'!C7/'IS-Reorg'!C4*365+'BS-Reorg'!C11/'IS-Reorg'!C6*365-'BS-Reorg'!C43/'IS-Reorg'!C6*365</f>
        <v>109.38649834055414</v>
      </c>
      <c r="E28" s="93">
        <f>'BS-Reorg'!D7/'IS-Reorg'!D4*365+'BS-Reorg'!D11/'IS-Reorg'!D6*365-'BS-Reorg'!D43/'IS-Reorg'!D6*365</f>
        <v>106.72780734550533</v>
      </c>
      <c r="F28" s="93">
        <f>'BS-Reorg'!E7/'IS-Reorg'!E4*365+'BS-Reorg'!E11/'IS-Reorg'!E6*365-'BS-Reorg'!E43/'IS-Reorg'!E6*365</f>
        <v>100.07401334371252</v>
      </c>
      <c r="G28" s="93">
        <f>'BS-Reorg'!F7/'IS-Reorg'!F4*365+'BS-Reorg'!F11/'IS-Reorg'!F6*365-'BS-Reorg'!F43/'IS-Reorg'!F6*365</f>
        <v>95.109418199646498</v>
      </c>
      <c r="H28" s="93">
        <f>'BS-Reorg'!G7/'IS-Reorg'!G4*365+'BS-Reorg'!G11/'IS-Reorg'!G6*365-'BS-Reorg'!G43/'IS-Reorg'!G6*365</f>
        <v>91.294048788045671</v>
      </c>
      <c r="I28" s="93">
        <f>'BS-Reorg'!H7/'IS-Reorg'!H4*365+'BS-Reorg'!H11/'IS-Reorg'!H6*365-'BS-Reorg'!H43/'IS-Reorg'!H6*365</f>
        <v>94.161242382197244</v>
      </c>
      <c r="J28" s="93">
        <f>'BS-Reorg'!I7/'IS-Reorg'!I4*365+'BS-Reorg'!I11/'IS-Reorg'!I6*365-'BS-Reorg'!I43/'IS-Reorg'!I6*365</f>
        <v>84.74560288396664</v>
      </c>
      <c r="K28" s="93">
        <f>'BS-Reorg'!J7/'IS-Reorg'!J4*365+'BS-Reorg'!J11/'IS-Reorg'!J6*365-'BS-Reorg'!J43/'IS-Reorg'!J6*365</f>
        <v>75.987575874486879</v>
      </c>
      <c r="L28" s="93">
        <f>'BS-Reorg'!K7/'IS-Reorg'!K4*365+'BS-Reorg'!K11/'IS-Reorg'!K6*365-'BS-Reorg'!K43/'IS-Reorg'!K6*365</f>
        <v>77.120511099005725</v>
      </c>
      <c r="M28" s="6" t="s">
        <v>454</v>
      </c>
    </row>
    <row r="30" spans="1:13" x14ac:dyDescent="0.2">
      <c r="A30" s="49" t="s">
        <v>436</v>
      </c>
    </row>
    <row r="31" spans="1:13" x14ac:dyDescent="0.2">
      <c r="A31" s="182" t="s">
        <v>407</v>
      </c>
      <c r="B31" s="37" t="s">
        <v>439</v>
      </c>
      <c r="C31" s="45">
        <f>'3M-CFS'!K25/'IS-Reorg'!B4</f>
        <v>0.22126274535853066</v>
      </c>
      <c r="D31" s="45">
        <f>'3M-CFS'!J25/'IS-Reorg'!C4</f>
        <v>0.19711280285560856</v>
      </c>
      <c r="E31" s="45">
        <f>'3M-CFS'!I25/'IS-Reorg'!D4</f>
        <v>0.19652067755226613</v>
      </c>
      <c r="F31" s="45">
        <f>'3M-CFS'!H25/'IS-Reorg'!E4</f>
        <v>0.22000248941996514</v>
      </c>
      <c r="G31" s="45">
        <f>'3M-CFS'!G25/'IS-Reorg'!F4</f>
        <v>0.25208177976634355</v>
      </c>
      <c r="H31" s="45">
        <f>'3M-CFS'!F25/'IS-Reorg'!G4</f>
        <v>0.2108329797765521</v>
      </c>
      <c r="I31" s="45">
        <f>'3M-CFS'!E25/'IS-Reorg'!H4</f>
        <v>0.16334102661485875</v>
      </c>
      <c r="J31" s="45">
        <f>'3M-CFS'!D25/'IS-Reorg'!I4</f>
        <v>0.27143437626980904</v>
      </c>
      <c r="K31" s="45">
        <f>'3M-CFS'!C25/'IS-Reorg'!J4</f>
        <v>7.4018311291963373E-2</v>
      </c>
      <c r="L31" s="45">
        <f>'3M-CFS'!B25/'IS-Reorg'!K4</f>
        <v>9.2432259098925759E-2</v>
      </c>
      <c r="M31" s="6" t="s">
        <v>463</v>
      </c>
    </row>
    <row r="32" spans="1:13" x14ac:dyDescent="0.2">
      <c r="A32" s="182" t="s">
        <v>408</v>
      </c>
      <c r="B32" s="37" t="s">
        <v>440</v>
      </c>
      <c r="C32" s="45">
        <f>'3M-CFS'!K56/'IS-Reorg'!B4</f>
        <v>0.1741007672124614</v>
      </c>
      <c r="D32" s="45">
        <f>'3M-CFS'!J56/'IS-Reorg'!C4</f>
        <v>0.15374166850933443</v>
      </c>
      <c r="E32" s="45">
        <f>'3M-CFS'!I56/'IS-Reorg'!D4</f>
        <v>0.14839005035861438</v>
      </c>
      <c r="F32" s="45">
        <f>'3M-CFS'!H56/'IS-Reorg'!E4</f>
        <v>0.16713343291013194</v>
      </c>
      <c r="G32" s="45">
        <f>'3M-CFS'!G56/'IS-Reorg'!F4</f>
        <v>0.20544369873228935</v>
      </c>
      <c r="H32" s="45">
        <f>'3M-CFS'!F56/'IS-Reorg'!G4</f>
        <v>0.16549285815301937</v>
      </c>
      <c r="I32" s="45">
        <f>'3M-CFS'!E56/'IS-Reorg'!H4</f>
        <v>0.11224400362265916</v>
      </c>
      <c r="J32" s="45">
        <f>'3M-CFS'!D56/'IS-Reorg'!I4</f>
        <v>0.20581064607882973</v>
      </c>
      <c r="K32" s="45">
        <f>'3M-CFS'!C56/'IS-Reorg'!J4</f>
        <v>2.5961342828077313E-2</v>
      </c>
      <c r="L32" s="45">
        <f>'3M-CFS'!B56/'IS-Reorg'!K4</f>
        <v>5.5956389289722623E-2</v>
      </c>
      <c r="M32" s="6" t="s">
        <v>464</v>
      </c>
    </row>
    <row r="33" spans="1:13" x14ac:dyDescent="0.2">
      <c r="A33" s="182" t="s">
        <v>409</v>
      </c>
      <c r="B33" s="37" t="s">
        <v>441</v>
      </c>
      <c r="C33" s="45">
        <f>ABS('3M-CFS'!K27)/'IS-Reorg'!B4</f>
        <v>4.7161978146069282E-2</v>
      </c>
      <c r="D33" s="45">
        <f>ABS('3M-CFS'!J27)/'IS-Reorg'!C4</f>
        <v>4.3371134346274126E-2</v>
      </c>
      <c r="E33" s="45">
        <f>ABS('3M-CFS'!I27)/'IS-Reorg'!D4</f>
        <v>4.8130627193651764E-2</v>
      </c>
      <c r="F33" s="45">
        <f>ABS('3M-CFS'!H27)/'IS-Reorg'!E4</f>
        <v>5.2869056509833208E-2</v>
      </c>
      <c r="G33" s="45">
        <f>ABS('3M-CFS'!G27)/'IS-Reorg'!F4</f>
        <v>4.6638081034054188E-2</v>
      </c>
      <c r="H33" s="45">
        <f>ABS('3M-CFS'!F27)/'IS-Reorg'!G4</f>
        <v>4.5340121623532736E-2</v>
      </c>
      <c r="I33" s="45">
        <f>ABS('3M-CFS'!E27)/'IS-Reorg'!H4</f>
        <v>5.1097022992199599E-2</v>
      </c>
      <c r="J33" s="45">
        <f>ABS('3M-CFS'!D27)/'IS-Reorg'!I4</f>
        <v>6.5623730190979279E-2</v>
      </c>
      <c r="K33" s="45">
        <f>ABS('3M-CFS'!C27)/'IS-Reorg'!J4</f>
        <v>4.805696846388606E-2</v>
      </c>
      <c r="L33" s="45">
        <f>ABS('3M-CFS'!B27)/'IS-Reorg'!K4</f>
        <v>3.6475869809203143E-2</v>
      </c>
      <c r="M33" s="6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1409-725E-4DD2-AE81-D80C36267556}">
  <sheetPr>
    <outlinePr summaryBelow="0" summaryRight="0"/>
  </sheetPr>
  <dimension ref="A1:K88"/>
  <sheetViews>
    <sheetView zoomScale="88" workbookViewId="0">
      <selection activeCell="A3" sqref="A3"/>
    </sheetView>
  </sheetViews>
  <sheetFormatPr defaultColWidth="9.140625" defaultRowHeight="15" customHeight="1" outlineLevelRow="3" x14ac:dyDescent="0.2"/>
  <cols>
    <col min="1" max="1" width="65.85546875" style="6" customWidth="1"/>
    <col min="2" max="11" width="8" style="6" customWidth="1"/>
    <col min="12" max="16384" width="9.140625" style="6"/>
  </cols>
  <sheetData>
    <row r="1" spans="1:11" ht="15" customHeight="1" x14ac:dyDescent="0.2">
      <c r="A1" s="50" t="s">
        <v>66</v>
      </c>
    </row>
    <row r="2" spans="1:11" ht="15" customHeight="1" x14ac:dyDescent="0.2">
      <c r="A2" s="51"/>
    </row>
    <row r="3" spans="1:11" ht="15" customHeight="1" x14ac:dyDescent="0.2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15" customHeight="1" x14ac:dyDescent="0.2">
      <c r="B4" s="42">
        <f>B45-B35-B11</f>
        <v>31639</v>
      </c>
      <c r="C4" s="42">
        <f t="shared" ref="C4:K4" si="0">C45-C35-C11</f>
        <v>29557</v>
      </c>
      <c r="D4" s="42">
        <f t="shared" si="0"/>
        <v>44574</v>
      </c>
      <c r="E4" s="42">
        <f t="shared" si="0"/>
        <v>41586</v>
      </c>
      <c r="F4" s="42">
        <f t="shared" si="0"/>
        <v>42004</v>
      </c>
      <c r="G4" s="42">
        <f t="shared" si="0"/>
        <v>42082</v>
      </c>
      <c r="H4" s="42">
        <f t="shared" si="0"/>
        <v>41475</v>
      </c>
      <c r="I4" s="42">
        <f t="shared" si="0"/>
        <v>33021</v>
      </c>
      <c r="J4" s="42">
        <f t="shared" si="0"/>
        <v>33667</v>
      </c>
      <c r="K4" s="42">
        <f t="shared" si="0"/>
        <v>29972</v>
      </c>
    </row>
    <row r="5" spans="1:11" ht="15" customHeight="1" x14ac:dyDescent="0.2">
      <c r="A5" s="8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15" customHeight="1" x14ac:dyDescent="0.2">
      <c r="A6" s="8" t="s">
        <v>1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5" customHeight="1" x14ac:dyDescent="0.2">
      <c r="A7" s="8" t="s">
        <v>2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15" customHeight="1" x14ac:dyDescent="0.2">
      <c r="A8" s="8"/>
      <c r="B8" s="8" t="s">
        <v>3</v>
      </c>
      <c r="C8" s="8" t="s">
        <v>4</v>
      </c>
      <c r="D8" s="8" t="s">
        <v>5</v>
      </c>
      <c r="E8" s="8" t="s">
        <v>6</v>
      </c>
      <c r="F8" s="8" t="s">
        <v>7</v>
      </c>
      <c r="G8" s="8" t="s">
        <v>8</v>
      </c>
      <c r="H8" s="8" t="s">
        <v>9</v>
      </c>
      <c r="I8" s="8" t="s">
        <v>10</v>
      </c>
      <c r="J8" s="8" t="s">
        <v>11</v>
      </c>
      <c r="K8" s="8" t="s">
        <v>12</v>
      </c>
    </row>
    <row r="9" spans="1:11" ht="15" customHeight="1" x14ac:dyDescent="0.2">
      <c r="A9" s="8"/>
      <c r="B9" s="8"/>
      <c r="C9" s="8"/>
      <c r="D9" s="8" t="s">
        <v>13</v>
      </c>
      <c r="E9" s="8"/>
      <c r="F9" s="8"/>
      <c r="G9" s="8" t="s">
        <v>13</v>
      </c>
      <c r="H9" s="8"/>
      <c r="I9" s="8"/>
      <c r="J9" s="8" t="s">
        <v>13</v>
      </c>
      <c r="K9" s="8"/>
    </row>
    <row r="10" spans="1:11" ht="15" customHeight="1" x14ac:dyDescent="0.2">
      <c r="A10" s="9" t="s">
        <v>113</v>
      </c>
      <c r="B10" s="43"/>
      <c r="C10" s="9"/>
      <c r="D10" s="9"/>
      <c r="E10" s="9"/>
      <c r="F10" s="9"/>
      <c r="G10" s="9"/>
      <c r="H10" s="9"/>
      <c r="I10" s="9"/>
      <c r="J10" s="9"/>
      <c r="K10" s="9"/>
    </row>
    <row r="11" spans="1:11" ht="15" customHeight="1" outlineLevel="1" x14ac:dyDescent="0.2">
      <c r="A11" s="11" t="s">
        <v>114</v>
      </c>
      <c r="B11" s="12">
        <v>5933</v>
      </c>
      <c r="C11" s="12">
        <v>7728</v>
      </c>
      <c r="D11" s="12">
        <v>5785</v>
      </c>
      <c r="E11" s="12">
        <v>3893</v>
      </c>
      <c r="F11" s="12">
        <v>4765</v>
      </c>
      <c r="G11" s="12">
        <v>5038</v>
      </c>
      <c r="H11" s="12">
        <v>2921</v>
      </c>
      <c r="I11" s="12">
        <v>3233</v>
      </c>
      <c r="J11" s="12">
        <v>4129</v>
      </c>
      <c r="K11" s="12">
        <v>2678</v>
      </c>
    </row>
    <row r="12" spans="1:11" ht="15" customHeight="1" outlineLevel="2" x14ac:dyDescent="0.2">
      <c r="A12" s="5" t="s">
        <v>115</v>
      </c>
      <c r="B12" s="13">
        <v>5235</v>
      </c>
      <c r="C12" s="13">
        <v>5600</v>
      </c>
      <c r="D12" s="13">
        <v>5735</v>
      </c>
      <c r="E12" s="13">
        <v>3655</v>
      </c>
      <c r="F12" s="13">
        <v>4564</v>
      </c>
      <c r="G12" s="13">
        <v>4634</v>
      </c>
      <c r="H12" s="13">
        <v>2353</v>
      </c>
      <c r="I12" s="13">
        <v>2853</v>
      </c>
      <c r="J12" s="13">
        <v>3053</v>
      </c>
      <c r="K12" s="13">
        <v>2398</v>
      </c>
    </row>
    <row r="13" spans="1:11" ht="15" customHeight="1" outlineLevel="2" x14ac:dyDescent="0.2">
      <c r="A13" s="17" t="s">
        <v>116</v>
      </c>
      <c r="B13" s="16">
        <v>698</v>
      </c>
      <c r="C13" s="16">
        <v>2128</v>
      </c>
      <c r="D13" s="16">
        <v>50</v>
      </c>
      <c r="E13" s="16">
        <v>238</v>
      </c>
      <c r="F13" s="16">
        <v>201</v>
      </c>
      <c r="G13" s="16">
        <v>404</v>
      </c>
      <c r="H13" s="16">
        <v>568</v>
      </c>
      <c r="I13" s="16">
        <v>380</v>
      </c>
      <c r="J13" s="16">
        <v>1076</v>
      </c>
      <c r="K13" s="16">
        <v>280</v>
      </c>
    </row>
    <row r="14" spans="1:11" ht="15" customHeight="1" outlineLevel="1" x14ac:dyDescent="0.2">
      <c r="A14" s="117" t="s">
        <v>117</v>
      </c>
      <c r="B14" s="10">
        <v>3533</v>
      </c>
      <c r="C14" s="10">
        <v>3194</v>
      </c>
      <c r="D14" s="10">
        <v>3601</v>
      </c>
      <c r="E14" s="10">
        <v>4532</v>
      </c>
      <c r="F14" s="10">
        <v>4660</v>
      </c>
      <c r="G14" s="10">
        <v>4705</v>
      </c>
      <c r="H14" s="10">
        <v>4791</v>
      </c>
      <c r="I14" s="10">
        <v>5020</v>
      </c>
      <c r="J14" s="10">
        <v>4911</v>
      </c>
      <c r="K14" s="10">
        <v>4392</v>
      </c>
    </row>
    <row r="15" spans="1:11" ht="15" customHeight="1" outlineLevel="2" x14ac:dyDescent="0.2">
      <c r="A15" s="115" t="s">
        <v>118</v>
      </c>
      <c r="B15" s="12">
        <v>3533</v>
      </c>
      <c r="C15" s="12">
        <v>3194</v>
      </c>
      <c r="D15" s="12">
        <v>3601</v>
      </c>
      <c r="E15" s="12">
        <v>4532</v>
      </c>
      <c r="F15" s="12">
        <v>4660</v>
      </c>
      <c r="G15" s="12">
        <v>4705</v>
      </c>
      <c r="H15" s="12">
        <v>4791</v>
      </c>
      <c r="I15" s="12">
        <v>5020</v>
      </c>
      <c r="J15" s="12">
        <v>4911</v>
      </c>
      <c r="K15" s="12">
        <v>4392</v>
      </c>
    </row>
    <row r="16" spans="1:11" ht="15" customHeight="1" outlineLevel="3" x14ac:dyDescent="0.2">
      <c r="A16" s="116" t="s">
        <v>119</v>
      </c>
      <c r="B16" s="13">
        <v>3594</v>
      </c>
      <c r="C16" s="13">
        <v>3254</v>
      </c>
      <c r="D16" s="13">
        <v>3663</v>
      </c>
      <c r="E16" s="13">
        <v>4706</v>
      </c>
      <c r="F16" s="13">
        <v>4849</v>
      </c>
      <c r="G16" s="13">
        <v>4938</v>
      </c>
      <c r="H16" s="13">
        <v>4952</v>
      </c>
      <c r="I16" s="13">
        <v>5115</v>
      </c>
      <c r="J16" s="13">
        <v>5014</v>
      </c>
      <c r="K16" s="13">
        <v>4480</v>
      </c>
    </row>
    <row r="17" spans="1:11" ht="15" customHeight="1" outlineLevel="3" x14ac:dyDescent="0.2">
      <c r="A17" s="116" t="s">
        <v>120</v>
      </c>
      <c r="B17" s="18">
        <v>-61</v>
      </c>
      <c r="C17" s="18">
        <v>-60</v>
      </c>
      <c r="D17" s="18">
        <v>-62</v>
      </c>
      <c r="E17" s="18">
        <v>-174</v>
      </c>
      <c r="F17" s="18">
        <v>-189</v>
      </c>
      <c r="G17" s="18">
        <v>-233</v>
      </c>
      <c r="H17" s="18">
        <v>-161</v>
      </c>
      <c r="I17" s="18">
        <v>-95</v>
      </c>
      <c r="J17" s="18">
        <v>-103</v>
      </c>
      <c r="K17" s="18">
        <v>-88</v>
      </c>
    </row>
    <row r="18" spans="1:11" ht="15" customHeight="1" outlineLevel="1" x14ac:dyDescent="0.2">
      <c r="A18" s="117" t="s">
        <v>78</v>
      </c>
      <c r="B18" s="10">
        <v>3661</v>
      </c>
      <c r="C18" s="10">
        <v>3698</v>
      </c>
      <c r="D18" s="10">
        <v>3944</v>
      </c>
      <c r="E18" s="10">
        <v>5372</v>
      </c>
      <c r="F18" s="10">
        <v>4985</v>
      </c>
      <c r="G18" s="10">
        <v>4239</v>
      </c>
      <c r="H18" s="10">
        <v>4134</v>
      </c>
      <c r="I18" s="10">
        <v>4366</v>
      </c>
      <c r="J18" s="10">
        <v>4034</v>
      </c>
      <c r="K18" s="10">
        <v>3385</v>
      </c>
    </row>
    <row r="19" spans="1:11" ht="15" customHeight="1" outlineLevel="2" x14ac:dyDescent="0.2">
      <c r="A19" s="114" t="s">
        <v>121</v>
      </c>
      <c r="B19" s="16">
        <v>1744</v>
      </c>
      <c r="C19" s="16">
        <v>1849</v>
      </c>
      <c r="D19" s="16">
        <v>1842</v>
      </c>
      <c r="E19" s="16">
        <v>2497</v>
      </c>
      <c r="F19" s="16">
        <v>2196</v>
      </c>
      <c r="G19" s="16">
        <v>2081</v>
      </c>
      <c r="H19" s="16">
        <v>2003</v>
      </c>
      <c r="I19" s="16">
        <v>2120</v>
      </c>
      <c r="J19" s="16">
        <v>1915</v>
      </c>
      <c r="K19" s="16">
        <v>1629</v>
      </c>
    </row>
    <row r="20" spans="1:11" ht="15" customHeight="1" outlineLevel="2" x14ac:dyDescent="0.2">
      <c r="A20" s="114" t="s">
        <v>122</v>
      </c>
      <c r="B20" s="13">
        <v>1126</v>
      </c>
      <c r="C20" s="13">
        <v>1051</v>
      </c>
      <c r="D20" s="13">
        <v>1242</v>
      </c>
      <c r="E20" s="13">
        <v>1606</v>
      </c>
      <c r="F20" s="13">
        <v>1577</v>
      </c>
      <c r="G20" s="13">
        <v>1226</v>
      </c>
      <c r="H20" s="13">
        <v>1194</v>
      </c>
      <c r="I20" s="13">
        <v>1292</v>
      </c>
      <c r="J20" s="13">
        <v>1218</v>
      </c>
      <c r="K20" s="13">
        <v>1039</v>
      </c>
    </row>
    <row r="21" spans="1:11" ht="15" customHeight="1" outlineLevel="2" x14ac:dyDescent="0.2">
      <c r="A21" s="114" t="s">
        <v>123</v>
      </c>
      <c r="B21" s="16">
        <v>791</v>
      </c>
      <c r="C21" s="16">
        <v>798</v>
      </c>
      <c r="D21" s="16">
        <v>860</v>
      </c>
      <c r="E21" s="16">
        <v>1269</v>
      </c>
      <c r="F21" s="16">
        <v>1212</v>
      </c>
      <c r="G21" s="16">
        <v>932</v>
      </c>
      <c r="H21" s="16">
        <v>937</v>
      </c>
      <c r="I21" s="16">
        <v>954</v>
      </c>
      <c r="J21" s="16">
        <v>901</v>
      </c>
      <c r="K21" s="16">
        <v>717</v>
      </c>
    </row>
    <row r="22" spans="1:11" ht="15" customHeight="1" outlineLevel="1" x14ac:dyDescent="0.2">
      <c r="A22" s="117" t="s">
        <v>124</v>
      </c>
      <c r="B22" s="10">
        <v>3260</v>
      </c>
      <c r="C22" s="10">
        <v>1264</v>
      </c>
      <c r="D22" s="10">
        <v>3049</v>
      </c>
      <c r="E22" s="10">
        <v>891</v>
      </c>
      <c r="F22" s="10">
        <v>993</v>
      </c>
      <c r="G22" s="10">
        <v>1000</v>
      </c>
      <c r="H22" s="10">
        <v>1125</v>
      </c>
      <c r="I22" s="10">
        <v>1090</v>
      </c>
      <c r="J22" s="10">
        <v>1203</v>
      </c>
      <c r="K22" s="10">
        <v>1271</v>
      </c>
    </row>
    <row r="23" spans="1:11" ht="15" customHeight="1" outlineLevel="2" x14ac:dyDescent="0.2">
      <c r="A23" s="114" t="s">
        <v>125</v>
      </c>
      <c r="B23" s="16">
        <v>391</v>
      </c>
      <c r="C23" s="16">
        <v>436</v>
      </c>
      <c r="D23" s="16">
        <v>344</v>
      </c>
      <c r="E23" s="16">
        <v>435</v>
      </c>
      <c r="F23" s="16">
        <v>654</v>
      </c>
      <c r="G23" s="16">
        <v>675</v>
      </c>
      <c r="H23" s="16">
        <v>704</v>
      </c>
      <c r="I23" s="16">
        <v>741</v>
      </c>
      <c r="J23" s="16">
        <v>937</v>
      </c>
      <c r="K23" s="21"/>
    </row>
    <row r="24" spans="1:11" ht="15" customHeight="1" outlineLevel="2" x14ac:dyDescent="0.2">
      <c r="A24" s="114" t="s">
        <v>126</v>
      </c>
      <c r="B24" s="13">
        <v>2869</v>
      </c>
      <c r="C24" s="13">
        <v>828</v>
      </c>
      <c r="D24" s="13">
        <v>2705</v>
      </c>
      <c r="E24" s="13">
        <v>456</v>
      </c>
      <c r="F24" s="13">
        <v>339</v>
      </c>
      <c r="G24" s="13">
        <v>325</v>
      </c>
      <c r="H24" s="13">
        <v>421</v>
      </c>
      <c r="I24" s="13">
        <v>349</v>
      </c>
      <c r="J24" s="13">
        <v>266</v>
      </c>
      <c r="K24" s="13">
        <v>1271</v>
      </c>
    </row>
    <row r="25" spans="1:11" ht="15" customHeight="1" outlineLevel="1" x14ac:dyDescent="0.2">
      <c r="A25" s="118" t="s">
        <v>127</v>
      </c>
      <c r="B25" s="16">
        <v>16387</v>
      </c>
      <c r="C25" s="16">
        <v>15884</v>
      </c>
      <c r="D25" s="16">
        <v>16379</v>
      </c>
      <c r="E25" s="16">
        <v>14688</v>
      </c>
      <c r="F25" s="16">
        <v>15403</v>
      </c>
      <c r="G25" s="16">
        <v>14982</v>
      </c>
      <c r="H25" s="16">
        <v>12971</v>
      </c>
      <c r="I25" s="16">
        <v>13709</v>
      </c>
      <c r="J25" s="16">
        <v>14277</v>
      </c>
      <c r="K25" s="16">
        <v>11726</v>
      </c>
    </row>
    <row r="26" spans="1:11" ht="15" customHeight="1" outlineLevel="1" x14ac:dyDescent="0.2">
      <c r="A26" s="117" t="s">
        <v>128</v>
      </c>
      <c r="B26" s="10">
        <v>7617</v>
      </c>
      <c r="C26" s="10">
        <v>7953</v>
      </c>
      <c r="D26" s="10">
        <v>8347</v>
      </c>
      <c r="E26" s="10">
        <v>10007</v>
      </c>
      <c r="F26" s="10">
        <v>10287</v>
      </c>
      <c r="G26" s="10">
        <v>10285</v>
      </c>
      <c r="H26" s="10">
        <v>10191</v>
      </c>
      <c r="I26" s="10">
        <v>8738</v>
      </c>
      <c r="J26" s="10">
        <v>8866</v>
      </c>
      <c r="K26" s="10">
        <v>8516</v>
      </c>
    </row>
    <row r="27" spans="1:11" ht="15" customHeight="1" outlineLevel="2" x14ac:dyDescent="0.2">
      <c r="A27" s="115" t="s">
        <v>129</v>
      </c>
      <c r="B27" s="12">
        <v>24438</v>
      </c>
      <c r="C27" s="12">
        <v>23971</v>
      </c>
      <c r="D27" s="12">
        <v>24151</v>
      </c>
      <c r="E27" s="12">
        <v>26827</v>
      </c>
      <c r="F27" s="12">
        <v>28071</v>
      </c>
      <c r="G27" s="12">
        <v>27514</v>
      </c>
      <c r="H27" s="12">
        <v>26982</v>
      </c>
      <c r="I27" s="12">
        <v>24873</v>
      </c>
      <c r="J27" s="12">
        <v>24914</v>
      </c>
      <c r="K27" s="12">
        <v>23499</v>
      </c>
    </row>
    <row r="28" spans="1:11" ht="15" customHeight="1" outlineLevel="3" x14ac:dyDescent="0.2">
      <c r="A28" s="116" t="s">
        <v>130</v>
      </c>
      <c r="B28" s="13">
        <v>7729</v>
      </c>
      <c r="C28" s="13">
        <v>7432</v>
      </c>
      <c r="D28" s="13">
        <v>7031</v>
      </c>
      <c r="E28" s="13">
        <v>7560</v>
      </c>
      <c r="F28" s="13">
        <v>8086</v>
      </c>
      <c r="G28" s="13">
        <v>8021</v>
      </c>
      <c r="H28" s="13">
        <v>7877</v>
      </c>
      <c r="I28" s="13">
        <v>7517</v>
      </c>
      <c r="J28" s="13">
        <v>7681</v>
      </c>
      <c r="K28" s="13">
        <v>7252</v>
      </c>
    </row>
    <row r="29" spans="1:11" ht="15" customHeight="1" outlineLevel="3" x14ac:dyDescent="0.2">
      <c r="A29" s="116" t="s">
        <v>131</v>
      </c>
      <c r="B29" s="16">
        <v>202</v>
      </c>
      <c r="C29" s="16">
        <v>200</v>
      </c>
      <c r="D29" s="16">
        <v>215</v>
      </c>
      <c r="E29" s="16">
        <v>255</v>
      </c>
      <c r="F29" s="16">
        <v>312</v>
      </c>
      <c r="G29" s="16">
        <v>338</v>
      </c>
      <c r="H29" s="16">
        <v>351</v>
      </c>
      <c r="I29" s="16">
        <v>340</v>
      </c>
      <c r="J29" s="16">
        <v>348</v>
      </c>
      <c r="K29" s="16">
        <v>341</v>
      </c>
    </row>
    <row r="30" spans="1:11" ht="15" customHeight="1" outlineLevel="3" x14ac:dyDescent="0.2">
      <c r="A30" s="116" t="s">
        <v>132</v>
      </c>
      <c r="B30" s="13">
        <v>15328</v>
      </c>
      <c r="C30" s="13">
        <v>14780</v>
      </c>
      <c r="D30" s="13">
        <v>14716</v>
      </c>
      <c r="E30" s="13">
        <v>16455</v>
      </c>
      <c r="F30" s="13">
        <v>17305</v>
      </c>
      <c r="G30" s="13">
        <v>16866</v>
      </c>
      <c r="H30" s="13">
        <v>16586</v>
      </c>
      <c r="I30" s="13">
        <v>15680</v>
      </c>
      <c r="J30" s="13">
        <v>15907</v>
      </c>
      <c r="K30" s="13">
        <v>14935</v>
      </c>
    </row>
    <row r="31" spans="1:11" ht="15" customHeight="1" outlineLevel="3" x14ac:dyDescent="0.2">
      <c r="A31" s="116" t="s">
        <v>133</v>
      </c>
      <c r="B31" s="16">
        <v>663</v>
      </c>
      <c r="C31" s="16">
        <v>994</v>
      </c>
      <c r="D31" s="16">
        <v>1532</v>
      </c>
      <c r="E31" s="16">
        <v>1728</v>
      </c>
      <c r="F31" s="16">
        <v>1510</v>
      </c>
      <c r="G31" s="16">
        <v>1425</v>
      </c>
      <c r="H31" s="16">
        <v>1310</v>
      </c>
      <c r="I31" s="16">
        <v>1193</v>
      </c>
      <c r="J31" s="16">
        <v>843</v>
      </c>
      <c r="K31" s="16">
        <v>809</v>
      </c>
    </row>
    <row r="32" spans="1:11" ht="15" customHeight="1" outlineLevel="3" x14ac:dyDescent="0.2">
      <c r="A32" s="116" t="s">
        <v>134</v>
      </c>
      <c r="B32" s="24"/>
      <c r="C32" s="24"/>
      <c r="D32" s="24"/>
      <c r="E32" s="24"/>
      <c r="F32" s="24"/>
      <c r="G32" s="24"/>
      <c r="H32" s="24"/>
      <c r="I32" s="13">
        <v>143</v>
      </c>
      <c r="J32" s="13">
        <v>135</v>
      </c>
      <c r="K32" s="13">
        <v>162</v>
      </c>
    </row>
    <row r="33" spans="1:11" ht="15" customHeight="1" outlineLevel="3" x14ac:dyDescent="0.2">
      <c r="A33" s="116" t="s">
        <v>135</v>
      </c>
      <c r="B33" s="16">
        <v>516</v>
      </c>
      <c r="C33" s="16">
        <v>565</v>
      </c>
      <c r="D33" s="16">
        <v>657</v>
      </c>
      <c r="E33" s="16">
        <v>829</v>
      </c>
      <c r="F33" s="16">
        <v>858</v>
      </c>
      <c r="G33" s="16">
        <v>864</v>
      </c>
      <c r="H33" s="16">
        <v>858</v>
      </c>
      <c r="I33" s="21"/>
      <c r="J33" s="21"/>
      <c r="K33" s="21"/>
    </row>
    <row r="34" spans="1:11" ht="15" customHeight="1" outlineLevel="2" x14ac:dyDescent="0.2">
      <c r="A34" s="114" t="s">
        <v>136</v>
      </c>
      <c r="B34" s="13">
        <v>16821</v>
      </c>
      <c r="C34" s="13">
        <v>16018</v>
      </c>
      <c r="D34" s="13">
        <v>15804</v>
      </c>
      <c r="E34" s="13">
        <v>16820</v>
      </c>
      <c r="F34" s="13">
        <v>17784</v>
      </c>
      <c r="G34" s="13">
        <v>17229</v>
      </c>
      <c r="H34" s="13">
        <v>16791</v>
      </c>
      <c r="I34" s="13">
        <v>16135</v>
      </c>
      <c r="J34" s="13">
        <v>16048</v>
      </c>
      <c r="K34" s="13">
        <v>14983</v>
      </c>
    </row>
    <row r="35" spans="1:11" ht="15" customHeight="1" outlineLevel="1" x14ac:dyDescent="0.2">
      <c r="A35" s="11" t="s">
        <v>137</v>
      </c>
      <c r="B35" s="12">
        <v>161</v>
      </c>
      <c r="C35" s="12">
        <v>2583</v>
      </c>
      <c r="D35" s="12">
        <v>221</v>
      </c>
      <c r="E35" s="12">
        <v>976</v>
      </c>
      <c r="F35" s="12">
        <v>303</v>
      </c>
      <c r="G35" s="12">
        <v>224</v>
      </c>
      <c r="H35" s="12">
        <v>263</v>
      </c>
      <c r="I35" s="12">
        <v>246</v>
      </c>
      <c r="J35" s="12">
        <v>191</v>
      </c>
      <c r="K35" s="12">
        <v>256</v>
      </c>
    </row>
    <row r="36" spans="1:11" ht="15" customHeight="1" outlineLevel="2" x14ac:dyDescent="0.2">
      <c r="A36" s="17" t="s">
        <v>138</v>
      </c>
      <c r="B36" s="24"/>
      <c r="C36" s="13">
        <v>75</v>
      </c>
      <c r="D36" s="13">
        <v>73</v>
      </c>
      <c r="E36" s="13">
        <v>81</v>
      </c>
      <c r="F36" s="13">
        <v>129</v>
      </c>
      <c r="G36" s="13">
        <v>134</v>
      </c>
      <c r="H36" s="13">
        <v>70</v>
      </c>
      <c r="I36" s="13">
        <v>70</v>
      </c>
      <c r="J36" s="13">
        <v>70</v>
      </c>
      <c r="K36" s="13">
        <v>60</v>
      </c>
    </row>
    <row r="37" spans="1:11" ht="15" customHeight="1" outlineLevel="2" x14ac:dyDescent="0.2">
      <c r="A37" s="17" t="s">
        <v>139</v>
      </c>
      <c r="B37" s="16">
        <v>161</v>
      </c>
      <c r="C37" s="16">
        <v>2508</v>
      </c>
      <c r="D37" s="16">
        <v>148</v>
      </c>
      <c r="E37" s="16">
        <v>895</v>
      </c>
      <c r="F37" s="16">
        <v>174</v>
      </c>
      <c r="G37" s="16">
        <v>90</v>
      </c>
      <c r="H37" s="16">
        <v>193</v>
      </c>
      <c r="I37" s="16">
        <v>176</v>
      </c>
      <c r="J37" s="16">
        <v>121</v>
      </c>
      <c r="K37" s="16">
        <v>196</v>
      </c>
    </row>
    <row r="38" spans="1:11" ht="15" customHeight="1" outlineLevel="1" x14ac:dyDescent="0.2">
      <c r="A38" s="117" t="s">
        <v>140</v>
      </c>
      <c r="B38" s="10">
        <v>7522</v>
      </c>
      <c r="C38" s="10">
        <v>7491</v>
      </c>
      <c r="D38" s="10">
        <v>7705</v>
      </c>
      <c r="E38" s="10">
        <v>17489</v>
      </c>
      <c r="F38" s="10">
        <v>18774</v>
      </c>
      <c r="G38" s="10">
        <v>19637</v>
      </c>
      <c r="H38" s="10">
        <v>19823</v>
      </c>
      <c r="I38" s="10">
        <v>12708</v>
      </c>
      <c r="J38" s="10">
        <v>13449</v>
      </c>
      <c r="K38" s="10">
        <v>11486</v>
      </c>
    </row>
    <row r="39" spans="1:11" ht="15" customHeight="1" outlineLevel="2" x14ac:dyDescent="0.2">
      <c r="A39" s="114" t="s">
        <v>33</v>
      </c>
      <c r="B39" s="16">
        <v>6419</v>
      </c>
      <c r="C39" s="16">
        <v>6281</v>
      </c>
      <c r="D39" s="16">
        <v>6382</v>
      </c>
      <c r="E39" s="16">
        <v>12790</v>
      </c>
      <c r="F39" s="16">
        <v>13486</v>
      </c>
      <c r="G39" s="16">
        <v>13802</v>
      </c>
      <c r="H39" s="16">
        <v>13444</v>
      </c>
      <c r="I39" s="16">
        <v>10051</v>
      </c>
      <c r="J39" s="16">
        <v>10513</v>
      </c>
      <c r="K39" s="16">
        <v>9166</v>
      </c>
    </row>
    <row r="40" spans="1:11" ht="15" customHeight="1" outlineLevel="2" x14ac:dyDescent="0.2">
      <c r="A40" s="114" t="s">
        <v>141</v>
      </c>
      <c r="B40" s="13">
        <v>1103</v>
      </c>
      <c r="C40" s="13">
        <v>1210</v>
      </c>
      <c r="D40" s="13">
        <v>1323</v>
      </c>
      <c r="E40" s="13">
        <v>4699</v>
      </c>
      <c r="F40" s="13">
        <v>5288</v>
      </c>
      <c r="G40" s="13">
        <v>5835</v>
      </c>
      <c r="H40" s="13">
        <v>6379</v>
      </c>
      <c r="I40" s="13">
        <v>2657</v>
      </c>
      <c r="J40" s="13">
        <v>2936</v>
      </c>
      <c r="K40" s="13">
        <v>2320</v>
      </c>
    </row>
    <row r="41" spans="1:11" ht="15" customHeight="1" outlineLevel="1" x14ac:dyDescent="0.2">
      <c r="A41" s="118" t="s">
        <v>142</v>
      </c>
      <c r="B41" s="16">
        <v>3826</v>
      </c>
      <c r="C41" s="16">
        <v>4146</v>
      </c>
      <c r="D41" s="16">
        <v>4779</v>
      </c>
      <c r="E41" s="16">
        <v>959</v>
      </c>
      <c r="F41" s="16">
        <v>581</v>
      </c>
      <c r="G41" s="16">
        <v>871</v>
      </c>
      <c r="H41" s="16">
        <v>521</v>
      </c>
      <c r="I41" s="16">
        <v>365</v>
      </c>
      <c r="J41" s="16">
        <v>511</v>
      </c>
      <c r="K41" s="16">
        <v>422</v>
      </c>
    </row>
    <row r="42" spans="1:11" ht="15" customHeight="1" outlineLevel="1" x14ac:dyDescent="0.2">
      <c r="A42" s="117" t="s">
        <v>143</v>
      </c>
      <c r="B42" s="10">
        <v>2220</v>
      </c>
      <c r="C42" s="10">
        <v>1811</v>
      </c>
      <c r="D42" s="10">
        <v>13149</v>
      </c>
      <c r="E42" s="10">
        <v>2336</v>
      </c>
      <c r="F42" s="10">
        <v>1724</v>
      </c>
      <c r="G42" s="10">
        <v>1345</v>
      </c>
      <c r="H42" s="10">
        <v>890</v>
      </c>
      <c r="I42" s="10">
        <v>734</v>
      </c>
      <c r="J42" s="10">
        <v>693</v>
      </c>
      <c r="K42" s="10">
        <v>500</v>
      </c>
    </row>
    <row r="43" spans="1:11" ht="15" customHeight="1" outlineLevel="2" x14ac:dyDescent="0.2">
      <c r="A43" s="114" t="s">
        <v>144</v>
      </c>
      <c r="B43" s="21"/>
      <c r="C43" s="16">
        <v>1243</v>
      </c>
      <c r="D43" s="16">
        <v>1239</v>
      </c>
      <c r="E43" s="16">
        <v>1225</v>
      </c>
      <c r="F43" s="16">
        <v>943</v>
      </c>
      <c r="G43" s="16">
        <v>630</v>
      </c>
      <c r="H43" s="16">
        <v>230</v>
      </c>
      <c r="I43" s="16">
        <v>208</v>
      </c>
      <c r="J43" s="16">
        <v>237</v>
      </c>
      <c r="K43" s="16">
        <v>52</v>
      </c>
    </row>
    <row r="44" spans="1:11" ht="15" customHeight="1" outlineLevel="2" x14ac:dyDescent="0.2">
      <c r="A44" s="114" t="s">
        <v>145</v>
      </c>
      <c r="B44" s="13">
        <v>2220</v>
      </c>
      <c r="C44" s="13">
        <v>568</v>
      </c>
      <c r="D44" s="13">
        <v>11910</v>
      </c>
      <c r="E44" s="13">
        <v>1111</v>
      </c>
      <c r="F44" s="13">
        <v>781</v>
      </c>
      <c r="G44" s="13">
        <v>715</v>
      </c>
      <c r="H44" s="13">
        <v>660</v>
      </c>
      <c r="I44" s="13">
        <v>526</v>
      </c>
      <c r="J44" s="13">
        <v>456</v>
      </c>
      <c r="K44" s="13">
        <v>448</v>
      </c>
    </row>
    <row r="45" spans="1:11" ht="15" customHeight="1" outlineLevel="1" x14ac:dyDescent="0.2">
      <c r="A45" s="25" t="s">
        <v>146</v>
      </c>
      <c r="B45" s="16">
        <v>37733</v>
      </c>
      <c r="C45" s="16">
        <v>39868</v>
      </c>
      <c r="D45" s="16">
        <v>50580</v>
      </c>
      <c r="E45" s="16">
        <v>46455</v>
      </c>
      <c r="F45" s="16">
        <v>47072</v>
      </c>
      <c r="G45" s="16">
        <v>47344</v>
      </c>
      <c r="H45" s="16">
        <v>44659</v>
      </c>
      <c r="I45" s="16">
        <v>36500</v>
      </c>
      <c r="J45" s="16">
        <v>37987</v>
      </c>
      <c r="K45" s="16">
        <v>32906</v>
      </c>
    </row>
    <row r="46" spans="1:11" ht="15" customHeight="1" x14ac:dyDescent="0.2">
      <c r="A46" s="9" t="s">
        <v>147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</row>
    <row r="47" spans="1:11" ht="15" customHeight="1" outlineLevel="1" x14ac:dyDescent="0.2">
      <c r="A47" s="11" t="s">
        <v>148</v>
      </c>
      <c r="B47" s="44">
        <f>B64-B56-B48</f>
        <v>19854</v>
      </c>
      <c r="C47" s="44">
        <f t="shared" ref="C47:K47" si="1">C64-C56-C48</f>
        <v>22315</v>
      </c>
      <c r="D47" s="44">
        <f t="shared" si="1"/>
        <v>28961</v>
      </c>
      <c r="E47" s="44">
        <f t="shared" si="1"/>
        <v>14819</v>
      </c>
      <c r="F47" s="44">
        <f t="shared" si="1"/>
        <v>13638</v>
      </c>
      <c r="G47" s="44">
        <f t="shared" si="1"/>
        <v>14638</v>
      </c>
      <c r="H47" s="44">
        <f t="shared" si="1"/>
        <v>13234</v>
      </c>
      <c r="I47" s="44">
        <f t="shared" si="1"/>
        <v>11955</v>
      </c>
      <c r="J47" s="44">
        <f t="shared" si="1"/>
        <v>12356</v>
      </c>
      <c r="K47" s="44">
        <f t="shared" si="1"/>
        <v>10868</v>
      </c>
    </row>
    <row r="48" spans="1:11" ht="15" customHeight="1" outlineLevel="2" x14ac:dyDescent="0.2">
      <c r="A48" s="5" t="s">
        <v>149</v>
      </c>
      <c r="B48" s="13">
        <v>1837</v>
      </c>
      <c r="C48" s="13">
        <v>2082</v>
      </c>
      <c r="D48" s="13">
        <v>3139</v>
      </c>
      <c r="E48" s="13">
        <v>2210</v>
      </c>
      <c r="F48" s="13">
        <v>1577</v>
      </c>
      <c r="G48" s="13">
        <v>1084</v>
      </c>
      <c r="H48" s="13">
        <v>3063</v>
      </c>
      <c r="I48" s="13">
        <v>1211</v>
      </c>
      <c r="J48" s="13">
        <v>1853</v>
      </c>
      <c r="K48" s="13">
        <v>972</v>
      </c>
    </row>
    <row r="49" spans="1:11" ht="15" customHeight="1" outlineLevel="2" x14ac:dyDescent="0.2">
      <c r="A49" s="114" t="s">
        <v>79</v>
      </c>
      <c r="B49" s="16">
        <v>2702</v>
      </c>
      <c r="C49" s="16">
        <v>2660</v>
      </c>
      <c r="D49" s="16">
        <v>2776</v>
      </c>
      <c r="E49" s="16">
        <v>3183</v>
      </c>
      <c r="F49" s="16">
        <v>2994</v>
      </c>
      <c r="G49" s="16">
        <v>2561</v>
      </c>
      <c r="H49" s="16">
        <v>2228</v>
      </c>
      <c r="I49" s="16">
        <v>2266</v>
      </c>
      <c r="J49" s="16">
        <v>1945</v>
      </c>
      <c r="K49" s="16">
        <v>1798</v>
      </c>
    </row>
    <row r="50" spans="1:11" ht="15" customHeight="1" outlineLevel="2" x14ac:dyDescent="0.2">
      <c r="A50" s="114" t="s">
        <v>150</v>
      </c>
      <c r="B50" s="24"/>
      <c r="C50" s="13">
        <v>331</v>
      </c>
      <c r="D50" s="13">
        <v>304</v>
      </c>
      <c r="E50" s="13">
        <v>259</v>
      </c>
      <c r="F50" s="13">
        <v>260</v>
      </c>
      <c r="G50" s="13">
        <v>300</v>
      </c>
      <c r="H50" s="13">
        <v>194</v>
      </c>
      <c r="I50" s="13">
        <v>243</v>
      </c>
      <c r="J50" s="13">
        <v>310</v>
      </c>
      <c r="K50" s="13">
        <v>299</v>
      </c>
    </row>
    <row r="51" spans="1:11" ht="15" customHeight="1" outlineLevel="2" x14ac:dyDescent="0.2">
      <c r="A51" s="115" t="s">
        <v>151</v>
      </c>
      <c r="B51" s="12">
        <v>5056</v>
      </c>
      <c r="C51" s="12">
        <v>6183</v>
      </c>
      <c r="D51" s="12">
        <v>9078</v>
      </c>
      <c r="E51" s="12">
        <v>3871</v>
      </c>
      <c r="F51" s="12">
        <v>4204</v>
      </c>
      <c r="G51" s="12">
        <v>4003</v>
      </c>
      <c r="H51" s="12">
        <v>3737</v>
      </c>
      <c r="I51" s="12">
        <v>3524</v>
      </c>
      <c r="J51" s="12">
        <v>3579</v>
      </c>
      <c r="K51" s="12">
        <v>3150</v>
      </c>
    </row>
    <row r="52" spans="1:11" ht="15" customHeight="1" outlineLevel="3" x14ac:dyDescent="0.2">
      <c r="A52" s="116" t="s">
        <v>152</v>
      </c>
      <c r="B52" s="13">
        <v>718</v>
      </c>
      <c r="C52" s="13">
        <v>968</v>
      </c>
      <c r="D52" s="13">
        <v>998</v>
      </c>
      <c r="E52" s="13">
        <v>1016</v>
      </c>
      <c r="F52" s="13">
        <v>1317</v>
      </c>
      <c r="G52" s="13">
        <v>1010</v>
      </c>
      <c r="H52" s="13">
        <v>998</v>
      </c>
      <c r="I52" s="13">
        <v>1053</v>
      </c>
      <c r="J52" s="13">
        <v>1147</v>
      </c>
      <c r="K52" s="13">
        <v>899</v>
      </c>
    </row>
    <row r="53" spans="1:11" ht="15" customHeight="1" outlineLevel="3" x14ac:dyDescent="0.2">
      <c r="A53" s="116" t="s">
        <v>153</v>
      </c>
      <c r="B53" s="16">
        <v>4338</v>
      </c>
      <c r="C53" s="16">
        <v>5215</v>
      </c>
      <c r="D53" s="16">
        <v>8080</v>
      </c>
      <c r="E53" s="16">
        <v>2855</v>
      </c>
      <c r="F53" s="16">
        <v>2887</v>
      </c>
      <c r="G53" s="16">
        <v>2993</v>
      </c>
      <c r="H53" s="16">
        <v>2739</v>
      </c>
      <c r="I53" s="16">
        <v>2471</v>
      </c>
      <c r="J53" s="16">
        <v>2432</v>
      </c>
      <c r="K53" s="16">
        <v>2251</v>
      </c>
    </row>
    <row r="54" spans="1:11" ht="15" customHeight="1" outlineLevel="2" x14ac:dyDescent="0.2">
      <c r="A54" s="5" t="s">
        <v>154</v>
      </c>
      <c r="B54" s="13">
        <v>9595</v>
      </c>
      <c r="C54" s="13">
        <v>11256</v>
      </c>
      <c r="D54" s="13">
        <v>15297</v>
      </c>
      <c r="E54" s="13">
        <v>9523</v>
      </c>
      <c r="F54" s="13">
        <v>9035</v>
      </c>
      <c r="G54" s="13">
        <v>7948</v>
      </c>
      <c r="H54" s="13">
        <v>9222</v>
      </c>
      <c r="I54" s="13">
        <v>7244</v>
      </c>
      <c r="J54" s="13">
        <v>7687</v>
      </c>
      <c r="K54" s="13">
        <v>6219</v>
      </c>
    </row>
    <row r="55" spans="1:11" ht="15" customHeight="1" outlineLevel="1" x14ac:dyDescent="0.2">
      <c r="A55" s="11" t="s">
        <v>155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15" customHeight="1" outlineLevel="2" x14ac:dyDescent="0.2">
      <c r="A56" s="20" t="s">
        <v>156</v>
      </c>
      <c r="B56" s="10">
        <v>11295</v>
      </c>
      <c r="C56" s="10">
        <v>11577</v>
      </c>
      <c r="D56" s="10">
        <v>13612</v>
      </c>
      <c r="E56" s="10">
        <v>14656</v>
      </c>
      <c r="F56" s="10">
        <v>16740</v>
      </c>
      <c r="G56" s="10">
        <v>18691</v>
      </c>
      <c r="H56" s="10">
        <v>18236</v>
      </c>
      <c r="I56" s="10">
        <v>13486</v>
      </c>
      <c r="J56" s="10">
        <v>12156</v>
      </c>
      <c r="K56" s="10">
        <v>10723</v>
      </c>
    </row>
    <row r="57" spans="1:11" ht="15" customHeight="1" outlineLevel="3" x14ac:dyDescent="0.2">
      <c r="A57" s="15" t="s">
        <v>157</v>
      </c>
      <c r="B57" s="16">
        <v>10932</v>
      </c>
      <c r="C57" s="16">
        <v>11125</v>
      </c>
      <c r="D57" s="16">
        <v>13088</v>
      </c>
      <c r="E57" s="16">
        <v>14001</v>
      </c>
      <c r="F57" s="16">
        <v>16056</v>
      </c>
      <c r="G57" s="16">
        <v>17989</v>
      </c>
      <c r="H57" s="16">
        <v>17518</v>
      </c>
      <c r="I57" s="16">
        <v>13411</v>
      </c>
      <c r="J57" s="16">
        <v>12096</v>
      </c>
      <c r="K57" s="16">
        <v>10678</v>
      </c>
    </row>
    <row r="58" spans="1:11" ht="15" customHeight="1" outlineLevel="3" x14ac:dyDescent="0.2">
      <c r="A58" s="7" t="s">
        <v>158</v>
      </c>
      <c r="B58" s="13">
        <v>363</v>
      </c>
      <c r="C58" s="13">
        <v>452</v>
      </c>
      <c r="D58" s="13">
        <v>524</v>
      </c>
      <c r="E58" s="13">
        <v>655</v>
      </c>
      <c r="F58" s="13">
        <v>684</v>
      </c>
      <c r="G58" s="13">
        <v>702</v>
      </c>
      <c r="H58" s="13">
        <v>718</v>
      </c>
      <c r="I58" s="13">
        <v>75</v>
      </c>
      <c r="J58" s="13">
        <v>60</v>
      </c>
      <c r="K58" s="13">
        <v>45</v>
      </c>
    </row>
    <row r="59" spans="1:11" ht="15" customHeight="1" outlineLevel="2" x14ac:dyDescent="0.2">
      <c r="A59" s="114" t="s">
        <v>159</v>
      </c>
      <c r="B59" s="16">
        <v>1631</v>
      </c>
      <c r="C59" s="16">
        <v>1813</v>
      </c>
      <c r="D59" s="16">
        <v>2156</v>
      </c>
      <c r="E59" s="16">
        <v>2352</v>
      </c>
      <c r="F59" s="16">
        <v>3270</v>
      </c>
      <c r="G59" s="16">
        <v>4815</v>
      </c>
      <c r="H59" s="16">
        <v>4223</v>
      </c>
      <c r="I59" s="16">
        <v>3286</v>
      </c>
      <c r="J59" s="16">
        <v>3939</v>
      </c>
      <c r="K59" s="16">
        <v>4274</v>
      </c>
    </row>
    <row r="60" spans="1:11" ht="15" customHeight="1" outlineLevel="2" x14ac:dyDescent="0.2">
      <c r="A60" s="114" t="s">
        <v>160</v>
      </c>
      <c r="B60" s="13">
        <v>418</v>
      </c>
      <c r="C60" s="13">
        <v>354</v>
      </c>
      <c r="D60" s="13">
        <v>315</v>
      </c>
      <c r="E60" s="13">
        <v>559</v>
      </c>
      <c r="F60" s="13">
        <v>458</v>
      </c>
      <c r="G60" s="13">
        <v>333</v>
      </c>
      <c r="H60" s="13">
        <v>301</v>
      </c>
      <c r="I60" s="13">
        <v>279</v>
      </c>
      <c r="J60" s="13">
        <v>235</v>
      </c>
      <c r="K60" s="13">
        <v>145</v>
      </c>
    </row>
    <row r="61" spans="1:11" ht="15" customHeight="1" outlineLevel="2" x14ac:dyDescent="0.2">
      <c r="A61" s="115" t="s">
        <v>161</v>
      </c>
      <c r="B61" s="12">
        <v>10047</v>
      </c>
      <c r="C61" s="12">
        <v>10974</v>
      </c>
      <c r="D61" s="12">
        <v>14332</v>
      </c>
      <c r="E61" s="12">
        <v>4595</v>
      </c>
      <c r="F61" s="12">
        <v>2452</v>
      </c>
      <c r="G61" s="12">
        <v>2626</v>
      </c>
      <c r="H61" s="12">
        <v>2551</v>
      </c>
      <c r="I61" s="12">
        <v>2357</v>
      </c>
      <c r="J61" s="12">
        <v>2348</v>
      </c>
      <c r="K61" s="12">
        <v>1202</v>
      </c>
    </row>
    <row r="62" spans="1:11" ht="15" customHeight="1" outlineLevel="3" x14ac:dyDescent="0.2">
      <c r="A62" s="116" t="s">
        <v>162</v>
      </c>
      <c r="B62" s="13">
        <v>10047</v>
      </c>
      <c r="C62" s="13">
        <v>10974</v>
      </c>
      <c r="D62" s="13">
        <v>14332</v>
      </c>
      <c r="E62" s="13">
        <v>4595</v>
      </c>
      <c r="F62" s="13">
        <v>2452</v>
      </c>
      <c r="G62" s="13">
        <v>2626</v>
      </c>
      <c r="H62" s="13">
        <v>2551</v>
      </c>
      <c r="I62" s="13">
        <v>2357</v>
      </c>
      <c r="J62" s="13">
        <v>2348</v>
      </c>
      <c r="K62" s="13">
        <v>1187</v>
      </c>
    </row>
    <row r="63" spans="1:11" ht="15" customHeight="1" outlineLevel="3" x14ac:dyDescent="0.2">
      <c r="A63" s="116" t="s">
        <v>163</v>
      </c>
      <c r="B63" s="21"/>
      <c r="C63" s="21"/>
      <c r="D63" s="21"/>
      <c r="E63" s="21"/>
      <c r="F63" s="21"/>
      <c r="G63" s="21"/>
      <c r="H63" s="21"/>
      <c r="I63" s="21"/>
      <c r="J63" s="21"/>
      <c r="K63" s="16">
        <v>15</v>
      </c>
    </row>
    <row r="64" spans="1:11" ht="15" customHeight="1" outlineLevel="2" x14ac:dyDescent="0.2">
      <c r="A64" s="5" t="s">
        <v>164</v>
      </c>
      <c r="B64" s="13">
        <v>32986</v>
      </c>
      <c r="C64" s="13">
        <v>35974</v>
      </c>
      <c r="D64" s="13">
        <v>45712</v>
      </c>
      <c r="E64" s="13">
        <v>31685</v>
      </c>
      <c r="F64" s="13">
        <v>31955</v>
      </c>
      <c r="G64" s="13">
        <v>34413</v>
      </c>
      <c r="H64" s="13">
        <v>34533</v>
      </c>
      <c r="I64" s="13">
        <v>26652</v>
      </c>
      <c r="J64" s="13">
        <v>26365</v>
      </c>
      <c r="K64" s="13">
        <v>22563</v>
      </c>
    </row>
    <row r="65" spans="1:11" ht="15" customHeight="1" outlineLevel="1" x14ac:dyDescent="0.2">
      <c r="A65" s="11" t="s">
        <v>165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ht="15" customHeight="1" outlineLevel="2" x14ac:dyDescent="0.2">
      <c r="A66" s="20" t="s">
        <v>166</v>
      </c>
      <c r="B66" s="10">
        <v>4702</v>
      </c>
      <c r="C66" s="10">
        <v>3842</v>
      </c>
      <c r="D66" s="10">
        <v>4807</v>
      </c>
      <c r="E66" s="10">
        <v>14722</v>
      </c>
      <c r="F66" s="10">
        <v>15046</v>
      </c>
      <c r="G66" s="10">
        <v>12867</v>
      </c>
      <c r="H66" s="10">
        <v>10063</v>
      </c>
      <c r="I66" s="10">
        <v>9796</v>
      </c>
      <c r="J66" s="10">
        <v>11563</v>
      </c>
      <c r="K66" s="10">
        <v>10298</v>
      </c>
    </row>
    <row r="67" spans="1:11" ht="15" customHeight="1" outlineLevel="3" x14ac:dyDescent="0.2">
      <c r="A67" s="15" t="s">
        <v>167</v>
      </c>
      <c r="B67" s="16">
        <v>9</v>
      </c>
      <c r="C67" s="16">
        <v>9</v>
      </c>
      <c r="D67" s="16">
        <v>9</v>
      </c>
      <c r="E67" s="16">
        <v>9</v>
      </c>
      <c r="F67" s="16">
        <v>9</v>
      </c>
      <c r="G67" s="16">
        <v>9</v>
      </c>
      <c r="H67" s="16">
        <v>9</v>
      </c>
      <c r="I67" s="16">
        <v>9</v>
      </c>
      <c r="J67" s="16">
        <v>9</v>
      </c>
      <c r="K67" s="16">
        <v>9</v>
      </c>
    </row>
    <row r="68" spans="1:11" ht="15" customHeight="1" outlineLevel="3" x14ac:dyDescent="0.2">
      <c r="A68" s="7" t="s">
        <v>168</v>
      </c>
      <c r="B68" s="13">
        <v>7440</v>
      </c>
      <c r="C68" s="13">
        <v>7229</v>
      </c>
      <c r="D68" s="13">
        <v>6956</v>
      </c>
      <c r="E68" s="13">
        <v>6691</v>
      </c>
      <c r="F68" s="13">
        <v>6429</v>
      </c>
      <c r="G68" s="13">
        <v>6162</v>
      </c>
      <c r="H68" s="13">
        <v>5907</v>
      </c>
      <c r="I68" s="13">
        <v>5643</v>
      </c>
      <c r="J68" s="13">
        <v>5352</v>
      </c>
      <c r="K68" s="13">
        <v>5061</v>
      </c>
    </row>
    <row r="69" spans="1:11" ht="15" customHeight="1" outlineLevel="3" x14ac:dyDescent="0.2">
      <c r="A69" s="15" t="s">
        <v>169</v>
      </c>
      <c r="B69" s="16">
        <v>38258</v>
      </c>
      <c r="C69" s="16">
        <v>36797</v>
      </c>
      <c r="D69" s="16">
        <v>37479</v>
      </c>
      <c r="E69" s="16">
        <v>47950</v>
      </c>
      <c r="F69" s="16">
        <v>45821</v>
      </c>
      <c r="G69" s="16">
        <v>43821</v>
      </c>
      <c r="H69" s="16">
        <v>42135</v>
      </c>
      <c r="I69" s="16">
        <v>40636</v>
      </c>
      <c r="J69" s="16">
        <v>39115</v>
      </c>
      <c r="K69" s="16">
        <v>37907</v>
      </c>
    </row>
    <row r="70" spans="1:11" ht="15" customHeight="1" outlineLevel="3" x14ac:dyDescent="0.2">
      <c r="A70" s="7" t="s">
        <v>170</v>
      </c>
      <c r="B70" s="22">
        <v>-2520</v>
      </c>
      <c r="C70" s="22">
        <v>-2953</v>
      </c>
      <c r="D70" s="22">
        <v>-2506</v>
      </c>
      <c r="E70" s="22">
        <v>-2828</v>
      </c>
      <c r="F70" s="22">
        <v>-1943</v>
      </c>
      <c r="G70" s="22">
        <v>-1450</v>
      </c>
      <c r="H70" s="22">
        <v>-1899</v>
      </c>
      <c r="I70" s="22">
        <v>-2098</v>
      </c>
      <c r="J70" s="22">
        <v>-1638</v>
      </c>
      <c r="K70" s="22">
        <v>-2008</v>
      </c>
    </row>
    <row r="71" spans="1:11" ht="15" customHeight="1" outlineLevel="3" x14ac:dyDescent="0.2">
      <c r="A71" s="15" t="s">
        <v>171</v>
      </c>
      <c r="B71" s="18">
        <v>-2549</v>
      </c>
      <c r="C71" s="18">
        <v>-2778</v>
      </c>
      <c r="D71" s="18">
        <v>-4272</v>
      </c>
      <c r="E71" s="18">
        <v>-3845</v>
      </c>
      <c r="F71" s="18">
        <v>-4807</v>
      </c>
      <c r="G71" s="18">
        <v>-6271</v>
      </c>
      <c r="H71" s="18">
        <v>-6240</v>
      </c>
      <c r="I71" s="18">
        <v>-4768</v>
      </c>
      <c r="J71" s="18">
        <v>-5388</v>
      </c>
      <c r="K71" s="18">
        <v>-5237</v>
      </c>
    </row>
    <row r="72" spans="1:11" ht="15" customHeight="1" outlineLevel="3" x14ac:dyDescent="0.2">
      <c r="A72" s="7" t="s">
        <v>172</v>
      </c>
      <c r="B72" s="22">
        <v>-35936</v>
      </c>
      <c r="C72" s="22">
        <v>-34462</v>
      </c>
      <c r="D72" s="22">
        <v>-32859</v>
      </c>
      <c r="E72" s="22">
        <v>-33255</v>
      </c>
      <c r="F72" s="22">
        <v>-30463</v>
      </c>
      <c r="G72" s="22">
        <v>-29404</v>
      </c>
      <c r="H72" s="22">
        <v>-29849</v>
      </c>
      <c r="I72" s="22">
        <v>-29626</v>
      </c>
      <c r="J72" s="22">
        <v>-25887</v>
      </c>
      <c r="K72" s="22">
        <v>-25434</v>
      </c>
    </row>
    <row r="73" spans="1:11" ht="15" customHeight="1" outlineLevel="2" x14ac:dyDescent="0.2">
      <c r="A73" s="17" t="s">
        <v>173</v>
      </c>
      <c r="B73" s="16">
        <v>4702</v>
      </c>
      <c r="C73" s="16">
        <v>3842</v>
      </c>
      <c r="D73" s="16">
        <v>4807</v>
      </c>
      <c r="E73" s="16">
        <v>14722</v>
      </c>
      <c r="F73" s="16">
        <v>15046</v>
      </c>
      <c r="G73" s="16">
        <v>12867</v>
      </c>
      <c r="H73" s="16">
        <v>10063</v>
      </c>
      <c r="I73" s="16">
        <v>9796</v>
      </c>
      <c r="J73" s="16">
        <v>11563</v>
      </c>
      <c r="K73" s="16">
        <v>10298</v>
      </c>
    </row>
    <row r="74" spans="1:11" ht="15" customHeight="1" outlineLevel="2" x14ac:dyDescent="0.2">
      <c r="A74" s="5" t="s">
        <v>174</v>
      </c>
      <c r="B74" s="13">
        <v>45</v>
      </c>
      <c r="C74" s="13">
        <v>52</v>
      </c>
      <c r="D74" s="13">
        <v>61</v>
      </c>
      <c r="E74" s="13">
        <v>48</v>
      </c>
      <c r="F74" s="13">
        <v>71</v>
      </c>
      <c r="G74" s="13">
        <v>64</v>
      </c>
      <c r="H74" s="13">
        <v>63</v>
      </c>
      <c r="I74" s="13">
        <v>52</v>
      </c>
      <c r="J74" s="13">
        <v>59</v>
      </c>
      <c r="K74" s="13">
        <v>45</v>
      </c>
    </row>
    <row r="75" spans="1:11" ht="15" customHeight="1" outlineLevel="2" x14ac:dyDescent="0.2">
      <c r="A75" s="17" t="s">
        <v>175</v>
      </c>
      <c r="B75" s="16">
        <v>4747</v>
      </c>
      <c r="C75" s="16">
        <v>3894</v>
      </c>
      <c r="D75" s="16">
        <v>4868</v>
      </c>
      <c r="E75" s="16">
        <v>14770</v>
      </c>
      <c r="F75" s="16">
        <v>15117</v>
      </c>
      <c r="G75" s="16">
        <v>12931</v>
      </c>
      <c r="H75" s="16">
        <v>10126</v>
      </c>
      <c r="I75" s="16">
        <v>9848</v>
      </c>
      <c r="J75" s="16">
        <v>11622</v>
      </c>
      <c r="K75" s="16">
        <v>10343</v>
      </c>
    </row>
    <row r="76" spans="1:11" ht="15" customHeight="1" outlineLevel="1" x14ac:dyDescent="0.2">
      <c r="A76" s="26" t="s">
        <v>176</v>
      </c>
      <c r="B76" s="13">
        <v>37733</v>
      </c>
      <c r="C76" s="13">
        <v>39868</v>
      </c>
      <c r="D76" s="13">
        <v>50580</v>
      </c>
      <c r="E76" s="13">
        <v>46455</v>
      </c>
      <c r="F76" s="13">
        <v>47072</v>
      </c>
      <c r="G76" s="13">
        <v>47344</v>
      </c>
      <c r="H76" s="13">
        <v>44659</v>
      </c>
      <c r="I76" s="13">
        <v>36500</v>
      </c>
      <c r="J76" s="13">
        <v>37987</v>
      </c>
      <c r="K76" s="13">
        <v>32906</v>
      </c>
    </row>
    <row r="77" spans="1:11" ht="15" customHeight="1" x14ac:dyDescent="0.2">
      <c r="A77" s="23" t="s">
        <v>53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ht="15" customHeight="1" outlineLevel="1" x14ac:dyDescent="0.2">
      <c r="A78" s="26" t="s">
        <v>177</v>
      </c>
      <c r="B78" s="27">
        <v>8.8670299999999997</v>
      </c>
      <c r="C78" s="27">
        <v>7.1218000000000004</v>
      </c>
      <c r="D78" s="27">
        <v>8.6991700000000005</v>
      </c>
      <c r="E78" s="27">
        <v>26.80406</v>
      </c>
      <c r="F78" s="27">
        <v>26.311299999999999</v>
      </c>
      <c r="G78" s="27">
        <v>22.270890000000001</v>
      </c>
      <c r="H78" s="27">
        <v>17.495249999999999</v>
      </c>
      <c r="I78" s="27">
        <v>16.989979999999999</v>
      </c>
      <c r="J78" s="27">
        <v>19.4374</v>
      </c>
      <c r="K78" s="27">
        <v>17.257490000000001</v>
      </c>
    </row>
    <row r="79" spans="1:11" ht="15" customHeight="1" outlineLevel="1" x14ac:dyDescent="0.2">
      <c r="A79" s="25" t="s">
        <v>178</v>
      </c>
      <c r="B79" s="53">
        <v>-5.3179540000000003</v>
      </c>
      <c r="C79" s="53">
        <v>-6.7640419999999999</v>
      </c>
      <c r="D79" s="53">
        <v>-5.2444790000000001</v>
      </c>
      <c r="E79" s="53">
        <v>-5.0378239999999996</v>
      </c>
      <c r="F79" s="53">
        <v>-6.5192439999999996</v>
      </c>
      <c r="G79" s="53">
        <v>-11.717878000000001</v>
      </c>
      <c r="H79" s="53">
        <v>-16.968457999999998</v>
      </c>
      <c r="I79" s="53">
        <v>-5.0505120000000003</v>
      </c>
      <c r="J79" s="53">
        <v>-3.1703649999999999</v>
      </c>
      <c r="K79" s="53">
        <v>-1.990863</v>
      </c>
    </row>
    <row r="80" spans="1:11" ht="15" customHeight="1" x14ac:dyDescent="0.2">
      <c r="A80" s="31" t="s">
        <v>65</v>
      </c>
    </row>
    <row r="82" spans="1:11" ht="15" customHeight="1" x14ac:dyDescent="0.2">
      <c r="A82" s="35" t="s">
        <v>189</v>
      </c>
      <c r="B82" s="54">
        <f>B75+B56+B48-B11-B35</f>
        <v>11785</v>
      </c>
      <c r="C82" s="54">
        <f t="shared" ref="C82:K82" si="2">C75+C56+C48-C11-C35</f>
        <v>7242</v>
      </c>
      <c r="D82" s="54">
        <f t="shared" si="2"/>
        <v>15613</v>
      </c>
      <c r="E82" s="54">
        <f t="shared" si="2"/>
        <v>26767</v>
      </c>
      <c r="F82" s="54">
        <f t="shared" si="2"/>
        <v>28366</v>
      </c>
      <c r="G82" s="54">
        <f t="shared" si="2"/>
        <v>27444</v>
      </c>
      <c r="H82" s="54">
        <f t="shared" si="2"/>
        <v>28241</v>
      </c>
      <c r="I82" s="54">
        <f t="shared" si="2"/>
        <v>21066</v>
      </c>
      <c r="J82" s="54">
        <f t="shared" si="2"/>
        <v>21311</v>
      </c>
      <c r="K82" s="54">
        <f t="shared" si="2"/>
        <v>19104</v>
      </c>
    </row>
    <row r="84" spans="1:11" ht="15" customHeight="1" x14ac:dyDescent="0.2">
      <c r="A84" s="35" t="s">
        <v>192</v>
      </c>
      <c r="B84" s="54">
        <f>(B45-B11-B35)-(B64-B56-B48)</f>
        <v>11785</v>
      </c>
      <c r="C84" s="54">
        <f t="shared" ref="C84:K84" si="3">(C45-C11-C35)-(C64-C56-C48)</f>
        <v>7242</v>
      </c>
      <c r="D84" s="54">
        <f t="shared" si="3"/>
        <v>15613</v>
      </c>
      <c r="E84" s="54">
        <f t="shared" si="3"/>
        <v>26767</v>
      </c>
      <c r="F84" s="54">
        <f t="shared" si="3"/>
        <v>28366</v>
      </c>
      <c r="G84" s="54">
        <f t="shared" si="3"/>
        <v>27444</v>
      </c>
      <c r="H84" s="54">
        <f t="shared" si="3"/>
        <v>28241</v>
      </c>
      <c r="I84" s="54">
        <f t="shared" si="3"/>
        <v>21066</v>
      </c>
      <c r="J84" s="54">
        <f t="shared" si="3"/>
        <v>21311</v>
      </c>
      <c r="K84" s="54">
        <f t="shared" si="3"/>
        <v>19104</v>
      </c>
    </row>
    <row r="86" spans="1:11" ht="15" customHeight="1" x14ac:dyDescent="0.2">
      <c r="A86" s="41" t="s">
        <v>190</v>
      </c>
      <c r="B86" s="55">
        <f>B82-B84</f>
        <v>0</v>
      </c>
      <c r="C86" s="55">
        <f t="shared" ref="C86:K86" si="4">C82-C84</f>
        <v>0</v>
      </c>
      <c r="D86" s="55">
        <f t="shared" si="4"/>
        <v>0</v>
      </c>
      <c r="E86" s="55">
        <f t="shared" si="4"/>
        <v>0</v>
      </c>
      <c r="F86" s="55">
        <f t="shared" si="4"/>
        <v>0</v>
      </c>
      <c r="G86" s="55">
        <f t="shared" si="4"/>
        <v>0</v>
      </c>
      <c r="H86" s="55">
        <f t="shared" si="4"/>
        <v>0</v>
      </c>
      <c r="I86" s="55">
        <f t="shared" si="4"/>
        <v>0</v>
      </c>
      <c r="J86" s="55">
        <f t="shared" si="4"/>
        <v>0</v>
      </c>
      <c r="K86" s="55">
        <f t="shared" si="4"/>
        <v>0</v>
      </c>
    </row>
    <row r="88" spans="1:11" ht="15" customHeight="1" x14ac:dyDescent="0.2">
      <c r="B88" s="42"/>
      <c r="C88" s="42"/>
      <c r="D88" s="42"/>
      <c r="E88" s="42"/>
      <c r="F88" s="42"/>
      <c r="G88" s="42"/>
      <c r="H88" s="42"/>
      <c r="I88" s="42"/>
      <c r="J88" s="42"/>
      <c r="K88" s="4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F003-D6C7-49BA-AF94-8D8A22D4646F}">
  <sheetPr>
    <outlinePr summaryBelow="0" summaryRight="0"/>
  </sheetPr>
  <dimension ref="A1:K64"/>
  <sheetViews>
    <sheetView zoomScale="84" workbookViewId="0">
      <selection activeCell="A3" sqref="A3"/>
    </sheetView>
  </sheetViews>
  <sheetFormatPr defaultColWidth="9.140625" defaultRowHeight="15" customHeight="1" outlineLevelRow="3" x14ac:dyDescent="0.2"/>
  <cols>
    <col min="1" max="1" width="50" customWidth="1"/>
    <col min="2" max="11" width="8" customWidth="1"/>
  </cols>
  <sheetData>
    <row r="1" spans="1:11" ht="15" customHeight="1" x14ac:dyDescent="0.2">
      <c r="A1" s="2" t="s">
        <v>66</v>
      </c>
    </row>
    <row r="2" spans="1:11" ht="15" customHeight="1" x14ac:dyDescent="0.2">
      <c r="A2" s="4"/>
    </row>
    <row r="3" spans="1:11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ht="15" customHeight="1" x14ac:dyDescent="0.2">
      <c r="A5" s="8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15" customHeight="1" x14ac:dyDescent="0.2">
      <c r="A6" s="8" t="s">
        <v>1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5" customHeight="1" x14ac:dyDescent="0.2">
      <c r="A7" s="8" t="s">
        <v>2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15" customHeight="1" x14ac:dyDescent="0.2">
      <c r="A8" s="8"/>
      <c r="B8" s="8" t="s">
        <v>3</v>
      </c>
      <c r="C8" s="8" t="s">
        <v>4</v>
      </c>
      <c r="D8" s="8" t="s">
        <v>5</v>
      </c>
      <c r="E8" s="8" t="s">
        <v>6</v>
      </c>
      <c r="F8" s="8" t="s">
        <v>7</v>
      </c>
      <c r="G8" s="8" t="s">
        <v>8</v>
      </c>
      <c r="H8" s="8" t="s">
        <v>9</v>
      </c>
      <c r="I8" s="8" t="s">
        <v>10</v>
      </c>
      <c r="J8" s="8" t="s">
        <v>11</v>
      </c>
      <c r="K8" s="8" t="s">
        <v>12</v>
      </c>
    </row>
    <row r="9" spans="1:11" ht="15" customHeight="1" x14ac:dyDescent="0.2">
      <c r="A9" s="8"/>
      <c r="B9" s="8"/>
      <c r="C9" s="8"/>
      <c r="D9" s="8" t="s">
        <v>13</v>
      </c>
      <c r="E9" s="8"/>
      <c r="F9" s="8"/>
      <c r="G9" s="8" t="s">
        <v>13</v>
      </c>
      <c r="H9" s="8"/>
      <c r="I9" s="8"/>
      <c r="J9" s="8" t="s">
        <v>13</v>
      </c>
      <c r="K9" s="8"/>
    </row>
    <row r="10" spans="1:11" ht="15" customHeight="1" x14ac:dyDescent="0.2">
      <c r="A10" s="9" t="s">
        <v>67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15" customHeight="1" outlineLevel="1" x14ac:dyDescent="0.2">
      <c r="A11" s="25" t="s">
        <v>68</v>
      </c>
      <c r="B11" s="16">
        <v>3262</v>
      </c>
      <c r="C11" s="16">
        <v>4188</v>
      </c>
      <c r="D11" s="18">
        <v>-6979</v>
      </c>
      <c r="E11" s="16">
        <v>5791</v>
      </c>
      <c r="F11" s="16">
        <v>5929</v>
      </c>
      <c r="G11" s="16">
        <v>5453</v>
      </c>
      <c r="H11" s="16">
        <v>4582</v>
      </c>
      <c r="I11" s="16">
        <v>5363</v>
      </c>
      <c r="J11" s="16">
        <v>4869</v>
      </c>
      <c r="K11" s="16">
        <v>5058</v>
      </c>
    </row>
    <row r="12" spans="1:11" ht="15" customHeight="1" outlineLevel="1" x14ac:dyDescent="0.2">
      <c r="A12" s="19" t="s">
        <v>69</v>
      </c>
      <c r="B12" s="10">
        <v>1308</v>
      </c>
      <c r="C12" s="10">
        <v>1224</v>
      </c>
      <c r="D12" s="10">
        <v>1433</v>
      </c>
      <c r="E12" s="10">
        <v>1831</v>
      </c>
      <c r="F12" s="10">
        <v>1915</v>
      </c>
      <c r="G12" s="10">
        <v>1911</v>
      </c>
      <c r="H12" s="10">
        <v>1593</v>
      </c>
      <c r="I12" s="10">
        <v>1488</v>
      </c>
      <c r="J12" s="10">
        <v>1544</v>
      </c>
      <c r="K12" s="10">
        <v>1474</v>
      </c>
    </row>
    <row r="13" spans="1:11" ht="15" customHeight="1" outlineLevel="2" x14ac:dyDescent="0.2">
      <c r="A13" s="17" t="s">
        <v>70</v>
      </c>
      <c r="B13" s="16">
        <v>1204</v>
      </c>
      <c r="C13" s="16">
        <v>1116</v>
      </c>
      <c r="D13" s="16">
        <v>1306</v>
      </c>
      <c r="E13" s="16">
        <v>1333</v>
      </c>
      <c r="F13" s="16">
        <v>1386</v>
      </c>
      <c r="G13" s="16">
        <v>1374</v>
      </c>
      <c r="H13" s="16">
        <v>1252</v>
      </c>
      <c r="I13" s="16">
        <v>1239</v>
      </c>
      <c r="J13" s="16">
        <v>1306</v>
      </c>
      <c r="K13" s="16">
        <v>1212</v>
      </c>
    </row>
    <row r="14" spans="1:11" ht="15" customHeight="1" outlineLevel="2" x14ac:dyDescent="0.2">
      <c r="A14" s="5" t="s">
        <v>71</v>
      </c>
      <c r="B14" s="13">
        <v>104</v>
      </c>
      <c r="C14" s="13">
        <v>108</v>
      </c>
      <c r="D14" s="13">
        <v>127</v>
      </c>
      <c r="E14" s="13">
        <v>498</v>
      </c>
      <c r="F14" s="13">
        <v>529</v>
      </c>
      <c r="G14" s="13">
        <v>537</v>
      </c>
      <c r="H14" s="13">
        <v>341</v>
      </c>
      <c r="I14" s="13">
        <v>249</v>
      </c>
      <c r="J14" s="13">
        <v>238</v>
      </c>
      <c r="K14" s="13">
        <v>262</v>
      </c>
    </row>
    <row r="15" spans="1:11" ht="15" customHeight="1" outlineLevel="1" x14ac:dyDescent="0.2">
      <c r="A15" s="11" t="s">
        <v>72</v>
      </c>
      <c r="B15" s="12">
        <v>418</v>
      </c>
      <c r="C15" s="12">
        <v>321</v>
      </c>
      <c r="D15" s="12">
        <v>-3855</v>
      </c>
      <c r="E15" s="12">
        <v>-663</v>
      </c>
      <c r="F15" s="12">
        <v>-166</v>
      </c>
      <c r="G15" s="12">
        <v>-165</v>
      </c>
      <c r="H15" s="12">
        <v>-273</v>
      </c>
      <c r="I15" s="12">
        <v>-57</v>
      </c>
      <c r="J15" s="12">
        <v>107</v>
      </c>
      <c r="K15" s="12">
        <v>7</v>
      </c>
    </row>
    <row r="16" spans="1:11" ht="15" customHeight="1" outlineLevel="2" x14ac:dyDescent="0.2">
      <c r="A16" s="5" t="s">
        <v>73</v>
      </c>
      <c r="B16" s="13">
        <v>418</v>
      </c>
      <c r="C16" s="13">
        <v>321</v>
      </c>
      <c r="D16" s="22">
        <v>-3855</v>
      </c>
      <c r="E16" s="22">
        <v>-663</v>
      </c>
      <c r="F16" s="22">
        <v>-166</v>
      </c>
      <c r="G16" s="22">
        <v>-165</v>
      </c>
      <c r="H16" s="22">
        <v>-273</v>
      </c>
      <c r="I16" s="22">
        <v>-57</v>
      </c>
      <c r="J16" s="13">
        <v>107</v>
      </c>
      <c r="K16" s="13">
        <v>7</v>
      </c>
    </row>
    <row r="17" spans="1:11" ht="15" customHeight="1" outlineLevel="1" x14ac:dyDescent="0.2">
      <c r="A17" s="25" t="s">
        <v>74</v>
      </c>
      <c r="B17" s="16">
        <v>514</v>
      </c>
      <c r="C17" s="16">
        <v>1309</v>
      </c>
      <c r="D17" s="16">
        <v>785</v>
      </c>
      <c r="E17" s="18">
        <v>-1552</v>
      </c>
      <c r="F17" s="16">
        <v>300</v>
      </c>
      <c r="G17" s="16">
        <v>39</v>
      </c>
      <c r="H17" s="16">
        <v>476</v>
      </c>
      <c r="I17" s="18">
        <v>-203</v>
      </c>
      <c r="J17" s="18">
        <v>-895</v>
      </c>
      <c r="K17" s="16">
        <v>166</v>
      </c>
    </row>
    <row r="18" spans="1:11" ht="15" customHeight="1" outlineLevel="1" x14ac:dyDescent="0.2">
      <c r="A18" s="26" t="s">
        <v>75</v>
      </c>
      <c r="B18" s="13">
        <v>5502</v>
      </c>
      <c r="C18" s="13">
        <v>7042</v>
      </c>
      <c r="D18" s="22">
        <v>-8616</v>
      </c>
      <c r="E18" s="13">
        <v>5407</v>
      </c>
      <c r="F18" s="13">
        <v>7978</v>
      </c>
      <c r="G18" s="13">
        <v>7238</v>
      </c>
      <c r="H18" s="13">
        <v>6378</v>
      </c>
      <c r="I18" s="13">
        <v>6591</v>
      </c>
      <c r="J18" s="13">
        <v>5625</v>
      </c>
      <c r="K18" s="13">
        <v>6705</v>
      </c>
    </row>
    <row r="19" spans="1:11" ht="15" customHeight="1" outlineLevel="1" x14ac:dyDescent="0.2">
      <c r="A19" s="11" t="s">
        <v>76</v>
      </c>
      <c r="B19" s="12">
        <v>-3196</v>
      </c>
      <c r="C19" s="12">
        <v>-5223</v>
      </c>
      <c r="D19" s="12">
        <v>15296</v>
      </c>
      <c r="E19" s="12">
        <v>184</v>
      </c>
      <c r="F19" s="12">
        <v>-524</v>
      </c>
      <c r="G19" s="12">
        <v>875</v>
      </c>
      <c r="H19" s="12">
        <v>692</v>
      </c>
      <c r="I19" s="12">
        <v>-152</v>
      </c>
      <c r="J19" s="12">
        <v>615</v>
      </c>
      <c r="K19" s="12">
        <v>-43</v>
      </c>
    </row>
    <row r="20" spans="1:11" ht="15" customHeight="1" outlineLevel="2" x14ac:dyDescent="0.2">
      <c r="A20" s="5" t="s">
        <v>77</v>
      </c>
      <c r="B20" s="22">
        <v>-211</v>
      </c>
      <c r="C20" s="13">
        <v>114</v>
      </c>
      <c r="D20" s="22">
        <v>-170</v>
      </c>
      <c r="E20" s="22">
        <v>-105</v>
      </c>
      <c r="F20" s="22">
        <v>-122</v>
      </c>
      <c r="G20" s="13">
        <v>165</v>
      </c>
      <c r="H20" s="13">
        <v>345</v>
      </c>
      <c r="I20" s="22">
        <v>-305</v>
      </c>
      <c r="J20" s="22">
        <v>-245</v>
      </c>
      <c r="K20" s="22">
        <v>-313</v>
      </c>
    </row>
    <row r="21" spans="1:11" ht="15" customHeight="1" outlineLevel="2" x14ac:dyDescent="0.2">
      <c r="A21" s="17" t="s">
        <v>78</v>
      </c>
      <c r="B21" s="16">
        <v>139</v>
      </c>
      <c r="C21" s="16">
        <v>41</v>
      </c>
      <c r="D21" s="16">
        <v>567</v>
      </c>
      <c r="E21" s="18">
        <v>-629</v>
      </c>
      <c r="F21" s="18">
        <v>-903</v>
      </c>
      <c r="G21" s="18">
        <v>-91</v>
      </c>
      <c r="H21" s="16">
        <v>370</v>
      </c>
      <c r="I21" s="18">
        <v>-509</v>
      </c>
      <c r="J21" s="18">
        <v>-387</v>
      </c>
      <c r="K21" s="16">
        <v>57</v>
      </c>
    </row>
    <row r="22" spans="1:11" ht="15" customHeight="1" outlineLevel="2" x14ac:dyDescent="0.2">
      <c r="A22" s="5" t="s">
        <v>79</v>
      </c>
      <c r="B22" s="13">
        <v>21</v>
      </c>
      <c r="C22" s="13">
        <v>46</v>
      </c>
      <c r="D22" s="13">
        <v>138</v>
      </c>
      <c r="E22" s="13">
        <v>111</v>
      </c>
      <c r="F22" s="13">
        <v>518</v>
      </c>
      <c r="G22" s="13">
        <v>252</v>
      </c>
      <c r="H22" s="22">
        <v>-117</v>
      </c>
      <c r="I22" s="13">
        <v>408</v>
      </c>
      <c r="J22" s="13">
        <v>24</v>
      </c>
      <c r="K22" s="13">
        <v>148</v>
      </c>
    </row>
    <row r="23" spans="1:11" ht="15" customHeight="1" outlineLevel="2" x14ac:dyDescent="0.2">
      <c r="A23" s="17" t="s">
        <v>80</v>
      </c>
      <c r="B23" s="21"/>
      <c r="C23" s="18">
        <v>-272</v>
      </c>
      <c r="D23" s="18">
        <v>-218</v>
      </c>
      <c r="E23" s="18">
        <v>-47</v>
      </c>
      <c r="F23" s="18">
        <v>-244</v>
      </c>
      <c r="G23" s="16">
        <v>132</v>
      </c>
      <c r="H23" s="16">
        <v>205</v>
      </c>
      <c r="I23" s="16">
        <v>134</v>
      </c>
      <c r="J23" s="16">
        <v>967</v>
      </c>
      <c r="K23" s="16">
        <v>101</v>
      </c>
    </row>
    <row r="24" spans="1:11" ht="15" customHeight="1" outlineLevel="2" x14ac:dyDescent="0.2">
      <c r="A24" s="5" t="s">
        <v>81</v>
      </c>
      <c r="B24" s="22">
        <v>-3145</v>
      </c>
      <c r="C24" s="22">
        <v>-5152</v>
      </c>
      <c r="D24" s="13">
        <v>14979</v>
      </c>
      <c r="E24" s="13">
        <v>854</v>
      </c>
      <c r="F24" s="13">
        <v>227</v>
      </c>
      <c r="G24" s="13">
        <v>417</v>
      </c>
      <c r="H24" s="22">
        <v>-111</v>
      </c>
      <c r="I24" s="13">
        <v>120</v>
      </c>
      <c r="J24" s="13">
        <v>256</v>
      </c>
      <c r="K24" s="22">
        <v>-36</v>
      </c>
    </row>
    <row r="25" spans="1:11" ht="15" customHeight="1" outlineLevel="1" x14ac:dyDescent="0.2">
      <c r="A25" s="25" t="s">
        <v>82</v>
      </c>
      <c r="B25" s="16">
        <v>2306</v>
      </c>
      <c r="C25" s="16">
        <v>1819</v>
      </c>
      <c r="D25" s="16">
        <v>6680</v>
      </c>
      <c r="E25" s="16">
        <v>5591</v>
      </c>
      <c r="F25" s="16">
        <v>7454</v>
      </c>
      <c r="G25" s="16">
        <v>8113</v>
      </c>
      <c r="H25" s="16">
        <v>7070</v>
      </c>
      <c r="I25" s="16">
        <v>6439</v>
      </c>
      <c r="J25" s="16">
        <v>6240</v>
      </c>
      <c r="K25" s="16">
        <v>6662</v>
      </c>
    </row>
    <row r="26" spans="1:11" ht="15" customHeight="1" x14ac:dyDescent="0.2">
      <c r="A26" s="9" t="s">
        <v>83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15" customHeight="1" outlineLevel="1" x14ac:dyDescent="0.2">
      <c r="A27" s="11" t="s">
        <v>84</v>
      </c>
      <c r="B27" s="12">
        <v>-910</v>
      </c>
      <c r="C27" s="12">
        <v>-1181</v>
      </c>
      <c r="D27" s="12">
        <v>-1615</v>
      </c>
      <c r="E27" s="12">
        <v>-1749</v>
      </c>
      <c r="F27" s="12">
        <v>-1603</v>
      </c>
      <c r="G27" s="12">
        <v>-1501</v>
      </c>
      <c r="H27" s="12">
        <v>-1699</v>
      </c>
      <c r="I27" s="12">
        <v>-1577</v>
      </c>
      <c r="J27" s="12">
        <v>-1373</v>
      </c>
      <c r="K27" s="12">
        <v>-1420</v>
      </c>
    </row>
    <row r="28" spans="1:11" ht="15" customHeight="1" outlineLevel="2" x14ac:dyDescent="0.2">
      <c r="A28" s="5" t="s">
        <v>85</v>
      </c>
      <c r="B28" s="22">
        <v>-910</v>
      </c>
      <c r="C28" s="22">
        <v>-1181</v>
      </c>
      <c r="D28" s="22">
        <v>-1615</v>
      </c>
      <c r="E28" s="22">
        <v>-1749</v>
      </c>
      <c r="F28" s="22">
        <v>-1603</v>
      </c>
      <c r="G28" s="22">
        <v>-1501</v>
      </c>
      <c r="H28" s="22">
        <v>-1699</v>
      </c>
      <c r="I28" s="22">
        <v>-1577</v>
      </c>
      <c r="J28" s="22">
        <v>-1373</v>
      </c>
      <c r="K28" s="22">
        <v>-1420</v>
      </c>
    </row>
    <row r="29" spans="1:11" ht="15" customHeight="1" outlineLevel="1" x14ac:dyDescent="0.2">
      <c r="A29" s="25" t="s">
        <v>86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8">
        <v>-25</v>
      </c>
      <c r="H29" s="18">
        <v>-4984</v>
      </c>
      <c r="I29" s="16">
        <v>0</v>
      </c>
      <c r="J29" s="18">
        <v>-2023</v>
      </c>
      <c r="K29" s="18">
        <v>-16</v>
      </c>
    </row>
    <row r="30" spans="1:11" ht="15" customHeight="1" outlineLevel="1" x14ac:dyDescent="0.2">
      <c r="A30" s="26" t="s">
        <v>87</v>
      </c>
      <c r="B30" s="13">
        <v>100</v>
      </c>
      <c r="C30" s="13">
        <v>61</v>
      </c>
      <c r="D30" s="13">
        <v>179</v>
      </c>
      <c r="E30" s="13">
        <v>691</v>
      </c>
      <c r="F30" s="13">
        <v>51</v>
      </c>
      <c r="G30" s="13">
        <v>704</v>
      </c>
      <c r="H30" s="13">
        <v>359</v>
      </c>
      <c r="I30" s="13">
        <v>1121</v>
      </c>
      <c r="J30" s="13">
        <v>1114</v>
      </c>
      <c r="K30" s="13">
        <v>200</v>
      </c>
    </row>
    <row r="31" spans="1:11" ht="15" customHeight="1" outlineLevel="1" x14ac:dyDescent="0.2">
      <c r="A31" s="11" t="s">
        <v>88</v>
      </c>
      <c r="B31" s="12">
        <v>2163</v>
      </c>
      <c r="C31" s="12">
        <v>-2079</v>
      </c>
      <c r="D31" s="12">
        <v>194</v>
      </c>
      <c r="E31" s="12">
        <v>11</v>
      </c>
      <c r="F31" s="12">
        <v>204</v>
      </c>
      <c r="G31" s="12">
        <v>232</v>
      </c>
      <c r="H31" s="12">
        <v>-192</v>
      </c>
      <c r="I31" s="12">
        <v>669</v>
      </c>
      <c r="J31" s="12">
        <v>-798</v>
      </c>
      <c r="K31" s="12">
        <v>-163</v>
      </c>
    </row>
    <row r="32" spans="1:11" ht="15" customHeight="1" outlineLevel="2" x14ac:dyDescent="0.2">
      <c r="A32" s="5" t="s">
        <v>89</v>
      </c>
      <c r="B32" s="13">
        <v>1305</v>
      </c>
      <c r="C32" s="13">
        <v>4153</v>
      </c>
      <c r="D32" s="13">
        <v>1466</v>
      </c>
      <c r="E32" s="13">
        <v>1250</v>
      </c>
      <c r="F32" s="13">
        <v>2202</v>
      </c>
      <c r="G32" s="13">
        <v>1579</v>
      </c>
      <c r="H32" s="13">
        <v>1635</v>
      </c>
      <c r="I32" s="13">
        <v>1828</v>
      </c>
      <c r="J32" s="13">
        <v>2152</v>
      </c>
      <c r="K32" s="13">
        <v>1410</v>
      </c>
    </row>
    <row r="33" spans="1:11" ht="15" customHeight="1" outlineLevel="2" x14ac:dyDescent="0.2">
      <c r="A33" s="17" t="s">
        <v>90</v>
      </c>
      <c r="B33" s="16">
        <v>3468</v>
      </c>
      <c r="C33" s="16">
        <v>2074</v>
      </c>
      <c r="D33" s="16">
        <v>1660</v>
      </c>
      <c r="E33" s="16">
        <v>1261</v>
      </c>
      <c r="F33" s="16">
        <v>2406</v>
      </c>
      <c r="G33" s="16">
        <v>1811</v>
      </c>
      <c r="H33" s="16">
        <v>1443</v>
      </c>
      <c r="I33" s="16">
        <v>2497</v>
      </c>
      <c r="J33" s="16">
        <v>1354</v>
      </c>
      <c r="K33" s="16">
        <v>1247</v>
      </c>
    </row>
    <row r="34" spans="1:11" ht="15" customHeight="1" outlineLevel="1" x14ac:dyDescent="0.2">
      <c r="A34" s="19" t="s">
        <v>74</v>
      </c>
      <c r="B34" s="10">
        <v>-3</v>
      </c>
      <c r="C34" s="10">
        <v>-7</v>
      </c>
      <c r="D34" s="10">
        <v>35</v>
      </c>
      <c r="E34" s="10">
        <v>1</v>
      </c>
      <c r="F34" s="10">
        <v>31</v>
      </c>
      <c r="G34" s="10">
        <v>10</v>
      </c>
      <c r="H34" s="10">
        <v>72</v>
      </c>
      <c r="I34" s="10">
        <v>9</v>
      </c>
      <c r="J34" s="10">
        <v>-6</v>
      </c>
      <c r="K34" s="10">
        <v>-4</v>
      </c>
    </row>
    <row r="35" spans="1:11" ht="15" customHeight="1" outlineLevel="2" x14ac:dyDescent="0.2">
      <c r="A35" s="17" t="s">
        <v>91</v>
      </c>
      <c r="B35" s="18">
        <v>-3</v>
      </c>
      <c r="C35" s="18">
        <v>-7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8">
        <v>-6</v>
      </c>
      <c r="K35" s="18">
        <v>-4</v>
      </c>
    </row>
    <row r="36" spans="1:11" ht="15" customHeight="1" outlineLevel="2" x14ac:dyDescent="0.2">
      <c r="A36" s="5" t="s">
        <v>92</v>
      </c>
      <c r="B36" s="13">
        <v>0</v>
      </c>
      <c r="C36" s="13">
        <v>0</v>
      </c>
      <c r="D36" s="13">
        <v>35</v>
      </c>
      <c r="E36" s="13">
        <v>1</v>
      </c>
      <c r="F36" s="13">
        <v>31</v>
      </c>
      <c r="G36" s="13">
        <v>10</v>
      </c>
      <c r="H36" s="13">
        <v>72</v>
      </c>
      <c r="I36" s="13">
        <v>9</v>
      </c>
      <c r="J36" s="13">
        <v>0</v>
      </c>
      <c r="K36" s="13">
        <v>0</v>
      </c>
    </row>
    <row r="37" spans="1:11" ht="15" customHeight="1" outlineLevel="1" x14ac:dyDescent="0.2">
      <c r="A37" s="25" t="s">
        <v>93</v>
      </c>
      <c r="B37" s="16">
        <v>1350</v>
      </c>
      <c r="C37" s="18">
        <v>-3206</v>
      </c>
      <c r="D37" s="18">
        <v>-1207</v>
      </c>
      <c r="E37" s="18">
        <v>-1046</v>
      </c>
      <c r="F37" s="18">
        <v>-1317</v>
      </c>
      <c r="G37" s="18">
        <v>-580</v>
      </c>
      <c r="H37" s="18">
        <v>-6444</v>
      </c>
      <c r="I37" s="16">
        <v>222</v>
      </c>
      <c r="J37" s="18">
        <v>-3086</v>
      </c>
      <c r="K37" s="18">
        <v>-1403</v>
      </c>
    </row>
    <row r="38" spans="1:11" ht="15" customHeight="1" x14ac:dyDescent="0.2">
      <c r="A38" s="9" t="s">
        <v>94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5" customHeight="1" outlineLevel="1" x14ac:dyDescent="0.2">
      <c r="A39" s="11" t="s">
        <v>95</v>
      </c>
      <c r="B39" s="12">
        <v>-1562</v>
      </c>
      <c r="C39" s="12">
        <v>-1982</v>
      </c>
      <c r="D39" s="12">
        <v>-3311</v>
      </c>
      <c r="E39" s="12">
        <v>-3369</v>
      </c>
      <c r="F39" s="12">
        <v>-3420</v>
      </c>
      <c r="G39" s="12">
        <v>-3388</v>
      </c>
      <c r="H39" s="12">
        <v>-3316</v>
      </c>
      <c r="I39" s="12">
        <v>-3193</v>
      </c>
      <c r="J39" s="12">
        <v>-2803</v>
      </c>
      <c r="K39" s="12">
        <v>-2678</v>
      </c>
    </row>
    <row r="40" spans="1:11" ht="15" customHeight="1" outlineLevel="2" x14ac:dyDescent="0.2">
      <c r="A40" s="5" t="s">
        <v>96</v>
      </c>
      <c r="B40" s="22">
        <v>-1562</v>
      </c>
      <c r="C40" s="22">
        <v>-1982</v>
      </c>
      <c r="D40" s="22">
        <v>-3311</v>
      </c>
      <c r="E40" s="22">
        <v>-3369</v>
      </c>
      <c r="F40" s="22">
        <v>-3420</v>
      </c>
      <c r="G40" s="22">
        <v>-3388</v>
      </c>
      <c r="H40" s="22">
        <v>-3316</v>
      </c>
      <c r="I40" s="22">
        <v>-3193</v>
      </c>
      <c r="J40" s="22">
        <v>-2803</v>
      </c>
      <c r="K40" s="22">
        <v>-2678</v>
      </c>
    </row>
    <row r="41" spans="1:11" ht="15" customHeight="1" outlineLevel="1" x14ac:dyDescent="0.2">
      <c r="A41" s="11" t="s">
        <v>97</v>
      </c>
      <c r="B41" s="12">
        <v>-1689</v>
      </c>
      <c r="C41" s="12">
        <v>-1709</v>
      </c>
      <c r="D41" s="12">
        <v>231</v>
      </c>
      <c r="E41" s="12">
        <v>-1083</v>
      </c>
      <c r="F41" s="12">
        <v>-1560</v>
      </c>
      <c r="G41" s="12">
        <v>61</v>
      </c>
      <c r="H41" s="12">
        <v>-860</v>
      </c>
      <c r="I41" s="12">
        <v>-4385</v>
      </c>
      <c r="J41" s="12">
        <v>-1334</v>
      </c>
      <c r="K41" s="12">
        <v>-2949</v>
      </c>
    </row>
    <row r="42" spans="1:11" ht="15" customHeight="1" outlineLevel="2" x14ac:dyDescent="0.2">
      <c r="A42" s="5" t="s">
        <v>98</v>
      </c>
      <c r="B42" s="22">
        <v>-3251</v>
      </c>
      <c r="C42" s="22">
        <v>-1801</v>
      </c>
      <c r="D42" s="22">
        <v>-33</v>
      </c>
      <c r="E42" s="22">
        <v>-1464</v>
      </c>
      <c r="F42" s="22">
        <v>-2199</v>
      </c>
      <c r="G42" s="22">
        <v>-368</v>
      </c>
      <c r="H42" s="22">
        <v>-1407</v>
      </c>
      <c r="I42" s="22">
        <v>-4870</v>
      </c>
      <c r="J42" s="22">
        <v>-2068</v>
      </c>
      <c r="K42" s="22">
        <v>-3753</v>
      </c>
    </row>
    <row r="43" spans="1:11" ht="15" customHeight="1" outlineLevel="2" x14ac:dyDescent="0.2">
      <c r="A43" s="14" t="s">
        <v>99</v>
      </c>
      <c r="B43" s="12">
        <v>1562</v>
      </c>
      <c r="C43" s="12">
        <v>92</v>
      </c>
      <c r="D43" s="12">
        <v>264</v>
      </c>
      <c r="E43" s="12">
        <v>381</v>
      </c>
      <c r="F43" s="12">
        <v>639</v>
      </c>
      <c r="G43" s="12">
        <v>429</v>
      </c>
      <c r="H43" s="12">
        <v>547</v>
      </c>
      <c r="I43" s="12">
        <v>485</v>
      </c>
      <c r="J43" s="12">
        <v>734</v>
      </c>
      <c r="K43" s="12">
        <v>804</v>
      </c>
    </row>
    <row r="44" spans="1:11" ht="15" customHeight="1" outlineLevel="3" x14ac:dyDescent="0.2">
      <c r="A44" s="7" t="s">
        <v>100</v>
      </c>
      <c r="B44" s="13">
        <v>1562</v>
      </c>
      <c r="C44" s="13">
        <v>92</v>
      </c>
      <c r="D44" s="13">
        <v>264</v>
      </c>
      <c r="E44" s="13">
        <v>381</v>
      </c>
      <c r="F44" s="13">
        <v>639</v>
      </c>
      <c r="G44" s="13">
        <v>429</v>
      </c>
      <c r="H44" s="13">
        <v>547</v>
      </c>
      <c r="I44" s="13">
        <v>485</v>
      </c>
      <c r="J44" s="13">
        <v>734</v>
      </c>
      <c r="K44" s="13">
        <v>804</v>
      </c>
    </row>
    <row r="45" spans="1:11" ht="15" customHeight="1" outlineLevel="1" x14ac:dyDescent="0.2">
      <c r="A45" s="11" t="s">
        <v>101</v>
      </c>
      <c r="B45" s="12">
        <v>-716</v>
      </c>
      <c r="C45" s="12">
        <v>5506</v>
      </c>
      <c r="D45" s="12">
        <v>-46</v>
      </c>
      <c r="E45" s="12">
        <v>-838</v>
      </c>
      <c r="F45" s="12">
        <v>-1145</v>
      </c>
      <c r="G45" s="12">
        <v>-1875</v>
      </c>
      <c r="H45" s="12">
        <v>3249</v>
      </c>
      <c r="I45" s="12">
        <v>933</v>
      </c>
      <c r="J45" s="12">
        <v>1603</v>
      </c>
      <c r="K45" s="12">
        <v>1043</v>
      </c>
    </row>
    <row r="46" spans="1:11" ht="15" customHeight="1" outlineLevel="2" x14ac:dyDescent="0.2">
      <c r="A46" s="5" t="s">
        <v>102</v>
      </c>
      <c r="B46" s="13">
        <v>0</v>
      </c>
      <c r="C46" s="22">
        <v>-205</v>
      </c>
      <c r="D46" s="13">
        <v>205</v>
      </c>
      <c r="E46" s="13">
        <v>340</v>
      </c>
      <c r="F46" s="22">
        <v>-2</v>
      </c>
      <c r="G46" s="22">
        <v>-143</v>
      </c>
      <c r="H46" s="22">
        <v>-316</v>
      </c>
      <c r="I46" s="22">
        <v>-284</v>
      </c>
      <c r="J46" s="13">
        <v>578</v>
      </c>
      <c r="K46" s="22">
        <v>-797</v>
      </c>
    </row>
    <row r="47" spans="1:11" ht="15" customHeight="1" outlineLevel="2" x14ac:dyDescent="0.2">
      <c r="A47" s="14" t="s">
        <v>103</v>
      </c>
      <c r="B47" s="12">
        <v>-716</v>
      </c>
      <c r="C47" s="12">
        <v>5711</v>
      </c>
      <c r="D47" s="12">
        <v>-251</v>
      </c>
      <c r="E47" s="12">
        <v>-1178</v>
      </c>
      <c r="F47" s="12">
        <v>-1143</v>
      </c>
      <c r="G47" s="12">
        <v>-1732</v>
      </c>
      <c r="H47" s="12">
        <v>3565</v>
      </c>
      <c r="I47" s="12">
        <v>1217</v>
      </c>
      <c r="J47" s="12">
        <v>1025</v>
      </c>
      <c r="K47" s="12">
        <v>1840</v>
      </c>
    </row>
    <row r="48" spans="1:11" ht="15" customHeight="1" outlineLevel="3" x14ac:dyDescent="0.2">
      <c r="A48" s="7" t="s">
        <v>104</v>
      </c>
      <c r="B48" s="13">
        <v>1099</v>
      </c>
      <c r="C48" s="13">
        <v>8367</v>
      </c>
      <c r="D48" s="13">
        <v>2835</v>
      </c>
      <c r="E48" s="13">
        <v>1</v>
      </c>
      <c r="F48" s="13">
        <v>1</v>
      </c>
      <c r="G48" s="13">
        <v>1750</v>
      </c>
      <c r="H48" s="13">
        <v>6281</v>
      </c>
      <c r="I48" s="13">
        <v>2251</v>
      </c>
      <c r="J48" s="13">
        <v>1987</v>
      </c>
      <c r="K48" s="13">
        <v>2832</v>
      </c>
    </row>
    <row r="49" spans="1:11" ht="15" customHeight="1" outlineLevel="3" x14ac:dyDescent="0.2">
      <c r="A49" s="15" t="s">
        <v>105</v>
      </c>
      <c r="B49" s="18">
        <v>-1815</v>
      </c>
      <c r="C49" s="18">
        <v>-2656</v>
      </c>
      <c r="D49" s="18">
        <v>-3086</v>
      </c>
      <c r="E49" s="18">
        <v>-1179</v>
      </c>
      <c r="F49" s="18">
        <v>-1144</v>
      </c>
      <c r="G49" s="18">
        <v>-3482</v>
      </c>
      <c r="H49" s="18">
        <v>-2716</v>
      </c>
      <c r="I49" s="18">
        <v>-1034</v>
      </c>
      <c r="J49" s="18">
        <v>-962</v>
      </c>
      <c r="K49" s="18">
        <v>-992</v>
      </c>
    </row>
    <row r="50" spans="1:11" ht="15" customHeight="1" outlineLevel="1" x14ac:dyDescent="0.2">
      <c r="A50" s="19" t="s">
        <v>74</v>
      </c>
      <c r="B50" s="10">
        <v>-49</v>
      </c>
      <c r="C50" s="10">
        <v>-717</v>
      </c>
      <c r="D50" s="10">
        <v>-21</v>
      </c>
      <c r="E50" s="10">
        <v>-60</v>
      </c>
      <c r="F50" s="10">
        <v>-20</v>
      </c>
      <c r="G50" s="10">
        <v>-98</v>
      </c>
      <c r="H50" s="10">
        <v>-197</v>
      </c>
      <c r="I50" s="10">
        <v>-56</v>
      </c>
      <c r="J50" s="10">
        <v>-121</v>
      </c>
      <c r="K50" s="10">
        <v>-42</v>
      </c>
    </row>
    <row r="51" spans="1:11" ht="15" customHeight="1" outlineLevel="2" x14ac:dyDescent="0.2">
      <c r="A51" s="17" t="s">
        <v>91</v>
      </c>
      <c r="B51" s="18">
        <v>-49</v>
      </c>
      <c r="C51" s="18">
        <v>-717</v>
      </c>
      <c r="D51" s="18">
        <v>-21</v>
      </c>
      <c r="E51" s="18">
        <v>-60</v>
      </c>
      <c r="F51" s="18">
        <v>-20</v>
      </c>
      <c r="G51" s="18">
        <v>-98</v>
      </c>
      <c r="H51" s="18">
        <v>-197</v>
      </c>
      <c r="I51" s="18">
        <v>-56</v>
      </c>
      <c r="J51" s="18">
        <v>-121</v>
      </c>
      <c r="K51" s="18">
        <v>-42</v>
      </c>
    </row>
    <row r="52" spans="1:11" ht="15" customHeight="1" outlineLevel="1" x14ac:dyDescent="0.2">
      <c r="A52" s="26" t="s">
        <v>106</v>
      </c>
      <c r="B52" s="22">
        <v>-4016</v>
      </c>
      <c r="C52" s="13">
        <v>1098</v>
      </c>
      <c r="D52" s="22">
        <v>-3147</v>
      </c>
      <c r="E52" s="22">
        <v>-5350</v>
      </c>
      <c r="F52" s="22">
        <v>-6145</v>
      </c>
      <c r="G52" s="22">
        <v>-5300</v>
      </c>
      <c r="H52" s="22">
        <v>-1124</v>
      </c>
      <c r="I52" s="22">
        <v>-6701</v>
      </c>
      <c r="J52" s="22">
        <v>-2655</v>
      </c>
      <c r="K52" s="22">
        <v>-4626</v>
      </c>
    </row>
    <row r="53" spans="1:11" ht="15" customHeight="1" x14ac:dyDescent="0.2">
      <c r="A53" s="23" t="s">
        <v>107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15" customHeight="1" outlineLevel="1" x14ac:dyDescent="0.2">
      <c r="A54" s="26" t="s">
        <v>108</v>
      </c>
      <c r="B54" s="13">
        <v>41</v>
      </c>
      <c r="C54" s="22">
        <v>-44</v>
      </c>
      <c r="D54" s="22">
        <v>-48</v>
      </c>
      <c r="E54" s="22">
        <v>-104</v>
      </c>
      <c r="F54" s="22">
        <v>-62</v>
      </c>
      <c r="G54" s="13">
        <v>48</v>
      </c>
      <c r="H54" s="22">
        <v>-2</v>
      </c>
      <c r="I54" s="22">
        <v>-160</v>
      </c>
      <c r="J54" s="13">
        <v>156</v>
      </c>
      <c r="K54" s="22">
        <v>-33</v>
      </c>
    </row>
    <row r="55" spans="1:11" ht="15" customHeight="1" outlineLevel="1" x14ac:dyDescent="0.2">
      <c r="A55" s="25" t="s">
        <v>109</v>
      </c>
      <c r="B55" s="18">
        <v>-319</v>
      </c>
      <c r="C55" s="18">
        <v>-333</v>
      </c>
      <c r="D55" s="16">
        <v>2278</v>
      </c>
      <c r="E55" s="18">
        <v>-909</v>
      </c>
      <c r="F55" s="18">
        <v>-70</v>
      </c>
      <c r="G55" s="16">
        <v>2281</v>
      </c>
      <c r="H55" s="18">
        <v>-500</v>
      </c>
      <c r="I55" s="18">
        <v>-200</v>
      </c>
      <c r="J55" s="16">
        <v>655</v>
      </c>
      <c r="K55" s="16">
        <v>600</v>
      </c>
    </row>
    <row r="56" spans="1:11" ht="15" customHeight="1" outlineLevel="1" x14ac:dyDescent="0.2">
      <c r="A56" s="19" t="s">
        <v>110</v>
      </c>
      <c r="B56" s="10">
        <v>1396</v>
      </c>
      <c r="C56" s="10">
        <v>638</v>
      </c>
      <c r="D56" s="10">
        <v>5065</v>
      </c>
      <c r="E56" s="10">
        <v>3842</v>
      </c>
      <c r="F56" s="10">
        <v>5851</v>
      </c>
      <c r="G56" s="10">
        <v>6612</v>
      </c>
      <c r="H56" s="10">
        <v>5371</v>
      </c>
      <c r="I56" s="10">
        <v>4862</v>
      </c>
      <c r="J56" s="10">
        <v>4867</v>
      </c>
      <c r="K56" s="10">
        <v>5242</v>
      </c>
    </row>
    <row r="57" spans="1:11" ht="15" customHeight="1" outlineLevel="2" x14ac:dyDescent="0.2">
      <c r="A57" s="17" t="s">
        <v>111</v>
      </c>
      <c r="B57" s="16">
        <v>2.5789770000000001</v>
      </c>
      <c r="C57" s="16">
        <v>1.15496</v>
      </c>
      <c r="D57" s="16">
        <v>9.1442499999999995</v>
      </c>
      <c r="E57" s="16">
        <v>6.7688509999999997</v>
      </c>
      <c r="F57" s="16">
        <v>9.9965829999999993</v>
      </c>
      <c r="G57" s="16">
        <v>11.356922000000001</v>
      </c>
      <c r="H57" s="16">
        <v>9.179627</v>
      </c>
      <c r="I57" s="16">
        <v>8.0764119999999995</v>
      </c>
      <c r="J57" s="16">
        <v>7.9435289999999998</v>
      </c>
      <c r="K57" s="16">
        <v>8.4726040000000005</v>
      </c>
    </row>
    <row r="58" spans="1:11" ht="15" customHeight="1" outlineLevel="2" x14ac:dyDescent="0.2">
      <c r="A58" s="5" t="s">
        <v>112</v>
      </c>
      <c r="B58" s="27">
        <v>1.6108530000000001</v>
      </c>
      <c r="C58" s="27">
        <v>0.89469399999999999</v>
      </c>
      <c r="D58" s="27">
        <v>8.3646630000000002</v>
      </c>
      <c r="E58" s="27">
        <v>5.6444720000000004</v>
      </c>
      <c r="F58" s="27">
        <v>5.6277559999999998</v>
      </c>
      <c r="G58" s="27">
        <v>6.4974670000000003</v>
      </c>
      <c r="H58" s="27">
        <v>5.2032800000000003</v>
      </c>
      <c r="I58" s="27">
        <v>4.238696</v>
      </c>
      <c r="J58" s="27">
        <v>3.374911</v>
      </c>
      <c r="K58" s="27">
        <v>4.7446960000000002</v>
      </c>
    </row>
    <row r="59" spans="1:11" ht="15" customHeight="1" x14ac:dyDescent="0.2">
      <c r="A59" s="31" t="s">
        <v>65</v>
      </c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ht="1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ht="1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t="1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1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ht="1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6013-12E1-4AD8-9C3A-8CC9332BB86C}">
  <sheetPr>
    <outlinePr summaryBelow="0" summaryRight="0"/>
  </sheetPr>
  <dimension ref="A1:K69"/>
  <sheetViews>
    <sheetView zoomScale="87" workbookViewId="0">
      <selection activeCell="N29" sqref="N29"/>
    </sheetView>
  </sheetViews>
  <sheetFormatPr defaultColWidth="9.140625" defaultRowHeight="15" customHeight="1" outlineLevelRow="3" x14ac:dyDescent="0.2"/>
  <cols>
    <col min="1" max="1" width="36.140625" style="6" customWidth="1"/>
    <col min="2" max="6" width="8" style="6" customWidth="1"/>
    <col min="7" max="7" width="10.85546875" style="6" customWidth="1"/>
    <col min="8" max="8" width="10.140625" style="6" customWidth="1"/>
    <col min="9" max="9" width="8" style="6" customWidth="1"/>
    <col min="10" max="10" width="10.7109375" style="6" customWidth="1"/>
    <col min="11" max="11" width="12.140625" style="6" customWidth="1"/>
    <col min="12" max="16384" width="9.140625" style="6"/>
  </cols>
  <sheetData>
    <row r="1" spans="1:11" ht="15" customHeight="1" x14ac:dyDescent="0.2">
      <c r="A1" s="50" t="s">
        <v>66</v>
      </c>
    </row>
    <row r="2" spans="1:11" ht="15" customHeight="1" x14ac:dyDescent="0.2">
      <c r="A2" s="51"/>
    </row>
    <row r="3" spans="1:11" ht="15" customHeight="1" x14ac:dyDescent="0.2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5" customHeight="1" x14ac:dyDescent="0.2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15" customHeight="1" x14ac:dyDescent="0.2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15" customHeight="1" x14ac:dyDescent="0.2">
      <c r="A6" s="8"/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</row>
    <row r="7" spans="1:11" ht="15" customHeight="1" x14ac:dyDescent="0.2">
      <c r="A7" s="8"/>
      <c r="B7" s="8"/>
      <c r="C7" s="8"/>
      <c r="D7" s="8" t="s">
        <v>13</v>
      </c>
      <c r="E7" s="8"/>
      <c r="F7" s="8"/>
      <c r="G7" s="8" t="s">
        <v>13</v>
      </c>
      <c r="H7" s="8"/>
      <c r="I7" s="8"/>
      <c r="J7" s="8" t="s">
        <v>13</v>
      </c>
      <c r="K7" s="8"/>
    </row>
    <row r="8" spans="1:11" ht="15" customHeight="1" x14ac:dyDescent="0.2">
      <c r="A8" s="9" t="s">
        <v>14</v>
      </c>
      <c r="B8" s="10">
        <v>24948</v>
      </c>
      <c r="C8" s="10">
        <v>24575</v>
      </c>
      <c r="D8" s="10">
        <v>24610</v>
      </c>
      <c r="E8" s="10">
        <v>34229</v>
      </c>
      <c r="F8" s="10">
        <v>35355</v>
      </c>
      <c r="G8" s="10">
        <v>32184</v>
      </c>
      <c r="H8" s="10">
        <v>32136</v>
      </c>
      <c r="I8" s="10">
        <v>32765</v>
      </c>
      <c r="J8" s="10">
        <v>31657</v>
      </c>
      <c r="K8" s="10">
        <v>30109</v>
      </c>
    </row>
    <row r="9" spans="1:11" ht="15" customHeight="1" outlineLevel="1" x14ac:dyDescent="0.2">
      <c r="A9" s="11" t="s">
        <v>15</v>
      </c>
      <c r="B9" s="12">
        <v>15072</v>
      </c>
      <c r="C9" s="12">
        <v>14495</v>
      </c>
      <c r="D9" s="12">
        <v>15037</v>
      </c>
      <c r="E9" s="12">
        <v>19263</v>
      </c>
      <c r="F9" s="12">
        <v>18743</v>
      </c>
      <c r="G9" s="12">
        <v>16581</v>
      </c>
      <c r="H9" s="12">
        <v>16830</v>
      </c>
      <c r="I9" s="12">
        <v>16575</v>
      </c>
      <c r="J9" s="12">
        <v>15995</v>
      </c>
      <c r="K9" s="12">
        <v>15133</v>
      </c>
    </row>
    <row r="10" spans="1:11" ht="15" customHeight="1" outlineLevel="2" x14ac:dyDescent="0.2">
      <c r="A10" s="5" t="s">
        <v>16</v>
      </c>
      <c r="B10" s="13">
        <v>13764</v>
      </c>
      <c r="C10" s="13">
        <v>13271</v>
      </c>
      <c r="D10" s="13">
        <v>13604</v>
      </c>
      <c r="E10" s="13">
        <v>17432</v>
      </c>
      <c r="F10" s="13">
        <v>16828</v>
      </c>
      <c r="G10" s="13">
        <v>14670</v>
      </c>
      <c r="H10" s="13">
        <v>15237</v>
      </c>
      <c r="I10" s="13">
        <v>15087</v>
      </c>
      <c r="J10" s="13">
        <v>14451</v>
      </c>
      <c r="K10" s="13">
        <v>13659</v>
      </c>
    </row>
    <row r="11" spans="1:11" ht="15" customHeight="1" outlineLevel="2" x14ac:dyDescent="0.2">
      <c r="A11" s="14" t="s">
        <v>17</v>
      </c>
      <c r="B11" s="12">
        <v>1308</v>
      </c>
      <c r="C11" s="12">
        <v>1224</v>
      </c>
      <c r="D11" s="12">
        <v>1433</v>
      </c>
      <c r="E11" s="12">
        <v>1831</v>
      </c>
      <c r="F11" s="12">
        <v>1915</v>
      </c>
      <c r="G11" s="12">
        <v>1911</v>
      </c>
      <c r="H11" s="12">
        <v>1593</v>
      </c>
      <c r="I11" s="12">
        <v>1488</v>
      </c>
      <c r="J11" s="12">
        <v>1544</v>
      </c>
      <c r="K11" s="12">
        <v>1474</v>
      </c>
    </row>
    <row r="12" spans="1:11" ht="15" customHeight="1" outlineLevel="3" x14ac:dyDescent="0.2">
      <c r="A12" s="7" t="s">
        <v>18</v>
      </c>
      <c r="B12" s="13">
        <v>1204</v>
      </c>
      <c r="C12" s="13">
        <v>1116</v>
      </c>
      <c r="D12" s="13">
        <v>1306</v>
      </c>
      <c r="E12" s="13">
        <v>1333</v>
      </c>
      <c r="F12" s="13">
        <v>1386</v>
      </c>
      <c r="G12" s="13">
        <v>1374</v>
      </c>
      <c r="H12" s="13">
        <v>1252</v>
      </c>
      <c r="I12" s="13">
        <v>1239</v>
      </c>
      <c r="J12" s="13">
        <v>1306</v>
      </c>
      <c r="K12" s="13">
        <v>1212</v>
      </c>
    </row>
    <row r="13" spans="1:11" ht="15" customHeight="1" outlineLevel="3" x14ac:dyDescent="0.2">
      <c r="A13" s="15" t="s">
        <v>19</v>
      </c>
      <c r="B13" s="16">
        <v>104</v>
      </c>
      <c r="C13" s="16">
        <v>108</v>
      </c>
      <c r="D13" s="16">
        <v>127</v>
      </c>
      <c r="E13" s="16">
        <v>498</v>
      </c>
      <c r="F13" s="16">
        <v>529</v>
      </c>
      <c r="G13" s="16">
        <v>537</v>
      </c>
      <c r="H13" s="16">
        <v>341</v>
      </c>
      <c r="I13" s="16">
        <v>249</v>
      </c>
      <c r="J13" s="16">
        <v>238</v>
      </c>
      <c r="K13" s="16">
        <v>262</v>
      </c>
    </row>
    <row r="14" spans="1:11" ht="15" customHeight="1" x14ac:dyDescent="0.2">
      <c r="A14" s="9" t="s">
        <v>20</v>
      </c>
      <c r="B14" s="10">
        <v>9876</v>
      </c>
      <c r="C14" s="10">
        <v>10080</v>
      </c>
      <c r="D14" s="10">
        <v>9573</v>
      </c>
      <c r="E14" s="10">
        <v>14966</v>
      </c>
      <c r="F14" s="10">
        <v>16612</v>
      </c>
      <c r="G14" s="10">
        <v>15603</v>
      </c>
      <c r="H14" s="10">
        <v>15306</v>
      </c>
      <c r="I14" s="10">
        <v>16190</v>
      </c>
      <c r="J14" s="10">
        <v>15662</v>
      </c>
      <c r="K14" s="10">
        <v>14976</v>
      </c>
    </row>
    <row r="15" spans="1:11" ht="15" customHeight="1" outlineLevel="1" x14ac:dyDescent="0.2">
      <c r="A15" s="11" t="s">
        <v>21</v>
      </c>
      <c r="B15" s="12">
        <v>5146</v>
      </c>
      <c r="C15" s="12">
        <v>5149</v>
      </c>
      <c r="D15" s="12">
        <v>5526</v>
      </c>
      <c r="E15" s="12">
        <v>10893</v>
      </c>
      <c r="F15" s="12">
        <v>9086</v>
      </c>
      <c r="G15" s="12">
        <v>8646</v>
      </c>
      <c r="H15" s="12">
        <v>8332</v>
      </c>
      <c r="I15" s="12">
        <v>8416</v>
      </c>
      <c r="J15" s="12">
        <v>8436</v>
      </c>
      <c r="K15" s="12">
        <v>7957</v>
      </c>
    </row>
    <row r="16" spans="1:11" ht="15" customHeight="1" outlineLevel="2" x14ac:dyDescent="0.2">
      <c r="A16" s="5" t="s">
        <v>22</v>
      </c>
      <c r="B16" s="13">
        <v>1169</v>
      </c>
      <c r="C16" s="13">
        <v>1070</v>
      </c>
      <c r="D16" s="13">
        <v>1123</v>
      </c>
      <c r="E16" s="13">
        <v>1856</v>
      </c>
      <c r="F16" s="13">
        <v>1977</v>
      </c>
      <c r="G16" s="13">
        <v>1862</v>
      </c>
      <c r="H16" s="13">
        <v>1874</v>
      </c>
      <c r="I16" s="13">
        <v>1816</v>
      </c>
      <c r="J16" s="13">
        <v>1862</v>
      </c>
      <c r="K16" s="13">
        <v>1735</v>
      </c>
    </row>
    <row r="17" spans="1:11" ht="15" customHeight="1" outlineLevel="2" x14ac:dyDescent="0.2">
      <c r="A17" s="17" t="s">
        <v>23</v>
      </c>
      <c r="B17" s="16">
        <v>3977</v>
      </c>
      <c r="C17" s="16">
        <v>4079</v>
      </c>
      <c r="D17" s="16">
        <v>4403</v>
      </c>
      <c r="E17" s="16">
        <v>9037</v>
      </c>
      <c r="F17" s="16">
        <v>7109</v>
      </c>
      <c r="G17" s="16">
        <v>6784</v>
      </c>
      <c r="H17" s="16">
        <v>6458</v>
      </c>
      <c r="I17" s="16">
        <v>6600</v>
      </c>
      <c r="J17" s="16">
        <v>6574</v>
      </c>
      <c r="K17" s="16">
        <v>6222</v>
      </c>
    </row>
    <row r="18" spans="1:11" ht="15" customHeight="1" x14ac:dyDescent="0.2">
      <c r="A18" s="9" t="s">
        <v>24</v>
      </c>
      <c r="B18" s="10">
        <v>4730</v>
      </c>
      <c r="C18" s="10">
        <v>4931</v>
      </c>
      <c r="D18" s="10">
        <v>4047</v>
      </c>
      <c r="E18" s="10">
        <v>4073</v>
      </c>
      <c r="F18" s="10">
        <v>7526</v>
      </c>
      <c r="G18" s="10">
        <v>6957</v>
      </c>
      <c r="H18" s="10">
        <v>6974</v>
      </c>
      <c r="I18" s="10">
        <v>7774</v>
      </c>
      <c r="J18" s="10">
        <v>7226</v>
      </c>
      <c r="K18" s="10">
        <v>7019</v>
      </c>
    </row>
    <row r="19" spans="1:11" ht="15" customHeight="1" outlineLevel="1" x14ac:dyDescent="0.2">
      <c r="A19" s="11" t="s">
        <v>25</v>
      </c>
      <c r="B19" s="12">
        <v>-100</v>
      </c>
      <c r="C19" s="12">
        <v>-189</v>
      </c>
      <c r="D19" s="12">
        <v>517</v>
      </c>
      <c r="E19" s="12">
        <v>3137</v>
      </c>
      <c r="F19" s="12">
        <v>276</v>
      </c>
      <c r="G19" s="12">
        <v>623</v>
      </c>
      <c r="H19" s="12">
        <v>368</v>
      </c>
      <c r="I19" s="12">
        <v>594</v>
      </c>
      <c r="J19" s="12">
        <v>771</v>
      </c>
      <c r="K19" s="12">
        <v>249</v>
      </c>
    </row>
    <row r="20" spans="1:11" ht="15" customHeight="1" outlineLevel="2" x14ac:dyDescent="0.2">
      <c r="A20" s="5" t="s">
        <v>26</v>
      </c>
      <c r="B20" s="13">
        <v>232</v>
      </c>
      <c r="C20" s="13">
        <v>452</v>
      </c>
      <c r="D20" s="13">
        <v>250</v>
      </c>
      <c r="E20" s="13">
        <v>67</v>
      </c>
      <c r="F20" s="13">
        <v>26</v>
      </c>
      <c r="G20" s="13">
        <v>29</v>
      </c>
      <c r="H20" s="13">
        <v>80</v>
      </c>
      <c r="I20" s="13">
        <v>70</v>
      </c>
      <c r="J20" s="13">
        <v>50</v>
      </c>
      <c r="K20" s="13">
        <v>29</v>
      </c>
    </row>
    <row r="21" spans="1:11" ht="15" customHeight="1" outlineLevel="2" x14ac:dyDescent="0.2">
      <c r="A21" s="17" t="s">
        <v>27</v>
      </c>
      <c r="B21" s="18">
        <v>-332</v>
      </c>
      <c r="C21" s="18">
        <v>-641</v>
      </c>
      <c r="D21" s="16">
        <v>267</v>
      </c>
      <c r="E21" s="16">
        <v>3070</v>
      </c>
      <c r="F21" s="16">
        <v>250</v>
      </c>
      <c r="G21" s="16">
        <v>594</v>
      </c>
      <c r="H21" s="16">
        <v>288</v>
      </c>
      <c r="I21" s="16">
        <v>524</v>
      </c>
      <c r="J21" s="16">
        <v>721</v>
      </c>
      <c r="K21" s="16">
        <v>220</v>
      </c>
    </row>
    <row r="22" spans="1:11" ht="15" customHeight="1" outlineLevel="1" x14ac:dyDescent="0.2">
      <c r="A22" s="19" t="s">
        <v>28</v>
      </c>
      <c r="B22" s="10">
        <v>938</v>
      </c>
      <c r="C22" s="10">
        <v>1182</v>
      </c>
      <c r="D22" s="10">
        <v>932</v>
      </c>
      <c r="E22" s="10">
        <v>498</v>
      </c>
      <c r="F22" s="10">
        <v>457</v>
      </c>
      <c r="G22" s="10">
        <v>553</v>
      </c>
      <c r="H22" s="10">
        <v>431</v>
      </c>
      <c r="I22" s="10">
        <v>240</v>
      </c>
      <c r="J22" s="10">
        <v>84</v>
      </c>
      <c r="K22" s="10">
        <v>207</v>
      </c>
    </row>
    <row r="23" spans="1:11" ht="15" customHeight="1" outlineLevel="2" x14ac:dyDescent="0.2">
      <c r="A23" s="17" t="s">
        <v>29</v>
      </c>
      <c r="B23" s="16">
        <v>938</v>
      </c>
      <c r="C23" s="16">
        <v>1182</v>
      </c>
      <c r="D23" s="16">
        <v>932</v>
      </c>
      <c r="E23" s="16">
        <v>498</v>
      </c>
      <c r="F23" s="16">
        <v>457</v>
      </c>
      <c r="G23" s="16">
        <v>553</v>
      </c>
      <c r="H23" s="16">
        <v>431</v>
      </c>
      <c r="I23" s="16">
        <v>240</v>
      </c>
      <c r="J23" s="16">
        <v>84</v>
      </c>
      <c r="K23" s="16">
        <v>217</v>
      </c>
    </row>
    <row r="24" spans="1:11" ht="15" customHeight="1" outlineLevel="2" x14ac:dyDescent="0.2">
      <c r="A24" s="5" t="s">
        <v>30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10</v>
      </c>
    </row>
    <row r="25" spans="1:11" ht="15" customHeight="1" outlineLevel="1" x14ac:dyDescent="0.2">
      <c r="A25" s="11" t="s">
        <v>31</v>
      </c>
      <c r="B25" s="12">
        <v>-521</v>
      </c>
      <c r="C25" s="12">
        <v>-1259</v>
      </c>
      <c r="D25" s="12">
        <v>14903</v>
      </c>
      <c r="E25" s="12">
        <v>320</v>
      </c>
      <c r="F25" s="12">
        <v>141</v>
      </c>
      <c r="G25" s="12">
        <v>232</v>
      </c>
      <c r="H25" s="12">
        <v>1199</v>
      </c>
      <c r="I25" s="12">
        <v>1128</v>
      </c>
      <c r="J25" s="12">
        <v>365</v>
      </c>
      <c r="K25" s="12">
        <v>8</v>
      </c>
    </row>
    <row r="26" spans="1:11" ht="15" customHeight="1" outlineLevel="2" x14ac:dyDescent="0.2">
      <c r="A26" s="20" t="s">
        <v>32</v>
      </c>
      <c r="B26" s="9"/>
      <c r="C26" s="10">
        <v>0</v>
      </c>
      <c r="D26" s="10">
        <v>0</v>
      </c>
      <c r="E26" s="10">
        <v>271</v>
      </c>
      <c r="F26" s="9"/>
      <c r="G26" s="9"/>
      <c r="H26" s="9"/>
      <c r="I26" s="9"/>
      <c r="J26" s="9"/>
      <c r="K26" s="9"/>
    </row>
    <row r="27" spans="1:11" ht="15" customHeight="1" outlineLevel="3" x14ac:dyDescent="0.2">
      <c r="A27" s="15" t="s">
        <v>33</v>
      </c>
      <c r="B27" s="16">
        <v>0</v>
      </c>
      <c r="C27" s="16">
        <v>0</v>
      </c>
      <c r="D27" s="16">
        <v>0</v>
      </c>
      <c r="E27" s="16">
        <v>271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</row>
    <row r="28" spans="1:11" ht="15" customHeight="1" outlineLevel="2" x14ac:dyDescent="0.2">
      <c r="A28" s="5" t="s">
        <v>34</v>
      </c>
      <c r="B28" s="13">
        <v>21</v>
      </c>
      <c r="C28" s="13">
        <v>187</v>
      </c>
      <c r="D28" s="13">
        <v>415</v>
      </c>
      <c r="E28" s="13">
        <v>18</v>
      </c>
      <c r="F28" s="13">
        <v>124</v>
      </c>
      <c r="G28" s="13">
        <v>250</v>
      </c>
      <c r="H28" s="13">
        <v>444</v>
      </c>
      <c r="I28" s="13">
        <v>137</v>
      </c>
      <c r="J28" s="13">
        <v>146</v>
      </c>
      <c r="K28" s="13">
        <v>0</v>
      </c>
    </row>
    <row r="29" spans="1:11" ht="15" customHeight="1" outlineLevel="2" x14ac:dyDescent="0.2">
      <c r="A29" s="17" t="s">
        <v>35</v>
      </c>
      <c r="B29" s="21"/>
      <c r="C29" s="16">
        <v>87</v>
      </c>
      <c r="D29" s="16">
        <v>14500</v>
      </c>
      <c r="E29" s="21"/>
      <c r="F29" s="21"/>
      <c r="G29" s="16">
        <v>17</v>
      </c>
      <c r="H29" s="16">
        <v>762</v>
      </c>
      <c r="I29" s="16">
        <v>897</v>
      </c>
      <c r="J29" s="21"/>
      <c r="K29" s="21"/>
    </row>
    <row r="30" spans="1:11" ht="15" customHeight="1" outlineLevel="2" x14ac:dyDescent="0.2">
      <c r="A30" s="20" t="s">
        <v>36</v>
      </c>
      <c r="B30" s="10">
        <v>542</v>
      </c>
      <c r="C30" s="10">
        <v>1533</v>
      </c>
      <c r="D30" s="10">
        <v>12</v>
      </c>
      <c r="E30" s="10">
        <v>-31</v>
      </c>
      <c r="F30" s="10">
        <v>-6</v>
      </c>
      <c r="G30" s="10">
        <v>45</v>
      </c>
      <c r="H30" s="10">
        <v>7</v>
      </c>
      <c r="I30" s="10">
        <v>-94</v>
      </c>
      <c r="J30" s="10">
        <v>-123</v>
      </c>
      <c r="K30" s="10">
        <v>-8</v>
      </c>
    </row>
    <row r="31" spans="1:11" ht="15" customHeight="1" outlineLevel="3" x14ac:dyDescent="0.2">
      <c r="A31" s="15" t="s">
        <v>37</v>
      </c>
      <c r="B31" s="16">
        <v>402</v>
      </c>
      <c r="C31" s="16">
        <v>1564</v>
      </c>
      <c r="D31" s="16">
        <v>0</v>
      </c>
      <c r="E31" s="21"/>
      <c r="F31" s="21"/>
      <c r="G31" s="21"/>
      <c r="H31" s="21"/>
      <c r="I31" s="21"/>
      <c r="J31" s="21"/>
      <c r="K31" s="21"/>
    </row>
    <row r="32" spans="1:11" ht="15" customHeight="1" outlineLevel="3" x14ac:dyDescent="0.2">
      <c r="A32" s="7" t="s">
        <v>38</v>
      </c>
      <c r="B32" s="13">
        <v>140</v>
      </c>
      <c r="C32" s="22">
        <v>-31</v>
      </c>
      <c r="D32" s="13">
        <v>12</v>
      </c>
      <c r="E32" s="22">
        <v>-31</v>
      </c>
      <c r="F32" s="22">
        <v>-6</v>
      </c>
      <c r="G32" s="13">
        <v>45</v>
      </c>
      <c r="H32" s="13">
        <v>7</v>
      </c>
      <c r="I32" s="22">
        <v>-94</v>
      </c>
      <c r="J32" s="22">
        <v>-123</v>
      </c>
      <c r="K32" s="22">
        <v>-8</v>
      </c>
    </row>
    <row r="33" spans="1:11" ht="15" customHeight="1" outlineLevel="2" x14ac:dyDescent="0.2">
      <c r="A33" s="14" t="s">
        <v>39</v>
      </c>
      <c r="B33" s="23"/>
      <c r="C33" s="23"/>
      <c r="D33" s="23"/>
      <c r="E33" s="23"/>
      <c r="F33" s="12">
        <v>11</v>
      </c>
      <c r="G33" s="12">
        <v>10</v>
      </c>
      <c r="H33" s="12">
        <v>0</v>
      </c>
      <c r="I33" s="12">
        <v>0</v>
      </c>
      <c r="J33" s="12">
        <v>96</v>
      </c>
      <c r="K33" s="23"/>
    </row>
    <row r="34" spans="1:11" ht="15" customHeight="1" outlineLevel="3" x14ac:dyDescent="0.2">
      <c r="A34" s="7" t="s">
        <v>40</v>
      </c>
      <c r="B34" s="24"/>
      <c r="C34" s="24"/>
      <c r="D34" s="24"/>
      <c r="E34" s="24"/>
      <c r="F34" s="13">
        <v>11</v>
      </c>
      <c r="G34" s="13">
        <v>10</v>
      </c>
      <c r="H34" s="13">
        <v>0</v>
      </c>
      <c r="I34" s="13">
        <v>0</v>
      </c>
      <c r="J34" s="13">
        <v>96</v>
      </c>
      <c r="K34" s="24"/>
    </row>
    <row r="35" spans="1:11" ht="15" customHeight="1" x14ac:dyDescent="0.2">
      <c r="A35" s="23" t="s">
        <v>41</v>
      </c>
      <c r="B35" s="12">
        <v>4213</v>
      </c>
      <c r="C35" s="12">
        <v>4819</v>
      </c>
      <c r="D35" s="12">
        <v>-11271</v>
      </c>
      <c r="E35" s="12">
        <v>6392</v>
      </c>
      <c r="F35" s="12">
        <v>7204</v>
      </c>
      <c r="G35" s="12">
        <v>6795</v>
      </c>
      <c r="H35" s="12">
        <v>5712</v>
      </c>
      <c r="I35" s="12">
        <v>7000</v>
      </c>
      <c r="J35" s="12">
        <v>7548</v>
      </c>
      <c r="K35" s="12">
        <v>7053</v>
      </c>
    </row>
    <row r="36" spans="1:11" ht="15" customHeight="1" outlineLevel="1" x14ac:dyDescent="0.2">
      <c r="A36" s="19" t="s">
        <v>42</v>
      </c>
      <c r="B36" s="10">
        <v>1003</v>
      </c>
      <c r="C36" s="10">
        <v>804</v>
      </c>
      <c r="D36" s="10">
        <v>-2867</v>
      </c>
      <c r="E36" s="10">
        <v>612</v>
      </c>
      <c r="F36" s="10">
        <v>1285</v>
      </c>
      <c r="G36" s="10">
        <v>1337</v>
      </c>
      <c r="H36" s="10">
        <v>1130</v>
      </c>
      <c r="I36" s="10">
        <v>1637</v>
      </c>
      <c r="J36" s="10">
        <v>2679</v>
      </c>
      <c r="K36" s="10">
        <v>1995</v>
      </c>
    </row>
    <row r="37" spans="1:11" ht="15" customHeight="1" outlineLevel="2" x14ac:dyDescent="0.2">
      <c r="A37" s="17" t="s">
        <v>43</v>
      </c>
      <c r="B37" s="18">
        <v>-12</v>
      </c>
      <c r="C37" s="18">
        <v>-81</v>
      </c>
      <c r="D37" s="16">
        <v>340</v>
      </c>
      <c r="E37" s="16">
        <v>681</v>
      </c>
      <c r="F37" s="16">
        <v>860</v>
      </c>
      <c r="G37" s="16">
        <v>843</v>
      </c>
      <c r="H37" s="16">
        <v>593</v>
      </c>
      <c r="I37" s="16">
        <v>983</v>
      </c>
      <c r="J37" s="16">
        <v>1704</v>
      </c>
      <c r="K37" s="16">
        <v>1267</v>
      </c>
    </row>
    <row r="38" spans="1:11" ht="15" customHeight="1" outlineLevel="2" x14ac:dyDescent="0.2">
      <c r="A38" s="5" t="s">
        <v>44</v>
      </c>
      <c r="B38" s="13">
        <v>597</v>
      </c>
      <c r="C38" s="13">
        <v>583</v>
      </c>
      <c r="D38" s="13">
        <v>494</v>
      </c>
      <c r="E38" s="13">
        <v>621</v>
      </c>
      <c r="F38" s="13">
        <v>597</v>
      </c>
      <c r="G38" s="13">
        <v>632</v>
      </c>
      <c r="H38" s="13">
        <v>673</v>
      </c>
      <c r="I38" s="13">
        <v>763</v>
      </c>
      <c r="J38" s="13">
        <v>722</v>
      </c>
      <c r="K38" s="13">
        <v>733</v>
      </c>
    </row>
    <row r="39" spans="1:11" ht="15" customHeight="1" outlineLevel="2" x14ac:dyDescent="0.2">
      <c r="A39" s="17" t="s">
        <v>45</v>
      </c>
      <c r="B39" s="16">
        <v>328</v>
      </c>
      <c r="C39" s="16">
        <v>329</v>
      </c>
      <c r="D39" s="18">
        <v>-3579</v>
      </c>
      <c r="E39" s="18">
        <v>-688</v>
      </c>
      <c r="F39" s="18">
        <v>-244</v>
      </c>
      <c r="G39" s="18">
        <v>-61</v>
      </c>
      <c r="H39" s="18">
        <v>-58</v>
      </c>
      <c r="I39" s="18">
        <v>-55</v>
      </c>
      <c r="J39" s="16">
        <v>177</v>
      </c>
      <c r="K39" s="16">
        <v>6</v>
      </c>
    </row>
    <row r="40" spans="1:11" ht="15" customHeight="1" outlineLevel="2" x14ac:dyDescent="0.2">
      <c r="A40" s="5" t="s">
        <v>46</v>
      </c>
      <c r="B40" s="13">
        <v>90</v>
      </c>
      <c r="C40" s="22">
        <v>-27</v>
      </c>
      <c r="D40" s="22">
        <v>-122</v>
      </c>
      <c r="E40" s="22">
        <v>-2</v>
      </c>
      <c r="F40" s="13">
        <v>72</v>
      </c>
      <c r="G40" s="22">
        <v>-77</v>
      </c>
      <c r="H40" s="22">
        <v>-78</v>
      </c>
      <c r="I40" s="22">
        <v>-54</v>
      </c>
      <c r="J40" s="13">
        <v>76</v>
      </c>
      <c r="K40" s="22">
        <v>-11</v>
      </c>
    </row>
    <row r="41" spans="1:11" ht="15" customHeight="1" outlineLevel="1" x14ac:dyDescent="0.2">
      <c r="A41" s="25" t="s">
        <v>47</v>
      </c>
      <c r="B41" s="16">
        <v>52</v>
      </c>
      <c r="C41" s="16">
        <v>9</v>
      </c>
      <c r="D41" s="16">
        <v>18</v>
      </c>
      <c r="E41" s="16">
        <v>11</v>
      </c>
      <c r="F41" s="16">
        <v>10</v>
      </c>
      <c r="G41" s="18">
        <v>-5</v>
      </c>
      <c r="H41" s="16">
        <v>0</v>
      </c>
      <c r="I41" s="16">
        <v>0</v>
      </c>
      <c r="J41" s="16">
        <v>0</v>
      </c>
      <c r="K41" s="16">
        <v>0</v>
      </c>
    </row>
    <row r="42" spans="1:11" ht="15" customHeight="1" x14ac:dyDescent="0.2">
      <c r="A42" s="9" t="s">
        <v>48</v>
      </c>
      <c r="B42" s="10">
        <v>3262</v>
      </c>
      <c r="C42" s="10">
        <v>4024</v>
      </c>
      <c r="D42" s="10">
        <v>-8386</v>
      </c>
      <c r="E42" s="10">
        <v>5791</v>
      </c>
      <c r="F42" s="10">
        <v>5929</v>
      </c>
      <c r="G42" s="10">
        <v>5453</v>
      </c>
      <c r="H42" s="10">
        <v>4582</v>
      </c>
      <c r="I42" s="10">
        <v>5363</v>
      </c>
      <c r="J42" s="10">
        <v>4869</v>
      </c>
      <c r="K42" s="10">
        <v>5058</v>
      </c>
    </row>
    <row r="43" spans="1:11" ht="15" customHeight="1" outlineLevel="1" x14ac:dyDescent="0.2">
      <c r="A43" s="25" t="s">
        <v>49</v>
      </c>
      <c r="B43" s="16">
        <v>12</v>
      </c>
      <c r="C43" s="16">
        <v>15</v>
      </c>
      <c r="D43" s="16">
        <v>16</v>
      </c>
      <c r="E43" s="16">
        <v>14</v>
      </c>
      <c r="F43" s="16">
        <v>8</v>
      </c>
      <c r="G43" s="16">
        <v>4</v>
      </c>
      <c r="H43" s="16">
        <v>12</v>
      </c>
      <c r="I43" s="16">
        <v>14</v>
      </c>
      <c r="J43" s="16">
        <v>11</v>
      </c>
      <c r="K43" s="16">
        <v>8</v>
      </c>
    </row>
    <row r="44" spans="1:11" ht="15" customHeight="1" x14ac:dyDescent="0.2">
      <c r="A44" s="9" t="s">
        <v>50</v>
      </c>
      <c r="B44" s="10">
        <v>3250</v>
      </c>
      <c r="C44" s="10">
        <v>4009</v>
      </c>
      <c r="D44" s="10">
        <v>-8402</v>
      </c>
      <c r="E44" s="10">
        <v>5777</v>
      </c>
      <c r="F44" s="10">
        <v>5921</v>
      </c>
      <c r="G44" s="10">
        <v>5449</v>
      </c>
      <c r="H44" s="10">
        <v>4570</v>
      </c>
      <c r="I44" s="10">
        <v>5349</v>
      </c>
      <c r="J44" s="10">
        <v>4858</v>
      </c>
      <c r="K44" s="10">
        <v>5050</v>
      </c>
    </row>
    <row r="45" spans="1:11" ht="15" customHeight="1" outlineLevel="1" x14ac:dyDescent="0.2">
      <c r="A45" s="25" t="s">
        <v>51</v>
      </c>
      <c r="B45" s="16">
        <v>0</v>
      </c>
      <c r="C45" s="16">
        <v>164</v>
      </c>
      <c r="D45" s="16">
        <v>1407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</row>
    <row r="46" spans="1:11" ht="15" customHeight="1" outlineLevel="1" x14ac:dyDescent="0.2">
      <c r="A46" s="26" t="s">
        <v>52</v>
      </c>
      <c r="B46" s="13">
        <v>3250</v>
      </c>
      <c r="C46" s="13">
        <v>4173</v>
      </c>
      <c r="D46" s="22">
        <v>-6995</v>
      </c>
      <c r="E46" s="13">
        <v>5777</v>
      </c>
      <c r="F46" s="13">
        <v>5921</v>
      </c>
      <c r="G46" s="13">
        <v>5449</v>
      </c>
      <c r="H46" s="13">
        <v>4570</v>
      </c>
      <c r="I46" s="13">
        <v>5349</v>
      </c>
      <c r="J46" s="13">
        <v>4858</v>
      </c>
      <c r="K46" s="13">
        <v>5050</v>
      </c>
    </row>
    <row r="47" spans="1:11" ht="15" customHeight="1" x14ac:dyDescent="0.2">
      <c r="A47" s="23" t="s">
        <v>53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ht="15" customHeight="1" outlineLevel="1" x14ac:dyDescent="0.2">
      <c r="A48" s="26" t="s">
        <v>54</v>
      </c>
      <c r="B48" s="27">
        <v>5.3303159999999998</v>
      </c>
      <c r="C48" s="27">
        <v>5.958907</v>
      </c>
      <c r="D48" s="27">
        <v>6.2052719999999999</v>
      </c>
      <c r="E48" s="27">
        <v>10.572585999999999</v>
      </c>
      <c r="F48" s="27">
        <v>10.284810999999999</v>
      </c>
      <c r="G48" s="27">
        <v>9.6382689999999993</v>
      </c>
      <c r="H48" s="27">
        <v>9.2450860000000006</v>
      </c>
      <c r="I48" s="27">
        <v>10.197010000000001</v>
      </c>
      <c r="J48" s="27">
        <v>8.3458459999999999</v>
      </c>
      <c r="K48" s="27">
        <v>8.1713269999999998</v>
      </c>
    </row>
    <row r="49" spans="1:11" ht="15" customHeight="1" outlineLevel="1" x14ac:dyDescent="0.2">
      <c r="A49" s="11" t="s">
        <v>55</v>
      </c>
      <c r="B49" s="28">
        <v>6.0476000000000001</v>
      </c>
      <c r="C49" s="28">
        <v>7.5762</v>
      </c>
      <c r="D49" s="28">
        <v>-12.6286</v>
      </c>
      <c r="E49" s="28">
        <v>10.2067</v>
      </c>
      <c r="F49" s="28">
        <v>10.2262</v>
      </c>
      <c r="G49" s="28">
        <v>9.4338999999999995</v>
      </c>
      <c r="H49" s="28">
        <v>7.9203000000000001</v>
      </c>
      <c r="I49" s="28">
        <v>9.09</v>
      </c>
      <c r="J49" s="28">
        <v>8.1300000000000008</v>
      </c>
      <c r="K49" s="28">
        <v>8.35</v>
      </c>
    </row>
    <row r="50" spans="1:11" ht="15" customHeight="1" outlineLevel="2" x14ac:dyDescent="0.2">
      <c r="A50" s="5" t="s">
        <v>56</v>
      </c>
      <c r="B50" s="27">
        <v>537.4</v>
      </c>
      <c r="C50" s="27">
        <v>550.79999999999995</v>
      </c>
      <c r="D50" s="27">
        <v>553.9</v>
      </c>
      <c r="E50" s="27">
        <v>566</v>
      </c>
      <c r="F50" s="27">
        <v>579</v>
      </c>
      <c r="G50" s="27">
        <v>577.6</v>
      </c>
      <c r="H50" s="27">
        <v>577</v>
      </c>
      <c r="I50" s="27">
        <v>588.5</v>
      </c>
      <c r="J50" s="27">
        <v>597.5</v>
      </c>
      <c r="K50" s="27">
        <v>604.70000000000005</v>
      </c>
    </row>
    <row r="51" spans="1:11" ht="15" customHeight="1" outlineLevel="2" x14ac:dyDescent="0.2">
      <c r="A51" s="17" t="s">
        <v>57</v>
      </c>
      <c r="B51" s="29">
        <v>530.27913100000001</v>
      </c>
      <c r="C51" s="29">
        <v>539.47030299999994</v>
      </c>
      <c r="D51" s="29">
        <v>552.58113600000001</v>
      </c>
      <c r="E51" s="29">
        <v>549.24510499999997</v>
      </c>
      <c r="F51" s="29">
        <v>571.84547799999996</v>
      </c>
      <c r="G51" s="29">
        <v>577.749638</v>
      </c>
      <c r="H51" s="29">
        <v>575.18483500000002</v>
      </c>
      <c r="I51" s="29">
        <v>576.57516799999996</v>
      </c>
      <c r="J51" s="29">
        <v>594.88423699999998</v>
      </c>
      <c r="K51" s="29">
        <v>596.72627799999998</v>
      </c>
    </row>
    <row r="52" spans="1:11" ht="15" customHeight="1" outlineLevel="1" x14ac:dyDescent="0.2">
      <c r="A52" s="19" t="s">
        <v>58</v>
      </c>
      <c r="B52" s="30">
        <v>6.0041000000000002</v>
      </c>
      <c r="C52" s="30">
        <v>7.5542999999999996</v>
      </c>
      <c r="D52" s="30">
        <v>-12.6286</v>
      </c>
      <c r="E52" s="30">
        <v>10.177899999999999</v>
      </c>
      <c r="F52" s="30">
        <v>10.116199999999999</v>
      </c>
      <c r="G52" s="30">
        <v>9.3592999999999993</v>
      </c>
      <c r="H52" s="30">
        <v>7.8106</v>
      </c>
      <c r="I52" s="30">
        <v>8.89</v>
      </c>
      <c r="J52" s="30">
        <v>7.93</v>
      </c>
      <c r="K52" s="30">
        <v>8.16</v>
      </c>
    </row>
    <row r="53" spans="1:11" ht="15" customHeight="1" outlineLevel="2" x14ac:dyDescent="0.2">
      <c r="A53" s="17" t="s">
        <v>59</v>
      </c>
      <c r="B53" s="29">
        <v>541.29999999999995</v>
      </c>
      <c r="C53" s="29">
        <v>552.4</v>
      </c>
      <c r="D53" s="29">
        <v>553.9</v>
      </c>
      <c r="E53" s="29">
        <v>567.6</v>
      </c>
      <c r="F53" s="29">
        <v>585.29999999999995</v>
      </c>
      <c r="G53" s="29">
        <v>582.20000000000005</v>
      </c>
      <c r="H53" s="29">
        <v>585.1</v>
      </c>
      <c r="I53" s="29">
        <v>602</v>
      </c>
      <c r="J53" s="29">
        <v>612.70000000000005</v>
      </c>
      <c r="K53" s="29">
        <v>618.70000000000005</v>
      </c>
    </row>
    <row r="54" spans="1:11" ht="15" customHeight="1" outlineLevel="2" x14ac:dyDescent="0.2">
      <c r="A54" s="5" t="s">
        <v>57</v>
      </c>
      <c r="B54" s="27">
        <v>530.27913100000001</v>
      </c>
      <c r="C54" s="27">
        <v>539.47030299999994</v>
      </c>
      <c r="D54" s="27">
        <v>552.58113600000001</v>
      </c>
      <c r="E54" s="27">
        <v>549.24510499999997</v>
      </c>
      <c r="F54" s="27">
        <v>571.84547799999996</v>
      </c>
      <c r="G54" s="27">
        <v>577.749638</v>
      </c>
      <c r="H54" s="27">
        <v>575.18483500000002</v>
      </c>
      <c r="I54" s="27">
        <v>576.57516799999996</v>
      </c>
      <c r="J54" s="27">
        <v>594.88423699999998</v>
      </c>
      <c r="K54" s="27">
        <v>596.72627799999998</v>
      </c>
    </row>
    <row r="55" spans="1:11" ht="15" customHeight="1" outlineLevel="1" x14ac:dyDescent="0.2">
      <c r="A55" s="25" t="s">
        <v>60</v>
      </c>
      <c r="B55" s="29">
        <v>82.988</v>
      </c>
      <c r="C55" s="29">
        <v>66.733000000000004</v>
      </c>
      <c r="D55" s="29">
        <v>61.624000000000002</v>
      </c>
      <c r="E55" s="29">
        <v>90.227999999999994</v>
      </c>
      <c r="F55" s="29">
        <v>92.653999999999996</v>
      </c>
      <c r="G55" s="29">
        <v>88.61</v>
      </c>
      <c r="H55" s="29">
        <v>76.399000000000001</v>
      </c>
      <c r="I55" s="29">
        <v>90.641000000000005</v>
      </c>
      <c r="J55" s="29">
        <v>84.679000000000002</v>
      </c>
      <c r="K55" s="29">
        <v>91.161000000000001</v>
      </c>
    </row>
    <row r="56" spans="1:11" ht="15" customHeight="1" outlineLevel="1" x14ac:dyDescent="0.2">
      <c r="A56" s="19" t="s">
        <v>61</v>
      </c>
      <c r="B56" s="30">
        <v>2.92</v>
      </c>
      <c r="C56" s="30">
        <v>3.61</v>
      </c>
      <c r="D56" s="30">
        <v>6</v>
      </c>
      <c r="E56" s="30">
        <v>5.96</v>
      </c>
      <c r="F56" s="30">
        <v>5.92</v>
      </c>
      <c r="G56" s="30">
        <v>5.88</v>
      </c>
      <c r="H56" s="30">
        <v>5.76</v>
      </c>
      <c r="I56" s="30">
        <v>5.44</v>
      </c>
      <c r="J56" s="30">
        <v>4.7</v>
      </c>
      <c r="K56" s="30">
        <v>4.4400000000000004</v>
      </c>
    </row>
    <row r="57" spans="1:11" ht="15" customHeight="1" outlineLevel="2" x14ac:dyDescent="0.2">
      <c r="A57" s="17" t="s">
        <v>62</v>
      </c>
      <c r="B57" s="29">
        <v>48.633434000000001</v>
      </c>
      <c r="C57" s="29">
        <v>47.787353000000003</v>
      </c>
      <c r="D57" s="21"/>
      <c r="E57" s="29">
        <v>58.558249000000004</v>
      </c>
      <c r="F57" s="29">
        <v>58.519998000000001</v>
      </c>
      <c r="G57" s="29">
        <v>62.825211000000003</v>
      </c>
      <c r="H57" s="29">
        <v>73.745935000000003</v>
      </c>
      <c r="I57" s="29">
        <v>61.192351000000002</v>
      </c>
      <c r="J57" s="29">
        <v>59.268599999999999</v>
      </c>
      <c r="K57" s="29">
        <v>54.411765000000003</v>
      </c>
    </row>
    <row r="58" spans="1:11" ht="15" customHeight="1" x14ac:dyDescent="0.2">
      <c r="A58" s="9" t="s">
        <v>63</v>
      </c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11" ht="15" customHeight="1" outlineLevel="1" x14ac:dyDescent="0.2">
      <c r="A59" s="11" t="s">
        <v>63</v>
      </c>
      <c r="B59" s="12">
        <v>6038</v>
      </c>
      <c r="C59" s="12">
        <v>6155</v>
      </c>
      <c r="D59" s="12">
        <v>5480</v>
      </c>
      <c r="E59" s="12">
        <v>5904</v>
      </c>
      <c r="F59" s="12">
        <v>9441</v>
      </c>
      <c r="G59" s="12">
        <v>8868</v>
      </c>
      <c r="H59" s="12">
        <v>8567</v>
      </c>
      <c r="I59" s="12">
        <v>9262</v>
      </c>
      <c r="J59" s="12">
        <v>8770</v>
      </c>
      <c r="K59" s="12">
        <v>8493</v>
      </c>
    </row>
    <row r="60" spans="1:11" ht="15" customHeight="1" outlineLevel="2" x14ac:dyDescent="0.2">
      <c r="A60" s="5" t="s">
        <v>64</v>
      </c>
      <c r="B60" s="13">
        <v>4730</v>
      </c>
      <c r="C60" s="13">
        <v>4931</v>
      </c>
      <c r="D60" s="13">
        <v>4047</v>
      </c>
      <c r="E60" s="13">
        <v>4073</v>
      </c>
      <c r="F60" s="13">
        <v>7526</v>
      </c>
      <c r="G60" s="13">
        <v>6957</v>
      </c>
      <c r="H60" s="13">
        <v>6974</v>
      </c>
      <c r="I60" s="13">
        <v>7774</v>
      </c>
      <c r="J60" s="13">
        <v>7226</v>
      </c>
      <c r="K60" s="13">
        <v>7019</v>
      </c>
    </row>
    <row r="61" spans="1:11" ht="15" customHeight="1" outlineLevel="2" x14ac:dyDescent="0.2">
      <c r="A61" s="17" t="s">
        <v>17</v>
      </c>
      <c r="B61" s="16">
        <v>1308</v>
      </c>
      <c r="C61" s="16">
        <v>1224</v>
      </c>
      <c r="D61" s="16">
        <v>1433</v>
      </c>
      <c r="E61" s="16">
        <v>1831</v>
      </c>
      <c r="F61" s="16">
        <v>1915</v>
      </c>
      <c r="G61" s="16">
        <v>1911</v>
      </c>
      <c r="H61" s="16">
        <v>1593</v>
      </c>
      <c r="I61" s="16">
        <v>1488</v>
      </c>
      <c r="J61" s="16">
        <v>1544</v>
      </c>
      <c r="K61" s="16">
        <v>1474</v>
      </c>
    </row>
    <row r="62" spans="1:11" ht="15" customHeight="1" x14ac:dyDescent="0.2">
      <c r="A62" s="31" t="s">
        <v>65</v>
      </c>
    </row>
    <row r="64" spans="1:11" ht="15" customHeight="1" x14ac:dyDescent="0.2">
      <c r="A64" s="50" t="s">
        <v>181</v>
      </c>
      <c r="B64" s="57">
        <f>B36/B35</f>
        <v>0.23807263232850701</v>
      </c>
      <c r="C64" s="57">
        <f t="shared" ref="C64:K64" si="0">C36/C35</f>
        <v>0.16683959327661341</v>
      </c>
      <c r="D64" s="57">
        <f t="shared" si="0"/>
        <v>0.25436962115162809</v>
      </c>
      <c r="E64" s="57">
        <f t="shared" si="0"/>
        <v>9.5744680851063829E-2</v>
      </c>
      <c r="F64" s="57">
        <f t="shared" si="0"/>
        <v>0.17837312604108829</v>
      </c>
      <c r="G64" s="57">
        <f t="shared" si="0"/>
        <v>0.19676232523914644</v>
      </c>
      <c r="H64" s="57">
        <f t="shared" si="0"/>
        <v>0.19782913165266106</v>
      </c>
      <c r="I64" s="57">
        <f t="shared" si="0"/>
        <v>0.23385714285714285</v>
      </c>
      <c r="J64" s="57">
        <f t="shared" si="0"/>
        <v>0.35492845786963434</v>
      </c>
      <c r="K64" s="57">
        <f t="shared" si="0"/>
        <v>0.28285835814547</v>
      </c>
    </row>
    <row r="66" spans="2:11" ht="15" customHeight="1" x14ac:dyDescent="0.2">
      <c r="B66" s="42"/>
      <c r="C66" s="42"/>
      <c r="D66" s="42"/>
      <c r="E66" s="42"/>
      <c r="F66" s="42"/>
      <c r="G66" s="42"/>
      <c r="H66" s="42"/>
      <c r="I66" s="42"/>
      <c r="J66" s="42"/>
      <c r="K66" s="42"/>
    </row>
    <row r="67" spans="2:11" ht="15" customHeight="1" x14ac:dyDescent="0.2">
      <c r="B67" s="56"/>
      <c r="C67" s="56"/>
      <c r="D67" s="56"/>
      <c r="E67" s="56"/>
      <c r="F67" s="56"/>
      <c r="G67" s="56"/>
      <c r="H67" s="56"/>
      <c r="I67" s="56"/>
      <c r="J67" s="56"/>
      <c r="K67" s="56"/>
    </row>
    <row r="69" spans="2:11" ht="15" customHeight="1" x14ac:dyDescent="0.2">
      <c r="B69" s="42"/>
      <c r="C69" s="42"/>
      <c r="D69" s="42"/>
      <c r="E69" s="42"/>
      <c r="F69" s="42"/>
      <c r="G69" s="42"/>
      <c r="H69" s="42"/>
      <c r="I69" s="42"/>
      <c r="J69" s="42"/>
      <c r="K69" s="4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FDB0-3F3C-4ED3-AFFF-41B07A3544BF}">
  <sheetPr>
    <outlinePr summaryBelow="0" summaryRight="0"/>
  </sheetPr>
  <dimension ref="A1:P165"/>
  <sheetViews>
    <sheetView workbookViewId="0">
      <selection activeCell="I165" sqref="I165"/>
    </sheetView>
  </sheetViews>
  <sheetFormatPr defaultColWidth="9.140625" defaultRowHeight="15" customHeight="1" outlineLevelRow="1" x14ac:dyDescent="0.2"/>
  <sheetData>
    <row r="1" spans="1:16" ht="15" customHeight="1" x14ac:dyDescent="0.2">
      <c r="A1" t="s">
        <v>0</v>
      </c>
    </row>
    <row r="2" spans="1:16" ht="15" customHeight="1" x14ac:dyDescent="0.2">
      <c r="A2" t="s">
        <v>1</v>
      </c>
    </row>
    <row r="4" spans="1:16" ht="15" customHeight="1" x14ac:dyDescent="0.2">
      <c r="A4" s="2"/>
    </row>
    <row r="5" spans="1:16" ht="15" customHeight="1" x14ac:dyDescent="0.2">
      <c r="A5" s="68" t="s">
        <v>467</v>
      </c>
      <c r="B5" s="68" t="s">
        <v>468</v>
      </c>
      <c r="C5" s="68" t="s">
        <v>469</v>
      </c>
      <c r="D5" s="68" t="s">
        <v>470</v>
      </c>
      <c r="E5" s="68" t="s">
        <v>471</v>
      </c>
      <c r="F5" s="68" t="s">
        <v>472</v>
      </c>
      <c r="G5" s="68" t="s">
        <v>473</v>
      </c>
      <c r="H5" s="68" t="s">
        <v>474</v>
      </c>
      <c r="I5" s="68" t="s">
        <v>475</v>
      </c>
      <c r="J5" s="68" t="s">
        <v>476</v>
      </c>
      <c r="K5" s="68" t="s">
        <v>477</v>
      </c>
      <c r="L5" s="68" t="s">
        <v>478</v>
      </c>
      <c r="M5" s="68" t="s">
        <v>479</v>
      </c>
      <c r="N5" s="199"/>
    </row>
    <row r="6" spans="1:16" ht="15" customHeight="1" x14ac:dyDescent="0.2">
      <c r="A6" s="77" t="s">
        <v>480</v>
      </c>
      <c r="B6" s="200"/>
      <c r="C6" s="78">
        <v>1670</v>
      </c>
      <c r="D6" s="78">
        <v>1670</v>
      </c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r="7" spans="1:16" ht="15" customHeight="1" outlineLevel="1" x14ac:dyDescent="0.2">
      <c r="A7" s="74" t="s">
        <v>205</v>
      </c>
      <c r="B7" s="68" t="s">
        <v>481</v>
      </c>
      <c r="C7" s="201">
        <v>0</v>
      </c>
      <c r="D7" s="201">
        <v>0</v>
      </c>
      <c r="E7" s="68" t="s">
        <v>205</v>
      </c>
      <c r="F7" s="68" t="s">
        <v>482</v>
      </c>
      <c r="G7" s="68" t="s">
        <v>205</v>
      </c>
      <c r="H7" s="68" t="s">
        <v>205</v>
      </c>
      <c r="I7" s="68" t="s">
        <v>483</v>
      </c>
      <c r="J7" s="68" t="s">
        <v>484</v>
      </c>
      <c r="K7" s="68" t="s">
        <v>205</v>
      </c>
      <c r="L7" s="68" t="s">
        <v>205</v>
      </c>
      <c r="M7" s="68" t="s">
        <v>205</v>
      </c>
      <c r="N7" s="199"/>
    </row>
    <row r="8" spans="1:16" ht="15" customHeight="1" outlineLevel="1" x14ac:dyDescent="0.2">
      <c r="A8" s="73" t="s">
        <v>205</v>
      </c>
      <c r="B8" s="67" t="s">
        <v>485</v>
      </c>
      <c r="C8" s="75">
        <v>1670</v>
      </c>
      <c r="D8" s="75">
        <v>1670</v>
      </c>
      <c r="E8" s="67" t="s">
        <v>205</v>
      </c>
      <c r="F8" s="67" t="s">
        <v>205</v>
      </c>
      <c r="G8" s="67" t="s">
        <v>205</v>
      </c>
      <c r="H8" s="67" t="s">
        <v>205</v>
      </c>
      <c r="I8" s="67" t="s">
        <v>483</v>
      </c>
      <c r="J8" s="67" t="s">
        <v>209</v>
      </c>
      <c r="K8" s="67" t="s">
        <v>205</v>
      </c>
      <c r="L8" s="67" t="s">
        <v>205</v>
      </c>
      <c r="M8" s="67" t="s">
        <v>205</v>
      </c>
      <c r="N8" s="202"/>
    </row>
    <row r="9" spans="1:16" ht="15" customHeight="1" outlineLevel="1" x14ac:dyDescent="0.2">
      <c r="A9" s="74" t="s">
        <v>486</v>
      </c>
      <c r="B9" s="68" t="s">
        <v>487</v>
      </c>
      <c r="C9" s="68" t="s">
        <v>205</v>
      </c>
      <c r="D9" s="68" t="s">
        <v>205</v>
      </c>
      <c r="E9" s="203">
        <v>0</v>
      </c>
      <c r="F9" s="68" t="s">
        <v>488</v>
      </c>
      <c r="G9" s="68" t="s">
        <v>489</v>
      </c>
      <c r="H9" s="68" t="s">
        <v>490</v>
      </c>
      <c r="I9" s="68" t="s">
        <v>483</v>
      </c>
      <c r="J9" s="68" t="s">
        <v>209</v>
      </c>
      <c r="K9" s="68" t="s">
        <v>205</v>
      </c>
      <c r="L9" s="68" t="s">
        <v>205</v>
      </c>
      <c r="M9" s="68" t="s">
        <v>205</v>
      </c>
      <c r="N9" s="199"/>
    </row>
    <row r="10" spans="1:16" ht="15" customHeight="1" outlineLevel="1" x14ac:dyDescent="0.2">
      <c r="A10" s="73" t="s">
        <v>491</v>
      </c>
      <c r="B10" s="67" t="s">
        <v>492</v>
      </c>
      <c r="C10" s="67" t="s">
        <v>205</v>
      </c>
      <c r="D10" s="67" t="s">
        <v>205</v>
      </c>
      <c r="E10" s="204">
        <v>0</v>
      </c>
      <c r="F10" s="67" t="s">
        <v>488</v>
      </c>
      <c r="G10" s="67" t="s">
        <v>489</v>
      </c>
      <c r="H10" s="67" t="s">
        <v>490</v>
      </c>
      <c r="I10" s="67" t="s">
        <v>483</v>
      </c>
      <c r="J10" s="67" t="s">
        <v>209</v>
      </c>
      <c r="K10" s="67" t="s">
        <v>205</v>
      </c>
      <c r="L10" s="67" t="s">
        <v>205</v>
      </c>
      <c r="M10" s="67" t="s">
        <v>205</v>
      </c>
      <c r="N10" s="202"/>
    </row>
    <row r="11" spans="1:16" ht="15" customHeight="1" outlineLevel="1" x14ac:dyDescent="0.2">
      <c r="A11" s="74" t="s">
        <v>493</v>
      </c>
      <c r="B11" s="68" t="s">
        <v>487</v>
      </c>
      <c r="C11" s="68" t="s">
        <v>205</v>
      </c>
      <c r="D11" s="68" t="s">
        <v>205</v>
      </c>
      <c r="E11" s="203">
        <v>0</v>
      </c>
      <c r="F11" s="68" t="s">
        <v>488</v>
      </c>
      <c r="G11" s="68" t="s">
        <v>489</v>
      </c>
      <c r="H11" s="68" t="s">
        <v>490</v>
      </c>
      <c r="I11" s="68" t="s">
        <v>483</v>
      </c>
      <c r="J11" s="68" t="s">
        <v>209</v>
      </c>
      <c r="K11" s="68" t="s">
        <v>205</v>
      </c>
      <c r="L11" s="68" t="s">
        <v>205</v>
      </c>
      <c r="M11" s="68" t="s">
        <v>205</v>
      </c>
      <c r="N11" s="199"/>
    </row>
    <row r="12" spans="1:16" ht="15" customHeight="1" outlineLevel="1" x14ac:dyDescent="0.2">
      <c r="A12" s="73" t="s">
        <v>494</v>
      </c>
      <c r="B12" s="67" t="s">
        <v>492</v>
      </c>
      <c r="C12" s="67" t="s">
        <v>205</v>
      </c>
      <c r="D12" s="67" t="s">
        <v>205</v>
      </c>
      <c r="E12" s="204">
        <v>0</v>
      </c>
      <c r="F12" s="67" t="s">
        <v>488</v>
      </c>
      <c r="G12" s="67" t="s">
        <v>489</v>
      </c>
      <c r="H12" s="67" t="s">
        <v>490</v>
      </c>
      <c r="I12" s="67" t="s">
        <v>483</v>
      </c>
      <c r="J12" s="67" t="s">
        <v>209</v>
      </c>
      <c r="K12" s="67" t="s">
        <v>205</v>
      </c>
      <c r="L12" s="67" t="s">
        <v>205</v>
      </c>
      <c r="M12" s="67" t="s">
        <v>205</v>
      </c>
      <c r="N12" s="202"/>
    </row>
    <row r="13" spans="1:16" ht="15" customHeight="1" outlineLevel="1" x14ac:dyDescent="0.2">
      <c r="A13" s="74" t="s">
        <v>495</v>
      </c>
      <c r="B13" s="68" t="s">
        <v>496</v>
      </c>
      <c r="C13" s="68" t="s">
        <v>205</v>
      </c>
      <c r="D13" s="68" t="s">
        <v>205</v>
      </c>
      <c r="E13" s="203">
        <v>0</v>
      </c>
      <c r="F13" s="68" t="s">
        <v>488</v>
      </c>
      <c r="G13" s="68" t="s">
        <v>489</v>
      </c>
      <c r="H13" s="68" t="s">
        <v>497</v>
      </c>
      <c r="I13" s="68" t="s">
        <v>483</v>
      </c>
      <c r="J13" s="68" t="s">
        <v>209</v>
      </c>
      <c r="K13" s="68" t="s">
        <v>205</v>
      </c>
      <c r="L13" s="68" t="s">
        <v>205</v>
      </c>
      <c r="M13" s="68" t="s">
        <v>205</v>
      </c>
      <c r="N13" s="199"/>
    </row>
    <row r="14" spans="1:16" ht="15" customHeight="1" outlineLevel="1" x14ac:dyDescent="0.2">
      <c r="A14" s="73" t="s">
        <v>498</v>
      </c>
      <c r="B14" s="67" t="s">
        <v>499</v>
      </c>
      <c r="C14" s="67" t="s">
        <v>205</v>
      </c>
      <c r="D14" s="67" t="s">
        <v>205</v>
      </c>
      <c r="E14" s="204">
        <v>0</v>
      </c>
      <c r="F14" s="67" t="s">
        <v>488</v>
      </c>
      <c r="G14" s="67" t="s">
        <v>489</v>
      </c>
      <c r="H14" s="67" t="s">
        <v>497</v>
      </c>
      <c r="I14" s="67" t="s">
        <v>483</v>
      </c>
      <c r="J14" s="67" t="s">
        <v>209</v>
      </c>
      <c r="K14" s="67" t="s">
        <v>205</v>
      </c>
      <c r="L14" s="67" t="s">
        <v>205</v>
      </c>
      <c r="M14" s="67" t="s">
        <v>205</v>
      </c>
      <c r="N14" s="202"/>
    </row>
    <row r="15" spans="1:16" ht="15" customHeight="1" outlineLevel="1" x14ac:dyDescent="0.2">
      <c r="A15" s="74" t="s">
        <v>500</v>
      </c>
      <c r="B15" s="68" t="s">
        <v>496</v>
      </c>
      <c r="C15" s="68" t="s">
        <v>205</v>
      </c>
      <c r="D15" s="68" t="s">
        <v>205</v>
      </c>
      <c r="E15" s="203">
        <v>0</v>
      </c>
      <c r="F15" s="68" t="s">
        <v>488</v>
      </c>
      <c r="G15" s="68" t="s">
        <v>489</v>
      </c>
      <c r="H15" s="68" t="s">
        <v>497</v>
      </c>
      <c r="I15" s="68" t="s">
        <v>483</v>
      </c>
      <c r="J15" s="68" t="s">
        <v>209</v>
      </c>
      <c r="K15" s="68" t="s">
        <v>205</v>
      </c>
      <c r="L15" s="68" t="s">
        <v>205</v>
      </c>
      <c r="M15" s="68" t="s">
        <v>205</v>
      </c>
      <c r="N15" s="199"/>
    </row>
    <row r="16" spans="1:16" ht="15" customHeight="1" outlineLevel="1" x14ac:dyDescent="0.2">
      <c r="A16" s="73" t="s">
        <v>501</v>
      </c>
      <c r="B16" s="67" t="s">
        <v>499</v>
      </c>
      <c r="C16" s="67" t="s">
        <v>205</v>
      </c>
      <c r="D16" s="67" t="s">
        <v>205</v>
      </c>
      <c r="E16" s="204">
        <v>0</v>
      </c>
      <c r="F16" s="67" t="s">
        <v>488</v>
      </c>
      <c r="G16" s="67" t="s">
        <v>489</v>
      </c>
      <c r="H16" s="67" t="s">
        <v>497</v>
      </c>
      <c r="I16" s="67" t="s">
        <v>483</v>
      </c>
      <c r="J16" s="67" t="s">
        <v>209</v>
      </c>
      <c r="K16" s="67" t="s">
        <v>205</v>
      </c>
      <c r="L16" s="67" t="s">
        <v>205</v>
      </c>
      <c r="M16" s="67" t="s">
        <v>205</v>
      </c>
      <c r="N16" s="202"/>
    </row>
    <row r="17" spans="1:14" ht="15" customHeight="1" outlineLevel="1" x14ac:dyDescent="0.2">
      <c r="A17" s="74" t="s">
        <v>502</v>
      </c>
      <c r="B17" s="68" t="s">
        <v>503</v>
      </c>
      <c r="C17" s="68" t="s">
        <v>205</v>
      </c>
      <c r="D17" s="68" t="s">
        <v>205</v>
      </c>
      <c r="E17" s="203">
        <v>0</v>
      </c>
      <c r="F17" s="68" t="s">
        <v>488</v>
      </c>
      <c r="G17" s="68" t="s">
        <v>489</v>
      </c>
      <c r="H17" s="68" t="s">
        <v>497</v>
      </c>
      <c r="I17" s="68" t="s">
        <v>483</v>
      </c>
      <c r="J17" s="68" t="s">
        <v>209</v>
      </c>
      <c r="K17" s="68" t="s">
        <v>205</v>
      </c>
      <c r="L17" s="68" t="s">
        <v>205</v>
      </c>
      <c r="M17" s="68" t="s">
        <v>205</v>
      </c>
      <c r="N17" s="199"/>
    </row>
    <row r="18" spans="1:14" ht="15" customHeight="1" outlineLevel="1" x14ac:dyDescent="0.2">
      <c r="A18" s="73" t="s">
        <v>504</v>
      </c>
      <c r="B18" s="67" t="s">
        <v>503</v>
      </c>
      <c r="C18" s="67" t="s">
        <v>205</v>
      </c>
      <c r="D18" s="67" t="s">
        <v>205</v>
      </c>
      <c r="E18" s="204">
        <v>0</v>
      </c>
      <c r="F18" s="67" t="s">
        <v>488</v>
      </c>
      <c r="G18" s="67" t="s">
        <v>489</v>
      </c>
      <c r="H18" s="67" t="s">
        <v>497</v>
      </c>
      <c r="I18" s="67" t="s">
        <v>483</v>
      </c>
      <c r="J18" s="67" t="s">
        <v>209</v>
      </c>
      <c r="K18" s="67" t="s">
        <v>205</v>
      </c>
      <c r="L18" s="67" t="s">
        <v>205</v>
      </c>
      <c r="M18" s="67" t="s">
        <v>205</v>
      </c>
      <c r="N18" s="202"/>
    </row>
    <row r="19" spans="1:14" ht="15" customHeight="1" outlineLevel="1" x14ac:dyDescent="0.2">
      <c r="A19" s="74" t="s">
        <v>505</v>
      </c>
      <c r="B19" s="68" t="s">
        <v>506</v>
      </c>
      <c r="C19" s="68" t="s">
        <v>205</v>
      </c>
      <c r="D19" s="68" t="s">
        <v>205</v>
      </c>
      <c r="E19" s="203">
        <v>0</v>
      </c>
      <c r="F19" s="68" t="s">
        <v>488</v>
      </c>
      <c r="G19" s="68" t="s">
        <v>489</v>
      </c>
      <c r="H19" s="68" t="s">
        <v>497</v>
      </c>
      <c r="I19" s="68" t="s">
        <v>483</v>
      </c>
      <c r="J19" s="68" t="s">
        <v>209</v>
      </c>
      <c r="K19" s="68" t="s">
        <v>205</v>
      </c>
      <c r="L19" s="68" t="s">
        <v>205</v>
      </c>
      <c r="M19" s="68" t="s">
        <v>205</v>
      </c>
      <c r="N19" s="199"/>
    </row>
    <row r="20" spans="1:14" ht="15" customHeight="1" outlineLevel="1" x14ac:dyDescent="0.2">
      <c r="A20" s="73" t="s">
        <v>507</v>
      </c>
      <c r="B20" s="67" t="s">
        <v>506</v>
      </c>
      <c r="C20" s="67" t="s">
        <v>205</v>
      </c>
      <c r="D20" s="67" t="s">
        <v>205</v>
      </c>
      <c r="E20" s="204">
        <v>0</v>
      </c>
      <c r="F20" s="67" t="s">
        <v>488</v>
      </c>
      <c r="G20" s="67" t="s">
        <v>489</v>
      </c>
      <c r="H20" s="67" t="s">
        <v>497</v>
      </c>
      <c r="I20" s="67" t="s">
        <v>483</v>
      </c>
      <c r="J20" s="67" t="s">
        <v>209</v>
      </c>
      <c r="K20" s="67" t="s">
        <v>205</v>
      </c>
      <c r="L20" s="67" t="s">
        <v>205</v>
      </c>
      <c r="M20" s="67" t="s">
        <v>205</v>
      </c>
      <c r="N20" s="202"/>
    </row>
    <row r="21" spans="1:14" ht="15" customHeight="1" outlineLevel="1" x14ac:dyDescent="0.2">
      <c r="A21" s="74" t="s">
        <v>508</v>
      </c>
      <c r="B21" s="68" t="s">
        <v>509</v>
      </c>
      <c r="C21" s="68" t="s">
        <v>205</v>
      </c>
      <c r="D21" s="68" t="s">
        <v>205</v>
      </c>
      <c r="E21" s="203">
        <v>0</v>
      </c>
      <c r="F21" s="68" t="s">
        <v>488</v>
      </c>
      <c r="G21" s="68" t="s">
        <v>510</v>
      </c>
      <c r="H21" s="68" t="s">
        <v>497</v>
      </c>
      <c r="I21" s="68" t="s">
        <v>483</v>
      </c>
      <c r="J21" s="68" t="s">
        <v>209</v>
      </c>
      <c r="K21" s="68" t="s">
        <v>205</v>
      </c>
      <c r="L21" s="68" t="s">
        <v>205</v>
      </c>
      <c r="M21" s="68" t="s">
        <v>205</v>
      </c>
      <c r="N21" s="199"/>
    </row>
    <row r="22" spans="1:14" ht="15" customHeight="1" outlineLevel="1" x14ac:dyDescent="0.2">
      <c r="A22" s="73" t="s">
        <v>511</v>
      </c>
      <c r="B22" s="67" t="s">
        <v>512</v>
      </c>
      <c r="C22" s="67" t="s">
        <v>205</v>
      </c>
      <c r="D22" s="67" t="s">
        <v>205</v>
      </c>
      <c r="E22" s="204">
        <v>0</v>
      </c>
      <c r="F22" s="67" t="s">
        <v>488</v>
      </c>
      <c r="G22" s="67" t="s">
        <v>510</v>
      </c>
      <c r="H22" s="67" t="s">
        <v>497</v>
      </c>
      <c r="I22" s="67" t="s">
        <v>483</v>
      </c>
      <c r="J22" s="67" t="s">
        <v>209</v>
      </c>
      <c r="K22" s="67" t="s">
        <v>205</v>
      </c>
      <c r="L22" s="67" t="s">
        <v>205</v>
      </c>
      <c r="M22" s="67" t="s">
        <v>205</v>
      </c>
      <c r="N22" s="202"/>
    </row>
    <row r="23" spans="1:14" ht="15" customHeight="1" outlineLevel="1" x14ac:dyDescent="0.2">
      <c r="A23" s="74" t="s">
        <v>513</v>
      </c>
      <c r="B23" s="68" t="s">
        <v>509</v>
      </c>
      <c r="C23" s="68" t="s">
        <v>205</v>
      </c>
      <c r="D23" s="68" t="s">
        <v>205</v>
      </c>
      <c r="E23" s="203">
        <v>0</v>
      </c>
      <c r="F23" s="68" t="s">
        <v>488</v>
      </c>
      <c r="G23" s="68" t="s">
        <v>510</v>
      </c>
      <c r="H23" s="68" t="s">
        <v>497</v>
      </c>
      <c r="I23" s="68" t="s">
        <v>483</v>
      </c>
      <c r="J23" s="68" t="s">
        <v>209</v>
      </c>
      <c r="K23" s="68" t="s">
        <v>205</v>
      </c>
      <c r="L23" s="68" t="s">
        <v>205</v>
      </c>
      <c r="M23" s="68" t="s">
        <v>205</v>
      </c>
      <c r="N23" s="199"/>
    </row>
    <row r="24" spans="1:14" ht="15" customHeight="1" outlineLevel="1" x14ac:dyDescent="0.2">
      <c r="A24" s="73" t="s">
        <v>514</v>
      </c>
      <c r="B24" s="67" t="s">
        <v>512</v>
      </c>
      <c r="C24" s="67" t="s">
        <v>205</v>
      </c>
      <c r="D24" s="67" t="s">
        <v>205</v>
      </c>
      <c r="E24" s="204">
        <v>0</v>
      </c>
      <c r="F24" s="67" t="s">
        <v>488</v>
      </c>
      <c r="G24" s="67" t="s">
        <v>510</v>
      </c>
      <c r="H24" s="67" t="s">
        <v>497</v>
      </c>
      <c r="I24" s="67" t="s">
        <v>483</v>
      </c>
      <c r="J24" s="67" t="s">
        <v>209</v>
      </c>
      <c r="K24" s="67" t="s">
        <v>205</v>
      </c>
      <c r="L24" s="67" t="s">
        <v>205</v>
      </c>
      <c r="M24" s="67" t="s">
        <v>205</v>
      </c>
      <c r="N24" s="202"/>
    </row>
    <row r="25" spans="1:14" ht="15" customHeight="1" outlineLevel="1" x14ac:dyDescent="0.2">
      <c r="A25" s="74" t="s">
        <v>515</v>
      </c>
      <c r="B25" s="68" t="s">
        <v>516</v>
      </c>
      <c r="C25" s="68" t="s">
        <v>205</v>
      </c>
      <c r="D25" s="68" t="s">
        <v>205</v>
      </c>
      <c r="E25" s="203">
        <v>0</v>
      </c>
      <c r="F25" s="68" t="s">
        <v>488</v>
      </c>
      <c r="G25" s="68" t="s">
        <v>510</v>
      </c>
      <c r="H25" s="68" t="s">
        <v>497</v>
      </c>
      <c r="I25" s="68" t="s">
        <v>483</v>
      </c>
      <c r="J25" s="68" t="s">
        <v>209</v>
      </c>
      <c r="K25" s="68" t="s">
        <v>205</v>
      </c>
      <c r="L25" s="68" t="s">
        <v>205</v>
      </c>
      <c r="M25" s="68" t="s">
        <v>205</v>
      </c>
      <c r="N25" s="199"/>
    </row>
    <row r="26" spans="1:14" ht="15" customHeight="1" outlineLevel="1" x14ac:dyDescent="0.2">
      <c r="A26" s="73" t="s">
        <v>517</v>
      </c>
      <c r="B26" s="67" t="s">
        <v>516</v>
      </c>
      <c r="C26" s="67" t="s">
        <v>205</v>
      </c>
      <c r="D26" s="67" t="s">
        <v>205</v>
      </c>
      <c r="E26" s="204">
        <v>0</v>
      </c>
      <c r="F26" s="67" t="s">
        <v>488</v>
      </c>
      <c r="G26" s="67" t="s">
        <v>510</v>
      </c>
      <c r="H26" s="67" t="s">
        <v>497</v>
      </c>
      <c r="I26" s="67" t="s">
        <v>483</v>
      </c>
      <c r="J26" s="67" t="s">
        <v>209</v>
      </c>
      <c r="K26" s="67" t="s">
        <v>205</v>
      </c>
      <c r="L26" s="67" t="s">
        <v>205</v>
      </c>
      <c r="M26" s="67" t="s">
        <v>205</v>
      </c>
      <c r="N26" s="202"/>
    </row>
    <row r="27" spans="1:14" ht="15" customHeight="1" outlineLevel="1" x14ac:dyDescent="0.2">
      <c r="A27" s="74" t="s">
        <v>518</v>
      </c>
      <c r="B27" s="68" t="s">
        <v>519</v>
      </c>
      <c r="C27" s="68" t="s">
        <v>205</v>
      </c>
      <c r="D27" s="68" t="s">
        <v>205</v>
      </c>
      <c r="E27" s="203">
        <v>0</v>
      </c>
      <c r="F27" s="68" t="s">
        <v>488</v>
      </c>
      <c r="G27" s="68" t="s">
        <v>510</v>
      </c>
      <c r="H27" s="68" t="s">
        <v>497</v>
      </c>
      <c r="I27" s="68" t="s">
        <v>483</v>
      </c>
      <c r="J27" s="68" t="s">
        <v>209</v>
      </c>
      <c r="K27" s="68" t="s">
        <v>205</v>
      </c>
      <c r="L27" s="68" t="s">
        <v>205</v>
      </c>
      <c r="M27" s="68" t="s">
        <v>205</v>
      </c>
      <c r="N27" s="199"/>
    </row>
    <row r="28" spans="1:14" ht="15" customHeight="1" outlineLevel="1" x14ac:dyDescent="0.2">
      <c r="A28" s="73" t="s">
        <v>520</v>
      </c>
      <c r="B28" s="67" t="s">
        <v>519</v>
      </c>
      <c r="C28" s="67" t="s">
        <v>205</v>
      </c>
      <c r="D28" s="67" t="s">
        <v>205</v>
      </c>
      <c r="E28" s="204">
        <v>0</v>
      </c>
      <c r="F28" s="67" t="s">
        <v>488</v>
      </c>
      <c r="G28" s="67" t="s">
        <v>510</v>
      </c>
      <c r="H28" s="67" t="s">
        <v>497</v>
      </c>
      <c r="I28" s="67" t="s">
        <v>483</v>
      </c>
      <c r="J28" s="67" t="s">
        <v>209</v>
      </c>
      <c r="K28" s="67" t="s">
        <v>205</v>
      </c>
      <c r="L28" s="67" t="s">
        <v>205</v>
      </c>
      <c r="M28" s="67" t="s">
        <v>205</v>
      </c>
      <c r="N28" s="202"/>
    </row>
    <row r="29" spans="1:14" ht="15" customHeight="1" outlineLevel="1" x14ac:dyDescent="0.2">
      <c r="A29" s="74" t="s">
        <v>521</v>
      </c>
      <c r="B29" s="68" t="s">
        <v>522</v>
      </c>
      <c r="C29" s="68" t="s">
        <v>205</v>
      </c>
      <c r="D29" s="68" t="s">
        <v>205</v>
      </c>
      <c r="E29" s="203">
        <v>0</v>
      </c>
      <c r="F29" s="68" t="s">
        <v>488</v>
      </c>
      <c r="G29" s="68" t="s">
        <v>510</v>
      </c>
      <c r="H29" s="68" t="s">
        <v>497</v>
      </c>
      <c r="I29" s="68" t="s">
        <v>483</v>
      </c>
      <c r="J29" s="68" t="s">
        <v>209</v>
      </c>
      <c r="K29" s="68" t="s">
        <v>205</v>
      </c>
      <c r="L29" s="68" t="s">
        <v>205</v>
      </c>
      <c r="M29" s="68" t="s">
        <v>205</v>
      </c>
      <c r="N29" s="199"/>
    </row>
    <row r="30" spans="1:14" ht="15" customHeight="1" outlineLevel="1" x14ac:dyDescent="0.2">
      <c r="A30" s="73" t="s">
        <v>523</v>
      </c>
      <c r="B30" s="67" t="s">
        <v>524</v>
      </c>
      <c r="C30" s="67" t="s">
        <v>205</v>
      </c>
      <c r="D30" s="67" t="s">
        <v>205</v>
      </c>
      <c r="E30" s="204">
        <v>0</v>
      </c>
      <c r="F30" s="67" t="s">
        <v>488</v>
      </c>
      <c r="G30" s="67" t="s">
        <v>510</v>
      </c>
      <c r="H30" s="67" t="s">
        <v>497</v>
      </c>
      <c r="I30" s="67" t="s">
        <v>483</v>
      </c>
      <c r="J30" s="67" t="s">
        <v>209</v>
      </c>
      <c r="K30" s="67" t="s">
        <v>205</v>
      </c>
      <c r="L30" s="67" t="s">
        <v>205</v>
      </c>
      <c r="M30" s="67" t="s">
        <v>205</v>
      </c>
      <c r="N30" s="202"/>
    </row>
    <row r="31" spans="1:14" ht="15" customHeight="1" outlineLevel="1" x14ac:dyDescent="0.2">
      <c r="A31" s="74" t="s">
        <v>525</v>
      </c>
      <c r="B31" s="68" t="s">
        <v>526</v>
      </c>
      <c r="C31" s="68" t="s">
        <v>205</v>
      </c>
      <c r="D31" s="68" t="s">
        <v>205</v>
      </c>
      <c r="E31" s="203">
        <v>0</v>
      </c>
      <c r="F31" s="68" t="s">
        <v>488</v>
      </c>
      <c r="G31" s="68" t="s">
        <v>510</v>
      </c>
      <c r="H31" s="68" t="s">
        <v>497</v>
      </c>
      <c r="I31" s="68" t="s">
        <v>483</v>
      </c>
      <c r="J31" s="68" t="s">
        <v>209</v>
      </c>
      <c r="K31" s="68" t="s">
        <v>205</v>
      </c>
      <c r="L31" s="68" t="s">
        <v>205</v>
      </c>
      <c r="M31" s="68" t="s">
        <v>205</v>
      </c>
      <c r="N31" s="199"/>
    </row>
    <row r="32" spans="1:14" ht="15" customHeight="1" outlineLevel="1" x14ac:dyDescent="0.2">
      <c r="A32" s="73" t="s">
        <v>527</v>
      </c>
      <c r="B32" s="67" t="s">
        <v>522</v>
      </c>
      <c r="C32" s="67" t="s">
        <v>205</v>
      </c>
      <c r="D32" s="67" t="s">
        <v>205</v>
      </c>
      <c r="E32" s="204">
        <v>0</v>
      </c>
      <c r="F32" s="67" t="s">
        <v>488</v>
      </c>
      <c r="G32" s="67" t="s">
        <v>510</v>
      </c>
      <c r="H32" s="67" t="s">
        <v>497</v>
      </c>
      <c r="I32" s="67" t="s">
        <v>483</v>
      </c>
      <c r="J32" s="67" t="s">
        <v>209</v>
      </c>
      <c r="K32" s="67" t="s">
        <v>205</v>
      </c>
      <c r="L32" s="67" t="s">
        <v>205</v>
      </c>
      <c r="M32" s="67" t="s">
        <v>205</v>
      </c>
      <c r="N32" s="202"/>
    </row>
    <row r="33" spans="1:14" ht="15" customHeight="1" outlineLevel="1" x14ac:dyDescent="0.2">
      <c r="A33" s="74" t="s">
        <v>528</v>
      </c>
      <c r="B33" s="68" t="s">
        <v>524</v>
      </c>
      <c r="C33" s="68" t="s">
        <v>205</v>
      </c>
      <c r="D33" s="68" t="s">
        <v>205</v>
      </c>
      <c r="E33" s="203">
        <v>0</v>
      </c>
      <c r="F33" s="68" t="s">
        <v>488</v>
      </c>
      <c r="G33" s="68" t="s">
        <v>510</v>
      </c>
      <c r="H33" s="68" t="s">
        <v>497</v>
      </c>
      <c r="I33" s="68" t="s">
        <v>483</v>
      </c>
      <c r="J33" s="68" t="s">
        <v>209</v>
      </c>
      <c r="K33" s="68" t="s">
        <v>205</v>
      </c>
      <c r="L33" s="68" t="s">
        <v>205</v>
      </c>
      <c r="M33" s="68" t="s">
        <v>205</v>
      </c>
      <c r="N33" s="199"/>
    </row>
    <row r="34" spans="1:14" ht="15" customHeight="1" outlineLevel="1" x14ac:dyDescent="0.2">
      <c r="A34" s="73" t="s">
        <v>529</v>
      </c>
      <c r="B34" s="67" t="s">
        <v>526</v>
      </c>
      <c r="C34" s="67" t="s">
        <v>205</v>
      </c>
      <c r="D34" s="67" t="s">
        <v>205</v>
      </c>
      <c r="E34" s="204">
        <v>0</v>
      </c>
      <c r="F34" s="67" t="s">
        <v>488</v>
      </c>
      <c r="G34" s="67" t="s">
        <v>510</v>
      </c>
      <c r="H34" s="67" t="s">
        <v>497</v>
      </c>
      <c r="I34" s="67" t="s">
        <v>483</v>
      </c>
      <c r="J34" s="67" t="s">
        <v>209</v>
      </c>
      <c r="K34" s="67" t="s">
        <v>205</v>
      </c>
      <c r="L34" s="67" t="s">
        <v>205</v>
      </c>
      <c r="M34" s="67" t="s">
        <v>205</v>
      </c>
      <c r="N34" s="202"/>
    </row>
    <row r="35" spans="1:14" ht="15" customHeight="1" outlineLevel="1" x14ac:dyDescent="0.2">
      <c r="A35" s="74" t="s">
        <v>530</v>
      </c>
      <c r="B35" s="68" t="s">
        <v>531</v>
      </c>
      <c r="C35" s="68" t="s">
        <v>205</v>
      </c>
      <c r="D35" s="68" t="s">
        <v>205</v>
      </c>
      <c r="E35" s="203">
        <v>0</v>
      </c>
      <c r="F35" s="68" t="s">
        <v>488</v>
      </c>
      <c r="G35" s="68" t="s">
        <v>510</v>
      </c>
      <c r="H35" s="68" t="s">
        <v>497</v>
      </c>
      <c r="I35" s="68" t="s">
        <v>483</v>
      </c>
      <c r="J35" s="68" t="s">
        <v>209</v>
      </c>
      <c r="K35" s="68" t="s">
        <v>205</v>
      </c>
      <c r="L35" s="68" t="s">
        <v>205</v>
      </c>
      <c r="M35" s="68" t="s">
        <v>205</v>
      </c>
      <c r="N35" s="199"/>
    </row>
    <row r="36" spans="1:14" ht="15" customHeight="1" outlineLevel="1" x14ac:dyDescent="0.2">
      <c r="A36" s="73" t="s">
        <v>532</v>
      </c>
      <c r="B36" s="67" t="s">
        <v>531</v>
      </c>
      <c r="C36" s="67" t="s">
        <v>205</v>
      </c>
      <c r="D36" s="67" t="s">
        <v>205</v>
      </c>
      <c r="E36" s="204">
        <v>0</v>
      </c>
      <c r="F36" s="67" t="s">
        <v>488</v>
      </c>
      <c r="G36" s="67" t="s">
        <v>510</v>
      </c>
      <c r="H36" s="67" t="s">
        <v>497</v>
      </c>
      <c r="I36" s="67" t="s">
        <v>483</v>
      </c>
      <c r="J36" s="67" t="s">
        <v>209</v>
      </c>
      <c r="K36" s="67" t="s">
        <v>205</v>
      </c>
      <c r="L36" s="67" t="s">
        <v>205</v>
      </c>
      <c r="M36" s="67" t="s">
        <v>205</v>
      </c>
      <c r="N36" s="202"/>
    </row>
    <row r="37" spans="1:14" ht="15" customHeight="1" outlineLevel="1" x14ac:dyDescent="0.2">
      <c r="A37" s="74" t="s">
        <v>533</v>
      </c>
      <c r="B37" s="68" t="s">
        <v>534</v>
      </c>
      <c r="C37" s="68" t="s">
        <v>205</v>
      </c>
      <c r="D37" s="68" t="s">
        <v>205</v>
      </c>
      <c r="E37" s="203">
        <v>0</v>
      </c>
      <c r="F37" s="68" t="s">
        <v>488</v>
      </c>
      <c r="G37" s="68" t="s">
        <v>510</v>
      </c>
      <c r="H37" s="68" t="s">
        <v>497</v>
      </c>
      <c r="I37" s="68" t="s">
        <v>483</v>
      </c>
      <c r="J37" s="68" t="s">
        <v>209</v>
      </c>
      <c r="K37" s="68" t="s">
        <v>205</v>
      </c>
      <c r="L37" s="68" t="s">
        <v>205</v>
      </c>
      <c r="M37" s="68" t="s">
        <v>205</v>
      </c>
      <c r="N37" s="199"/>
    </row>
    <row r="38" spans="1:14" ht="15" customHeight="1" outlineLevel="1" x14ac:dyDescent="0.2">
      <c r="A38" s="73" t="s">
        <v>535</v>
      </c>
      <c r="B38" s="67" t="s">
        <v>534</v>
      </c>
      <c r="C38" s="67" t="s">
        <v>205</v>
      </c>
      <c r="D38" s="67" t="s">
        <v>205</v>
      </c>
      <c r="E38" s="204">
        <v>0</v>
      </c>
      <c r="F38" s="67" t="s">
        <v>488</v>
      </c>
      <c r="G38" s="67" t="s">
        <v>510</v>
      </c>
      <c r="H38" s="67" t="s">
        <v>497</v>
      </c>
      <c r="I38" s="67" t="s">
        <v>483</v>
      </c>
      <c r="J38" s="67" t="s">
        <v>209</v>
      </c>
      <c r="K38" s="67" t="s">
        <v>205</v>
      </c>
      <c r="L38" s="67" t="s">
        <v>205</v>
      </c>
      <c r="M38" s="67" t="s">
        <v>205</v>
      </c>
      <c r="N38" s="202"/>
    </row>
    <row r="39" spans="1:14" ht="15" customHeight="1" outlineLevel="1" x14ac:dyDescent="0.2">
      <c r="A39" s="74" t="s">
        <v>536</v>
      </c>
      <c r="B39" s="68" t="s">
        <v>537</v>
      </c>
      <c r="C39" s="68" t="s">
        <v>205</v>
      </c>
      <c r="D39" s="68" t="s">
        <v>205</v>
      </c>
      <c r="E39" s="203">
        <v>0</v>
      </c>
      <c r="F39" s="68" t="s">
        <v>488</v>
      </c>
      <c r="G39" s="68" t="s">
        <v>510</v>
      </c>
      <c r="H39" s="68" t="s">
        <v>497</v>
      </c>
      <c r="I39" s="68" t="s">
        <v>483</v>
      </c>
      <c r="J39" s="68" t="s">
        <v>209</v>
      </c>
      <c r="K39" s="68" t="s">
        <v>205</v>
      </c>
      <c r="L39" s="68" t="s">
        <v>205</v>
      </c>
      <c r="M39" s="68" t="s">
        <v>205</v>
      </c>
      <c r="N39" s="199"/>
    </row>
    <row r="40" spans="1:14" ht="15" customHeight="1" outlineLevel="1" x14ac:dyDescent="0.2">
      <c r="A40" s="73" t="s">
        <v>538</v>
      </c>
      <c r="B40" s="67" t="s">
        <v>539</v>
      </c>
      <c r="C40" s="67" t="s">
        <v>205</v>
      </c>
      <c r="D40" s="67" t="s">
        <v>205</v>
      </c>
      <c r="E40" s="204">
        <v>0</v>
      </c>
      <c r="F40" s="67" t="s">
        <v>488</v>
      </c>
      <c r="G40" s="67" t="s">
        <v>510</v>
      </c>
      <c r="H40" s="67" t="s">
        <v>497</v>
      </c>
      <c r="I40" s="67" t="s">
        <v>483</v>
      </c>
      <c r="J40" s="67" t="s">
        <v>209</v>
      </c>
      <c r="K40" s="67" t="s">
        <v>205</v>
      </c>
      <c r="L40" s="67" t="s">
        <v>205</v>
      </c>
      <c r="M40" s="67" t="s">
        <v>205</v>
      </c>
      <c r="N40" s="202"/>
    </row>
    <row r="41" spans="1:14" ht="15" customHeight="1" outlineLevel="1" x14ac:dyDescent="0.2">
      <c r="A41" s="74" t="s">
        <v>540</v>
      </c>
      <c r="B41" s="68" t="s">
        <v>541</v>
      </c>
      <c r="C41" s="68" t="s">
        <v>205</v>
      </c>
      <c r="D41" s="68" t="s">
        <v>205</v>
      </c>
      <c r="E41" s="203">
        <v>0</v>
      </c>
      <c r="F41" s="68" t="s">
        <v>488</v>
      </c>
      <c r="G41" s="68" t="s">
        <v>510</v>
      </c>
      <c r="H41" s="68" t="s">
        <v>497</v>
      </c>
      <c r="I41" s="68" t="s">
        <v>483</v>
      </c>
      <c r="J41" s="68" t="s">
        <v>209</v>
      </c>
      <c r="K41" s="68" t="s">
        <v>205</v>
      </c>
      <c r="L41" s="68" t="s">
        <v>205</v>
      </c>
      <c r="M41" s="68" t="s">
        <v>205</v>
      </c>
      <c r="N41" s="199"/>
    </row>
    <row r="42" spans="1:14" ht="15" customHeight="1" outlineLevel="1" x14ac:dyDescent="0.2">
      <c r="A42" s="73" t="s">
        <v>542</v>
      </c>
      <c r="B42" s="67" t="s">
        <v>537</v>
      </c>
      <c r="C42" s="67" t="s">
        <v>205</v>
      </c>
      <c r="D42" s="67" t="s">
        <v>205</v>
      </c>
      <c r="E42" s="204">
        <v>0</v>
      </c>
      <c r="F42" s="67" t="s">
        <v>488</v>
      </c>
      <c r="G42" s="67" t="s">
        <v>510</v>
      </c>
      <c r="H42" s="67" t="s">
        <v>497</v>
      </c>
      <c r="I42" s="67" t="s">
        <v>483</v>
      </c>
      <c r="J42" s="67" t="s">
        <v>209</v>
      </c>
      <c r="K42" s="67" t="s">
        <v>205</v>
      </c>
      <c r="L42" s="67" t="s">
        <v>205</v>
      </c>
      <c r="M42" s="67" t="s">
        <v>205</v>
      </c>
      <c r="N42" s="202"/>
    </row>
    <row r="43" spans="1:14" ht="15" customHeight="1" outlineLevel="1" x14ac:dyDescent="0.2">
      <c r="A43" s="74" t="s">
        <v>543</v>
      </c>
      <c r="B43" s="68" t="s">
        <v>539</v>
      </c>
      <c r="C43" s="68" t="s">
        <v>205</v>
      </c>
      <c r="D43" s="68" t="s">
        <v>205</v>
      </c>
      <c r="E43" s="203">
        <v>0</v>
      </c>
      <c r="F43" s="68" t="s">
        <v>488</v>
      </c>
      <c r="G43" s="68" t="s">
        <v>510</v>
      </c>
      <c r="H43" s="68" t="s">
        <v>497</v>
      </c>
      <c r="I43" s="68" t="s">
        <v>483</v>
      </c>
      <c r="J43" s="68" t="s">
        <v>209</v>
      </c>
      <c r="K43" s="68" t="s">
        <v>205</v>
      </c>
      <c r="L43" s="68" t="s">
        <v>205</v>
      </c>
      <c r="M43" s="68" t="s">
        <v>205</v>
      </c>
      <c r="N43" s="199"/>
    </row>
    <row r="44" spans="1:14" ht="15" customHeight="1" outlineLevel="1" x14ac:dyDescent="0.2">
      <c r="A44" s="73" t="s">
        <v>544</v>
      </c>
      <c r="B44" s="67" t="s">
        <v>541</v>
      </c>
      <c r="C44" s="67" t="s">
        <v>205</v>
      </c>
      <c r="D44" s="67" t="s">
        <v>205</v>
      </c>
      <c r="E44" s="204">
        <v>0</v>
      </c>
      <c r="F44" s="67" t="s">
        <v>488</v>
      </c>
      <c r="G44" s="67" t="s">
        <v>510</v>
      </c>
      <c r="H44" s="67" t="s">
        <v>497</v>
      </c>
      <c r="I44" s="67" t="s">
        <v>483</v>
      </c>
      <c r="J44" s="67" t="s">
        <v>209</v>
      </c>
      <c r="K44" s="67" t="s">
        <v>205</v>
      </c>
      <c r="L44" s="67" t="s">
        <v>205</v>
      </c>
      <c r="M44" s="67" t="s">
        <v>205</v>
      </c>
      <c r="N44" s="202"/>
    </row>
    <row r="45" spans="1:14" ht="15" customHeight="1" outlineLevel="1" x14ac:dyDescent="0.2">
      <c r="A45" s="74" t="s">
        <v>545</v>
      </c>
      <c r="B45" s="68" t="s">
        <v>546</v>
      </c>
      <c r="C45" s="68" t="s">
        <v>205</v>
      </c>
      <c r="D45" s="68" t="s">
        <v>205</v>
      </c>
      <c r="E45" s="203">
        <v>0</v>
      </c>
      <c r="F45" s="68" t="s">
        <v>488</v>
      </c>
      <c r="G45" s="68" t="s">
        <v>510</v>
      </c>
      <c r="H45" s="68" t="s">
        <v>497</v>
      </c>
      <c r="I45" s="68" t="s">
        <v>483</v>
      </c>
      <c r="J45" s="68" t="s">
        <v>209</v>
      </c>
      <c r="K45" s="68" t="s">
        <v>205</v>
      </c>
      <c r="L45" s="68" t="s">
        <v>205</v>
      </c>
      <c r="M45" s="68" t="s">
        <v>205</v>
      </c>
      <c r="N45" s="199"/>
    </row>
    <row r="46" spans="1:14" ht="15" customHeight="1" outlineLevel="1" x14ac:dyDescent="0.2">
      <c r="A46" s="73" t="s">
        <v>547</v>
      </c>
      <c r="B46" s="67" t="s">
        <v>546</v>
      </c>
      <c r="C46" s="67" t="s">
        <v>205</v>
      </c>
      <c r="D46" s="67" t="s">
        <v>205</v>
      </c>
      <c r="E46" s="204">
        <v>0</v>
      </c>
      <c r="F46" s="67" t="s">
        <v>488</v>
      </c>
      <c r="G46" s="67" t="s">
        <v>510</v>
      </c>
      <c r="H46" s="67" t="s">
        <v>497</v>
      </c>
      <c r="I46" s="67" t="s">
        <v>483</v>
      </c>
      <c r="J46" s="67" t="s">
        <v>209</v>
      </c>
      <c r="K46" s="67" t="s">
        <v>205</v>
      </c>
      <c r="L46" s="67" t="s">
        <v>205</v>
      </c>
      <c r="M46" s="67" t="s">
        <v>205</v>
      </c>
      <c r="N46" s="202"/>
    </row>
    <row r="47" spans="1:14" ht="15" customHeight="1" outlineLevel="1" x14ac:dyDescent="0.2">
      <c r="A47" s="74" t="s">
        <v>548</v>
      </c>
      <c r="B47" s="68" t="s">
        <v>549</v>
      </c>
      <c r="C47" s="68" t="s">
        <v>205</v>
      </c>
      <c r="D47" s="68" t="s">
        <v>205</v>
      </c>
      <c r="E47" s="203">
        <v>0</v>
      </c>
      <c r="F47" s="68" t="s">
        <v>488</v>
      </c>
      <c r="G47" s="68" t="s">
        <v>510</v>
      </c>
      <c r="H47" s="68" t="s">
        <v>497</v>
      </c>
      <c r="I47" s="68" t="s">
        <v>483</v>
      </c>
      <c r="J47" s="68" t="s">
        <v>209</v>
      </c>
      <c r="K47" s="68" t="s">
        <v>205</v>
      </c>
      <c r="L47" s="68" t="s">
        <v>205</v>
      </c>
      <c r="M47" s="68" t="s">
        <v>205</v>
      </c>
      <c r="N47" s="199"/>
    </row>
    <row r="48" spans="1:14" ht="15" customHeight="1" outlineLevel="1" x14ac:dyDescent="0.2">
      <c r="A48" s="73" t="s">
        <v>550</v>
      </c>
      <c r="B48" s="67" t="s">
        <v>549</v>
      </c>
      <c r="C48" s="67" t="s">
        <v>205</v>
      </c>
      <c r="D48" s="67" t="s">
        <v>205</v>
      </c>
      <c r="E48" s="204">
        <v>0</v>
      </c>
      <c r="F48" s="67" t="s">
        <v>488</v>
      </c>
      <c r="G48" s="67" t="s">
        <v>510</v>
      </c>
      <c r="H48" s="67" t="s">
        <v>497</v>
      </c>
      <c r="I48" s="67" t="s">
        <v>483</v>
      </c>
      <c r="J48" s="67" t="s">
        <v>209</v>
      </c>
      <c r="K48" s="67" t="s">
        <v>205</v>
      </c>
      <c r="L48" s="67" t="s">
        <v>205</v>
      </c>
      <c r="M48" s="67" t="s">
        <v>205</v>
      </c>
      <c r="N48" s="202"/>
    </row>
    <row r="49" spans="1:14" ht="15" customHeight="1" outlineLevel="1" x14ac:dyDescent="0.2">
      <c r="A49" s="74" t="s">
        <v>551</v>
      </c>
      <c r="B49" s="68" t="s">
        <v>552</v>
      </c>
      <c r="C49" s="68" t="s">
        <v>205</v>
      </c>
      <c r="D49" s="68" t="s">
        <v>205</v>
      </c>
      <c r="E49" s="203">
        <v>0</v>
      </c>
      <c r="F49" s="68" t="s">
        <v>488</v>
      </c>
      <c r="G49" s="68" t="s">
        <v>510</v>
      </c>
      <c r="H49" s="68" t="s">
        <v>497</v>
      </c>
      <c r="I49" s="68" t="s">
        <v>483</v>
      </c>
      <c r="J49" s="68" t="s">
        <v>209</v>
      </c>
      <c r="K49" s="68" t="s">
        <v>205</v>
      </c>
      <c r="L49" s="68" t="s">
        <v>205</v>
      </c>
      <c r="M49" s="68" t="s">
        <v>205</v>
      </c>
      <c r="N49" s="199"/>
    </row>
    <row r="50" spans="1:14" ht="15" customHeight="1" outlineLevel="1" x14ac:dyDescent="0.2">
      <c r="A50" s="73" t="s">
        <v>553</v>
      </c>
      <c r="B50" s="67" t="s">
        <v>554</v>
      </c>
      <c r="C50" s="67" t="s">
        <v>205</v>
      </c>
      <c r="D50" s="67" t="s">
        <v>205</v>
      </c>
      <c r="E50" s="204">
        <v>0</v>
      </c>
      <c r="F50" s="67" t="s">
        <v>488</v>
      </c>
      <c r="G50" s="67" t="s">
        <v>510</v>
      </c>
      <c r="H50" s="67" t="s">
        <v>497</v>
      </c>
      <c r="I50" s="67" t="s">
        <v>483</v>
      </c>
      <c r="J50" s="67" t="s">
        <v>209</v>
      </c>
      <c r="K50" s="67" t="s">
        <v>205</v>
      </c>
      <c r="L50" s="67" t="s">
        <v>205</v>
      </c>
      <c r="M50" s="67" t="s">
        <v>205</v>
      </c>
      <c r="N50" s="202"/>
    </row>
    <row r="51" spans="1:14" ht="15" customHeight="1" outlineLevel="1" x14ac:dyDescent="0.2">
      <c r="A51" s="74" t="s">
        <v>555</v>
      </c>
      <c r="B51" s="68" t="s">
        <v>556</v>
      </c>
      <c r="C51" s="68" t="s">
        <v>205</v>
      </c>
      <c r="D51" s="68" t="s">
        <v>205</v>
      </c>
      <c r="E51" s="203">
        <v>0</v>
      </c>
      <c r="F51" s="68" t="s">
        <v>488</v>
      </c>
      <c r="G51" s="68" t="s">
        <v>510</v>
      </c>
      <c r="H51" s="68" t="s">
        <v>497</v>
      </c>
      <c r="I51" s="68" t="s">
        <v>483</v>
      </c>
      <c r="J51" s="68" t="s">
        <v>209</v>
      </c>
      <c r="K51" s="68" t="s">
        <v>205</v>
      </c>
      <c r="L51" s="68" t="s">
        <v>205</v>
      </c>
      <c r="M51" s="68" t="s">
        <v>205</v>
      </c>
      <c r="N51" s="199"/>
    </row>
    <row r="52" spans="1:14" ht="15" customHeight="1" outlineLevel="1" x14ac:dyDescent="0.2">
      <c r="A52" s="73" t="s">
        <v>557</v>
      </c>
      <c r="B52" s="67" t="s">
        <v>552</v>
      </c>
      <c r="C52" s="67" t="s">
        <v>205</v>
      </c>
      <c r="D52" s="67" t="s">
        <v>205</v>
      </c>
      <c r="E52" s="204">
        <v>0</v>
      </c>
      <c r="F52" s="67" t="s">
        <v>488</v>
      </c>
      <c r="G52" s="67" t="s">
        <v>510</v>
      </c>
      <c r="H52" s="67" t="s">
        <v>497</v>
      </c>
      <c r="I52" s="67" t="s">
        <v>483</v>
      </c>
      <c r="J52" s="67" t="s">
        <v>209</v>
      </c>
      <c r="K52" s="67" t="s">
        <v>205</v>
      </c>
      <c r="L52" s="67" t="s">
        <v>205</v>
      </c>
      <c r="M52" s="67" t="s">
        <v>205</v>
      </c>
      <c r="N52" s="202"/>
    </row>
    <row r="53" spans="1:14" ht="15" customHeight="1" outlineLevel="1" x14ac:dyDescent="0.2">
      <c r="A53" s="74" t="s">
        <v>558</v>
      </c>
      <c r="B53" s="68" t="s">
        <v>554</v>
      </c>
      <c r="C53" s="68" t="s">
        <v>205</v>
      </c>
      <c r="D53" s="68" t="s">
        <v>205</v>
      </c>
      <c r="E53" s="203">
        <v>0</v>
      </c>
      <c r="F53" s="68" t="s">
        <v>488</v>
      </c>
      <c r="G53" s="68" t="s">
        <v>510</v>
      </c>
      <c r="H53" s="68" t="s">
        <v>497</v>
      </c>
      <c r="I53" s="68" t="s">
        <v>483</v>
      </c>
      <c r="J53" s="68" t="s">
        <v>209</v>
      </c>
      <c r="K53" s="68" t="s">
        <v>205</v>
      </c>
      <c r="L53" s="68" t="s">
        <v>205</v>
      </c>
      <c r="M53" s="68" t="s">
        <v>205</v>
      </c>
      <c r="N53" s="199"/>
    </row>
    <row r="54" spans="1:14" ht="15" customHeight="1" outlineLevel="1" x14ac:dyDescent="0.2">
      <c r="A54" s="73" t="s">
        <v>559</v>
      </c>
      <c r="B54" s="67" t="s">
        <v>556</v>
      </c>
      <c r="C54" s="67" t="s">
        <v>205</v>
      </c>
      <c r="D54" s="67" t="s">
        <v>205</v>
      </c>
      <c r="E54" s="204">
        <v>0</v>
      </c>
      <c r="F54" s="67" t="s">
        <v>488</v>
      </c>
      <c r="G54" s="67" t="s">
        <v>510</v>
      </c>
      <c r="H54" s="67" t="s">
        <v>497</v>
      </c>
      <c r="I54" s="67" t="s">
        <v>483</v>
      </c>
      <c r="J54" s="67" t="s">
        <v>209</v>
      </c>
      <c r="K54" s="67" t="s">
        <v>205</v>
      </c>
      <c r="L54" s="67" t="s">
        <v>205</v>
      </c>
      <c r="M54" s="67" t="s">
        <v>205</v>
      </c>
      <c r="N54" s="202"/>
    </row>
    <row r="55" spans="1:14" ht="15" customHeight="1" outlineLevel="1" x14ac:dyDescent="0.2">
      <c r="A55" s="74" t="s">
        <v>560</v>
      </c>
      <c r="B55" s="68" t="s">
        <v>561</v>
      </c>
      <c r="C55" s="68" t="s">
        <v>205</v>
      </c>
      <c r="D55" s="68" t="s">
        <v>205</v>
      </c>
      <c r="E55" s="203">
        <v>0</v>
      </c>
      <c r="F55" s="68" t="s">
        <v>488</v>
      </c>
      <c r="G55" s="68" t="s">
        <v>510</v>
      </c>
      <c r="H55" s="68" t="s">
        <v>497</v>
      </c>
      <c r="I55" s="68" t="s">
        <v>483</v>
      </c>
      <c r="J55" s="68" t="s">
        <v>209</v>
      </c>
      <c r="K55" s="68" t="s">
        <v>205</v>
      </c>
      <c r="L55" s="68" t="s">
        <v>205</v>
      </c>
      <c r="M55" s="68" t="s">
        <v>205</v>
      </c>
      <c r="N55" s="199"/>
    </row>
    <row r="56" spans="1:14" ht="15" customHeight="1" outlineLevel="1" x14ac:dyDescent="0.2">
      <c r="A56" s="73" t="s">
        <v>562</v>
      </c>
      <c r="B56" s="67" t="s">
        <v>561</v>
      </c>
      <c r="C56" s="67" t="s">
        <v>205</v>
      </c>
      <c r="D56" s="67" t="s">
        <v>205</v>
      </c>
      <c r="E56" s="204">
        <v>0</v>
      </c>
      <c r="F56" s="67" t="s">
        <v>488</v>
      </c>
      <c r="G56" s="67" t="s">
        <v>510</v>
      </c>
      <c r="H56" s="67" t="s">
        <v>497</v>
      </c>
      <c r="I56" s="67" t="s">
        <v>483</v>
      </c>
      <c r="J56" s="67" t="s">
        <v>209</v>
      </c>
      <c r="K56" s="67" t="s">
        <v>205</v>
      </c>
      <c r="L56" s="67" t="s">
        <v>205</v>
      </c>
      <c r="M56" s="67" t="s">
        <v>205</v>
      </c>
      <c r="N56" s="202"/>
    </row>
    <row r="57" spans="1:14" ht="15" customHeight="1" outlineLevel="1" x14ac:dyDescent="0.2">
      <c r="A57" s="74" t="s">
        <v>563</v>
      </c>
      <c r="B57" s="68" t="s">
        <v>564</v>
      </c>
      <c r="C57" s="68" t="s">
        <v>205</v>
      </c>
      <c r="D57" s="68" t="s">
        <v>205</v>
      </c>
      <c r="E57" s="203">
        <v>0</v>
      </c>
      <c r="F57" s="68" t="s">
        <v>488</v>
      </c>
      <c r="G57" s="68" t="s">
        <v>510</v>
      </c>
      <c r="H57" s="68" t="s">
        <v>565</v>
      </c>
      <c r="I57" s="68" t="s">
        <v>483</v>
      </c>
      <c r="J57" s="68" t="s">
        <v>209</v>
      </c>
      <c r="K57" s="68" t="s">
        <v>205</v>
      </c>
      <c r="L57" s="68" t="s">
        <v>205</v>
      </c>
      <c r="M57" s="68" t="s">
        <v>205</v>
      </c>
      <c r="N57" s="199"/>
    </row>
    <row r="58" spans="1:14" ht="15" customHeight="1" outlineLevel="1" x14ac:dyDescent="0.2">
      <c r="A58" s="73" t="s">
        <v>566</v>
      </c>
      <c r="B58" s="67" t="s">
        <v>564</v>
      </c>
      <c r="C58" s="67" t="s">
        <v>205</v>
      </c>
      <c r="D58" s="67" t="s">
        <v>205</v>
      </c>
      <c r="E58" s="204">
        <v>0</v>
      </c>
      <c r="F58" s="67" t="s">
        <v>488</v>
      </c>
      <c r="G58" s="67" t="s">
        <v>510</v>
      </c>
      <c r="H58" s="67" t="s">
        <v>565</v>
      </c>
      <c r="I58" s="67" t="s">
        <v>483</v>
      </c>
      <c r="J58" s="67" t="s">
        <v>209</v>
      </c>
      <c r="K58" s="67" t="s">
        <v>205</v>
      </c>
      <c r="L58" s="67" t="s">
        <v>205</v>
      </c>
      <c r="M58" s="67" t="s">
        <v>205</v>
      </c>
      <c r="N58" s="202"/>
    </row>
    <row r="59" spans="1:14" ht="15" customHeight="1" outlineLevel="1" x14ac:dyDescent="0.2">
      <c r="A59" s="74" t="s">
        <v>567</v>
      </c>
      <c r="B59" s="68" t="s">
        <v>568</v>
      </c>
      <c r="C59" s="68" t="s">
        <v>205</v>
      </c>
      <c r="D59" s="68" t="s">
        <v>205</v>
      </c>
      <c r="E59" s="203">
        <v>0</v>
      </c>
      <c r="F59" s="68" t="s">
        <v>488</v>
      </c>
      <c r="G59" s="68" t="s">
        <v>569</v>
      </c>
      <c r="H59" s="68" t="s">
        <v>565</v>
      </c>
      <c r="I59" s="68" t="s">
        <v>483</v>
      </c>
      <c r="J59" s="68" t="s">
        <v>209</v>
      </c>
      <c r="K59" s="68" t="s">
        <v>205</v>
      </c>
      <c r="L59" s="68" t="s">
        <v>205</v>
      </c>
      <c r="M59" s="68" t="s">
        <v>205</v>
      </c>
      <c r="N59" s="199"/>
    </row>
    <row r="60" spans="1:14" ht="15" customHeight="1" outlineLevel="1" x14ac:dyDescent="0.2">
      <c r="A60" s="73" t="s">
        <v>570</v>
      </c>
      <c r="B60" s="67" t="s">
        <v>571</v>
      </c>
      <c r="C60" s="67" t="s">
        <v>205</v>
      </c>
      <c r="D60" s="67" t="s">
        <v>205</v>
      </c>
      <c r="E60" s="204">
        <v>0</v>
      </c>
      <c r="F60" s="67" t="s">
        <v>488</v>
      </c>
      <c r="G60" s="67" t="s">
        <v>569</v>
      </c>
      <c r="H60" s="67" t="s">
        <v>565</v>
      </c>
      <c r="I60" s="67" t="s">
        <v>483</v>
      </c>
      <c r="J60" s="67" t="s">
        <v>209</v>
      </c>
      <c r="K60" s="67" t="s">
        <v>205</v>
      </c>
      <c r="L60" s="67" t="s">
        <v>205</v>
      </c>
      <c r="M60" s="67" t="s">
        <v>205</v>
      </c>
      <c r="N60" s="202"/>
    </row>
    <row r="61" spans="1:14" ht="15" customHeight="1" outlineLevel="1" x14ac:dyDescent="0.2">
      <c r="A61" s="74" t="s">
        <v>572</v>
      </c>
      <c r="B61" s="68" t="s">
        <v>568</v>
      </c>
      <c r="C61" s="68" t="s">
        <v>205</v>
      </c>
      <c r="D61" s="68" t="s">
        <v>205</v>
      </c>
      <c r="E61" s="203">
        <v>0</v>
      </c>
      <c r="F61" s="68" t="s">
        <v>488</v>
      </c>
      <c r="G61" s="68" t="s">
        <v>569</v>
      </c>
      <c r="H61" s="68" t="s">
        <v>565</v>
      </c>
      <c r="I61" s="68" t="s">
        <v>483</v>
      </c>
      <c r="J61" s="68" t="s">
        <v>209</v>
      </c>
      <c r="K61" s="68" t="s">
        <v>205</v>
      </c>
      <c r="L61" s="68" t="s">
        <v>205</v>
      </c>
      <c r="M61" s="68" t="s">
        <v>205</v>
      </c>
      <c r="N61" s="199"/>
    </row>
    <row r="62" spans="1:14" ht="15" customHeight="1" outlineLevel="1" x14ac:dyDescent="0.2">
      <c r="A62" s="73" t="s">
        <v>573</v>
      </c>
      <c r="B62" s="67" t="s">
        <v>571</v>
      </c>
      <c r="C62" s="67" t="s">
        <v>205</v>
      </c>
      <c r="D62" s="67" t="s">
        <v>205</v>
      </c>
      <c r="E62" s="204">
        <v>0</v>
      </c>
      <c r="F62" s="67" t="s">
        <v>488</v>
      </c>
      <c r="G62" s="67" t="s">
        <v>569</v>
      </c>
      <c r="H62" s="67" t="s">
        <v>565</v>
      </c>
      <c r="I62" s="67" t="s">
        <v>483</v>
      </c>
      <c r="J62" s="67" t="s">
        <v>209</v>
      </c>
      <c r="K62" s="67" t="s">
        <v>205</v>
      </c>
      <c r="L62" s="67" t="s">
        <v>205</v>
      </c>
      <c r="M62" s="67" t="s">
        <v>205</v>
      </c>
      <c r="N62" s="202"/>
    </row>
    <row r="63" spans="1:14" ht="15" customHeight="1" outlineLevel="1" x14ac:dyDescent="0.2">
      <c r="A63" s="74" t="s">
        <v>574</v>
      </c>
      <c r="B63" s="68" t="s">
        <v>575</v>
      </c>
      <c r="C63" s="68" t="s">
        <v>205</v>
      </c>
      <c r="D63" s="68" t="s">
        <v>205</v>
      </c>
      <c r="E63" s="203">
        <v>0</v>
      </c>
      <c r="F63" s="68" t="s">
        <v>488</v>
      </c>
      <c r="G63" s="68" t="s">
        <v>569</v>
      </c>
      <c r="H63" s="68" t="s">
        <v>565</v>
      </c>
      <c r="I63" s="68" t="s">
        <v>483</v>
      </c>
      <c r="J63" s="68" t="s">
        <v>209</v>
      </c>
      <c r="K63" s="68" t="s">
        <v>205</v>
      </c>
      <c r="L63" s="68" t="s">
        <v>205</v>
      </c>
      <c r="M63" s="68" t="s">
        <v>205</v>
      </c>
      <c r="N63" s="199"/>
    </row>
    <row r="64" spans="1:14" ht="15" customHeight="1" outlineLevel="1" x14ac:dyDescent="0.2">
      <c r="A64" s="73" t="s">
        <v>576</v>
      </c>
      <c r="B64" s="67" t="s">
        <v>575</v>
      </c>
      <c r="C64" s="67" t="s">
        <v>205</v>
      </c>
      <c r="D64" s="67" t="s">
        <v>205</v>
      </c>
      <c r="E64" s="204">
        <v>0</v>
      </c>
      <c r="F64" s="67" t="s">
        <v>488</v>
      </c>
      <c r="G64" s="67" t="s">
        <v>569</v>
      </c>
      <c r="H64" s="67" t="s">
        <v>565</v>
      </c>
      <c r="I64" s="67" t="s">
        <v>483</v>
      </c>
      <c r="J64" s="67" t="s">
        <v>209</v>
      </c>
      <c r="K64" s="67" t="s">
        <v>205</v>
      </c>
      <c r="L64" s="67" t="s">
        <v>205</v>
      </c>
      <c r="M64" s="67" t="s">
        <v>205</v>
      </c>
      <c r="N64" s="202"/>
    </row>
    <row r="65" spans="1:14" ht="15" customHeight="1" outlineLevel="1" x14ac:dyDescent="0.2">
      <c r="A65" s="74" t="s">
        <v>577</v>
      </c>
      <c r="B65" s="68" t="s">
        <v>578</v>
      </c>
      <c r="C65" s="68" t="s">
        <v>205</v>
      </c>
      <c r="D65" s="68" t="s">
        <v>205</v>
      </c>
      <c r="E65" s="203">
        <v>0</v>
      </c>
      <c r="F65" s="68" t="s">
        <v>488</v>
      </c>
      <c r="G65" s="68" t="s">
        <v>569</v>
      </c>
      <c r="H65" s="68" t="s">
        <v>565</v>
      </c>
      <c r="I65" s="68" t="s">
        <v>483</v>
      </c>
      <c r="J65" s="68" t="s">
        <v>209</v>
      </c>
      <c r="K65" s="68" t="s">
        <v>205</v>
      </c>
      <c r="L65" s="68" t="s">
        <v>205</v>
      </c>
      <c r="M65" s="68" t="s">
        <v>205</v>
      </c>
      <c r="N65" s="199"/>
    </row>
    <row r="66" spans="1:14" ht="15" customHeight="1" outlineLevel="1" x14ac:dyDescent="0.2">
      <c r="A66" s="73" t="s">
        <v>579</v>
      </c>
      <c r="B66" s="67" t="s">
        <v>578</v>
      </c>
      <c r="C66" s="67" t="s">
        <v>205</v>
      </c>
      <c r="D66" s="67" t="s">
        <v>205</v>
      </c>
      <c r="E66" s="204">
        <v>0</v>
      </c>
      <c r="F66" s="67" t="s">
        <v>488</v>
      </c>
      <c r="G66" s="67" t="s">
        <v>569</v>
      </c>
      <c r="H66" s="67" t="s">
        <v>565</v>
      </c>
      <c r="I66" s="67" t="s">
        <v>483</v>
      </c>
      <c r="J66" s="67" t="s">
        <v>209</v>
      </c>
      <c r="K66" s="67" t="s">
        <v>205</v>
      </c>
      <c r="L66" s="67" t="s">
        <v>205</v>
      </c>
      <c r="M66" s="67" t="s">
        <v>205</v>
      </c>
      <c r="N66" s="202"/>
    </row>
    <row r="67" spans="1:14" ht="15" customHeight="1" outlineLevel="1" x14ac:dyDescent="0.2">
      <c r="A67" s="74" t="s">
        <v>580</v>
      </c>
      <c r="B67" s="68" t="s">
        <v>581</v>
      </c>
      <c r="C67" s="68" t="s">
        <v>205</v>
      </c>
      <c r="D67" s="68" t="s">
        <v>205</v>
      </c>
      <c r="E67" s="203">
        <v>0</v>
      </c>
      <c r="F67" s="68" t="s">
        <v>488</v>
      </c>
      <c r="G67" s="68" t="s">
        <v>569</v>
      </c>
      <c r="H67" s="68" t="s">
        <v>565</v>
      </c>
      <c r="I67" s="68" t="s">
        <v>483</v>
      </c>
      <c r="J67" s="68" t="s">
        <v>209</v>
      </c>
      <c r="K67" s="68" t="s">
        <v>205</v>
      </c>
      <c r="L67" s="68" t="s">
        <v>205</v>
      </c>
      <c r="M67" s="68" t="s">
        <v>205</v>
      </c>
      <c r="N67" s="199"/>
    </row>
    <row r="68" spans="1:14" ht="15" customHeight="1" outlineLevel="1" x14ac:dyDescent="0.2">
      <c r="A68" s="73" t="s">
        <v>582</v>
      </c>
      <c r="B68" s="67" t="s">
        <v>583</v>
      </c>
      <c r="C68" s="67" t="s">
        <v>205</v>
      </c>
      <c r="D68" s="67" t="s">
        <v>205</v>
      </c>
      <c r="E68" s="204">
        <v>0</v>
      </c>
      <c r="F68" s="67" t="s">
        <v>488</v>
      </c>
      <c r="G68" s="67" t="s">
        <v>569</v>
      </c>
      <c r="H68" s="67" t="s">
        <v>565</v>
      </c>
      <c r="I68" s="67" t="s">
        <v>483</v>
      </c>
      <c r="J68" s="67" t="s">
        <v>209</v>
      </c>
      <c r="K68" s="67" t="s">
        <v>205</v>
      </c>
      <c r="L68" s="67" t="s">
        <v>205</v>
      </c>
      <c r="M68" s="67" t="s">
        <v>205</v>
      </c>
      <c r="N68" s="202"/>
    </row>
    <row r="69" spans="1:14" ht="15" customHeight="1" outlineLevel="1" x14ac:dyDescent="0.2">
      <c r="A69" s="74" t="s">
        <v>584</v>
      </c>
      <c r="B69" s="68" t="s">
        <v>585</v>
      </c>
      <c r="C69" s="68" t="s">
        <v>205</v>
      </c>
      <c r="D69" s="68" t="s">
        <v>205</v>
      </c>
      <c r="E69" s="203">
        <v>0</v>
      </c>
      <c r="F69" s="68" t="s">
        <v>488</v>
      </c>
      <c r="G69" s="68" t="s">
        <v>569</v>
      </c>
      <c r="H69" s="68" t="s">
        <v>565</v>
      </c>
      <c r="I69" s="68" t="s">
        <v>483</v>
      </c>
      <c r="J69" s="68" t="s">
        <v>209</v>
      </c>
      <c r="K69" s="68" t="s">
        <v>205</v>
      </c>
      <c r="L69" s="68" t="s">
        <v>205</v>
      </c>
      <c r="M69" s="68" t="s">
        <v>205</v>
      </c>
      <c r="N69" s="199"/>
    </row>
    <row r="70" spans="1:14" ht="15" customHeight="1" outlineLevel="1" x14ac:dyDescent="0.2">
      <c r="A70" s="73" t="s">
        <v>586</v>
      </c>
      <c r="B70" s="67" t="s">
        <v>581</v>
      </c>
      <c r="C70" s="67" t="s">
        <v>205</v>
      </c>
      <c r="D70" s="67" t="s">
        <v>205</v>
      </c>
      <c r="E70" s="204">
        <v>0</v>
      </c>
      <c r="F70" s="67" t="s">
        <v>488</v>
      </c>
      <c r="G70" s="67" t="s">
        <v>569</v>
      </c>
      <c r="H70" s="67" t="s">
        <v>565</v>
      </c>
      <c r="I70" s="67" t="s">
        <v>483</v>
      </c>
      <c r="J70" s="67" t="s">
        <v>209</v>
      </c>
      <c r="K70" s="67" t="s">
        <v>205</v>
      </c>
      <c r="L70" s="67" t="s">
        <v>205</v>
      </c>
      <c r="M70" s="67" t="s">
        <v>205</v>
      </c>
      <c r="N70" s="202"/>
    </row>
    <row r="71" spans="1:14" ht="15" customHeight="1" outlineLevel="1" x14ac:dyDescent="0.2">
      <c r="A71" s="74" t="s">
        <v>587</v>
      </c>
      <c r="B71" s="68" t="s">
        <v>583</v>
      </c>
      <c r="C71" s="68" t="s">
        <v>205</v>
      </c>
      <c r="D71" s="68" t="s">
        <v>205</v>
      </c>
      <c r="E71" s="203">
        <v>0</v>
      </c>
      <c r="F71" s="68" t="s">
        <v>488</v>
      </c>
      <c r="G71" s="68" t="s">
        <v>569</v>
      </c>
      <c r="H71" s="68" t="s">
        <v>565</v>
      </c>
      <c r="I71" s="68" t="s">
        <v>483</v>
      </c>
      <c r="J71" s="68" t="s">
        <v>209</v>
      </c>
      <c r="K71" s="68" t="s">
        <v>205</v>
      </c>
      <c r="L71" s="68" t="s">
        <v>205</v>
      </c>
      <c r="M71" s="68" t="s">
        <v>205</v>
      </c>
      <c r="N71" s="199"/>
    </row>
    <row r="72" spans="1:14" ht="15" customHeight="1" outlineLevel="1" x14ac:dyDescent="0.2">
      <c r="A72" s="73" t="s">
        <v>588</v>
      </c>
      <c r="B72" s="67" t="s">
        <v>585</v>
      </c>
      <c r="C72" s="67" t="s">
        <v>205</v>
      </c>
      <c r="D72" s="67" t="s">
        <v>205</v>
      </c>
      <c r="E72" s="204">
        <v>0</v>
      </c>
      <c r="F72" s="67" t="s">
        <v>488</v>
      </c>
      <c r="G72" s="67" t="s">
        <v>569</v>
      </c>
      <c r="H72" s="67" t="s">
        <v>565</v>
      </c>
      <c r="I72" s="67" t="s">
        <v>483</v>
      </c>
      <c r="J72" s="67" t="s">
        <v>209</v>
      </c>
      <c r="K72" s="67" t="s">
        <v>205</v>
      </c>
      <c r="L72" s="67" t="s">
        <v>205</v>
      </c>
      <c r="M72" s="67" t="s">
        <v>205</v>
      </c>
      <c r="N72" s="202"/>
    </row>
    <row r="73" spans="1:14" ht="15" customHeight="1" outlineLevel="1" x14ac:dyDescent="0.2">
      <c r="A73" s="74" t="s">
        <v>589</v>
      </c>
      <c r="B73" s="68" t="s">
        <v>590</v>
      </c>
      <c r="C73" s="68" t="s">
        <v>205</v>
      </c>
      <c r="D73" s="68" t="s">
        <v>205</v>
      </c>
      <c r="E73" s="203">
        <v>0</v>
      </c>
      <c r="F73" s="68" t="s">
        <v>488</v>
      </c>
      <c r="G73" s="68" t="s">
        <v>569</v>
      </c>
      <c r="H73" s="68" t="s">
        <v>565</v>
      </c>
      <c r="I73" s="68" t="s">
        <v>483</v>
      </c>
      <c r="J73" s="68" t="s">
        <v>209</v>
      </c>
      <c r="K73" s="68" t="s">
        <v>205</v>
      </c>
      <c r="L73" s="68" t="s">
        <v>205</v>
      </c>
      <c r="M73" s="68" t="s">
        <v>205</v>
      </c>
      <c r="N73" s="199"/>
    </row>
    <row r="74" spans="1:14" ht="15" customHeight="1" outlineLevel="1" x14ac:dyDescent="0.2">
      <c r="A74" s="73" t="s">
        <v>591</v>
      </c>
      <c r="B74" s="67" t="s">
        <v>592</v>
      </c>
      <c r="C74" s="67" t="s">
        <v>205</v>
      </c>
      <c r="D74" s="67" t="s">
        <v>205</v>
      </c>
      <c r="E74" s="204">
        <v>0</v>
      </c>
      <c r="F74" s="67" t="s">
        <v>488</v>
      </c>
      <c r="G74" s="67" t="s">
        <v>569</v>
      </c>
      <c r="H74" s="67" t="s">
        <v>565</v>
      </c>
      <c r="I74" s="67" t="s">
        <v>483</v>
      </c>
      <c r="J74" s="67" t="s">
        <v>209</v>
      </c>
      <c r="K74" s="67" t="s">
        <v>205</v>
      </c>
      <c r="L74" s="67" t="s">
        <v>205</v>
      </c>
      <c r="M74" s="67" t="s">
        <v>205</v>
      </c>
      <c r="N74" s="202"/>
    </row>
    <row r="75" spans="1:14" ht="15" customHeight="1" outlineLevel="1" x14ac:dyDescent="0.2">
      <c r="A75" s="74" t="s">
        <v>593</v>
      </c>
      <c r="B75" s="68" t="s">
        <v>592</v>
      </c>
      <c r="C75" s="68" t="s">
        <v>205</v>
      </c>
      <c r="D75" s="68" t="s">
        <v>205</v>
      </c>
      <c r="E75" s="203">
        <v>0</v>
      </c>
      <c r="F75" s="68" t="s">
        <v>488</v>
      </c>
      <c r="G75" s="68" t="s">
        <v>569</v>
      </c>
      <c r="H75" s="68" t="s">
        <v>565</v>
      </c>
      <c r="I75" s="68" t="s">
        <v>483</v>
      </c>
      <c r="J75" s="68" t="s">
        <v>209</v>
      </c>
      <c r="K75" s="68" t="s">
        <v>205</v>
      </c>
      <c r="L75" s="68" t="s">
        <v>205</v>
      </c>
      <c r="M75" s="68" t="s">
        <v>205</v>
      </c>
      <c r="N75" s="199"/>
    </row>
    <row r="76" spans="1:14" ht="15" customHeight="1" outlineLevel="1" x14ac:dyDescent="0.2">
      <c r="A76" s="73" t="s">
        <v>594</v>
      </c>
      <c r="B76" s="67" t="s">
        <v>595</v>
      </c>
      <c r="C76" s="67" t="s">
        <v>205</v>
      </c>
      <c r="D76" s="67" t="s">
        <v>205</v>
      </c>
      <c r="E76" s="204">
        <v>0</v>
      </c>
      <c r="F76" s="67" t="s">
        <v>488</v>
      </c>
      <c r="G76" s="67" t="s">
        <v>569</v>
      </c>
      <c r="H76" s="67" t="s">
        <v>565</v>
      </c>
      <c r="I76" s="67" t="s">
        <v>483</v>
      </c>
      <c r="J76" s="67" t="s">
        <v>209</v>
      </c>
      <c r="K76" s="67" t="s">
        <v>205</v>
      </c>
      <c r="L76" s="67" t="s">
        <v>205</v>
      </c>
      <c r="M76" s="67" t="s">
        <v>205</v>
      </c>
      <c r="N76" s="202"/>
    </row>
    <row r="77" spans="1:14" ht="15" customHeight="1" outlineLevel="1" x14ac:dyDescent="0.2">
      <c r="A77" s="74" t="s">
        <v>596</v>
      </c>
      <c r="B77" s="68" t="s">
        <v>597</v>
      </c>
      <c r="C77" s="68" t="s">
        <v>205</v>
      </c>
      <c r="D77" s="68" t="s">
        <v>205</v>
      </c>
      <c r="E77" s="203">
        <v>0</v>
      </c>
      <c r="F77" s="68" t="s">
        <v>488</v>
      </c>
      <c r="G77" s="68" t="s">
        <v>569</v>
      </c>
      <c r="H77" s="68" t="s">
        <v>565</v>
      </c>
      <c r="I77" s="68" t="s">
        <v>483</v>
      </c>
      <c r="J77" s="68" t="s">
        <v>209</v>
      </c>
      <c r="K77" s="68" t="s">
        <v>205</v>
      </c>
      <c r="L77" s="68" t="s">
        <v>205</v>
      </c>
      <c r="M77" s="68" t="s">
        <v>205</v>
      </c>
      <c r="N77" s="199"/>
    </row>
    <row r="78" spans="1:14" ht="15" customHeight="1" outlineLevel="1" x14ac:dyDescent="0.2">
      <c r="A78" s="73" t="s">
        <v>598</v>
      </c>
      <c r="B78" s="67" t="s">
        <v>599</v>
      </c>
      <c r="C78" s="67" t="s">
        <v>205</v>
      </c>
      <c r="D78" s="67" t="s">
        <v>205</v>
      </c>
      <c r="E78" s="204">
        <v>0</v>
      </c>
      <c r="F78" s="67" t="s">
        <v>488</v>
      </c>
      <c r="G78" s="67" t="s">
        <v>569</v>
      </c>
      <c r="H78" s="67" t="s">
        <v>565</v>
      </c>
      <c r="I78" s="67" t="s">
        <v>483</v>
      </c>
      <c r="J78" s="67" t="s">
        <v>209</v>
      </c>
      <c r="K78" s="67" t="s">
        <v>205</v>
      </c>
      <c r="L78" s="67" t="s">
        <v>205</v>
      </c>
      <c r="M78" s="67" t="s">
        <v>205</v>
      </c>
      <c r="N78" s="202"/>
    </row>
    <row r="79" spans="1:14" ht="15" customHeight="1" outlineLevel="1" x14ac:dyDescent="0.2">
      <c r="A79" s="74" t="s">
        <v>600</v>
      </c>
      <c r="B79" s="68" t="s">
        <v>595</v>
      </c>
      <c r="C79" s="68" t="s">
        <v>205</v>
      </c>
      <c r="D79" s="68" t="s">
        <v>205</v>
      </c>
      <c r="E79" s="203">
        <v>0</v>
      </c>
      <c r="F79" s="68" t="s">
        <v>488</v>
      </c>
      <c r="G79" s="68" t="s">
        <v>569</v>
      </c>
      <c r="H79" s="68" t="s">
        <v>565</v>
      </c>
      <c r="I79" s="68" t="s">
        <v>483</v>
      </c>
      <c r="J79" s="68" t="s">
        <v>209</v>
      </c>
      <c r="K79" s="68" t="s">
        <v>205</v>
      </c>
      <c r="L79" s="68" t="s">
        <v>205</v>
      </c>
      <c r="M79" s="68" t="s">
        <v>205</v>
      </c>
      <c r="N79" s="199"/>
    </row>
    <row r="80" spans="1:14" ht="15" customHeight="1" outlineLevel="1" x14ac:dyDescent="0.2">
      <c r="A80" s="73" t="s">
        <v>601</v>
      </c>
      <c r="B80" s="67" t="s">
        <v>597</v>
      </c>
      <c r="C80" s="67" t="s">
        <v>205</v>
      </c>
      <c r="D80" s="67" t="s">
        <v>205</v>
      </c>
      <c r="E80" s="204">
        <v>0</v>
      </c>
      <c r="F80" s="67" t="s">
        <v>488</v>
      </c>
      <c r="G80" s="67" t="s">
        <v>569</v>
      </c>
      <c r="H80" s="67" t="s">
        <v>565</v>
      </c>
      <c r="I80" s="67" t="s">
        <v>483</v>
      </c>
      <c r="J80" s="67" t="s">
        <v>209</v>
      </c>
      <c r="K80" s="67" t="s">
        <v>205</v>
      </c>
      <c r="L80" s="67" t="s">
        <v>205</v>
      </c>
      <c r="M80" s="67" t="s">
        <v>205</v>
      </c>
      <c r="N80" s="202"/>
    </row>
    <row r="81" spans="1:14" ht="15" customHeight="1" outlineLevel="1" x14ac:dyDescent="0.2">
      <c r="A81" s="74" t="s">
        <v>602</v>
      </c>
      <c r="B81" s="68" t="s">
        <v>599</v>
      </c>
      <c r="C81" s="68" t="s">
        <v>205</v>
      </c>
      <c r="D81" s="68" t="s">
        <v>205</v>
      </c>
      <c r="E81" s="203">
        <v>0</v>
      </c>
      <c r="F81" s="68" t="s">
        <v>488</v>
      </c>
      <c r="G81" s="68" t="s">
        <v>569</v>
      </c>
      <c r="H81" s="68" t="s">
        <v>565</v>
      </c>
      <c r="I81" s="68" t="s">
        <v>483</v>
      </c>
      <c r="J81" s="68" t="s">
        <v>209</v>
      </c>
      <c r="K81" s="68" t="s">
        <v>205</v>
      </c>
      <c r="L81" s="68" t="s">
        <v>205</v>
      </c>
      <c r="M81" s="68" t="s">
        <v>205</v>
      </c>
      <c r="N81" s="199"/>
    </row>
    <row r="82" spans="1:14" ht="15" customHeight="1" outlineLevel="1" x14ac:dyDescent="0.2">
      <c r="A82" s="73" t="s">
        <v>603</v>
      </c>
      <c r="B82" s="67" t="s">
        <v>604</v>
      </c>
      <c r="C82" s="67" t="s">
        <v>205</v>
      </c>
      <c r="D82" s="67" t="s">
        <v>205</v>
      </c>
      <c r="E82" s="204">
        <v>0</v>
      </c>
      <c r="F82" s="67" t="s">
        <v>488</v>
      </c>
      <c r="G82" s="67" t="s">
        <v>569</v>
      </c>
      <c r="H82" s="67" t="s">
        <v>565</v>
      </c>
      <c r="I82" s="67" t="s">
        <v>483</v>
      </c>
      <c r="J82" s="67" t="s">
        <v>209</v>
      </c>
      <c r="K82" s="67" t="s">
        <v>205</v>
      </c>
      <c r="L82" s="67" t="s">
        <v>205</v>
      </c>
      <c r="M82" s="67" t="s">
        <v>205</v>
      </c>
      <c r="N82" s="202"/>
    </row>
    <row r="83" spans="1:14" ht="15" customHeight="1" outlineLevel="1" x14ac:dyDescent="0.2">
      <c r="A83" s="74" t="s">
        <v>605</v>
      </c>
      <c r="B83" s="68" t="s">
        <v>606</v>
      </c>
      <c r="C83" s="68" t="s">
        <v>205</v>
      </c>
      <c r="D83" s="68" t="s">
        <v>205</v>
      </c>
      <c r="E83" s="203">
        <v>0</v>
      </c>
      <c r="F83" s="68" t="s">
        <v>488</v>
      </c>
      <c r="G83" s="68" t="s">
        <v>569</v>
      </c>
      <c r="H83" s="68" t="s">
        <v>565</v>
      </c>
      <c r="I83" s="68" t="s">
        <v>483</v>
      </c>
      <c r="J83" s="68" t="s">
        <v>209</v>
      </c>
      <c r="K83" s="68" t="s">
        <v>205</v>
      </c>
      <c r="L83" s="68" t="s">
        <v>205</v>
      </c>
      <c r="M83" s="68" t="s">
        <v>205</v>
      </c>
      <c r="N83" s="199"/>
    </row>
    <row r="84" spans="1:14" ht="15" customHeight="1" outlineLevel="1" x14ac:dyDescent="0.2">
      <c r="A84" s="73" t="s">
        <v>607</v>
      </c>
      <c r="B84" s="67" t="s">
        <v>606</v>
      </c>
      <c r="C84" s="67" t="s">
        <v>205</v>
      </c>
      <c r="D84" s="67" t="s">
        <v>205</v>
      </c>
      <c r="E84" s="204">
        <v>0</v>
      </c>
      <c r="F84" s="67" t="s">
        <v>488</v>
      </c>
      <c r="G84" s="67" t="s">
        <v>569</v>
      </c>
      <c r="H84" s="67" t="s">
        <v>565</v>
      </c>
      <c r="I84" s="67" t="s">
        <v>483</v>
      </c>
      <c r="J84" s="67" t="s">
        <v>209</v>
      </c>
      <c r="K84" s="67" t="s">
        <v>205</v>
      </c>
      <c r="L84" s="67" t="s">
        <v>205</v>
      </c>
      <c r="M84" s="67" t="s">
        <v>205</v>
      </c>
      <c r="N84" s="202"/>
    </row>
    <row r="85" spans="1:14" ht="15" customHeight="1" outlineLevel="1" x14ac:dyDescent="0.2">
      <c r="A85" s="74" t="s">
        <v>608</v>
      </c>
      <c r="B85" s="68" t="s">
        <v>609</v>
      </c>
      <c r="C85" s="68" t="s">
        <v>205</v>
      </c>
      <c r="D85" s="68" t="s">
        <v>205</v>
      </c>
      <c r="E85" s="203">
        <v>0</v>
      </c>
      <c r="F85" s="68" t="s">
        <v>488</v>
      </c>
      <c r="G85" s="68" t="s">
        <v>569</v>
      </c>
      <c r="H85" s="68" t="s">
        <v>565</v>
      </c>
      <c r="I85" s="68" t="s">
        <v>483</v>
      </c>
      <c r="J85" s="68" t="s">
        <v>209</v>
      </c>
      <c r="K85" s="68" t="s">
        <v>205</v>
      </c>
      <c r="L85" s="68" t="s">
        <v>205</v>
      </c>
      <c r="M85" s="68" t="s">
        <v>205</v>
      </c>
      <c r="N85" s="199"/>
    </row>
    <row r="86" spans="1:14" ht="15" customHeight="1" outlineLevel="1" x14ac:dyDescent="0.2">
      <c r="A86" s="73" t="s">
        <v>610</v>
      </c>
      <c r="B86" s="67" t="s">
        <v>611</v>
      </c>
      <c r="C86" s="67" t="s">
        <v>205</v>
      </c>
      <c r="D86" s="67" t="s">
        <v>205</v>
      </c>
      <c r="E86" s="204">
        <v>0</v>
      </c>
      <c r="F86" s="67" t="s">
        <v>488</v>
      </c>
      <c r="G86" s="67" t="s">
        <v>569</v>
      </c>
      <c r="H86" s="67" t="s">
        <v>565</v>
      </c>
      <c r="I86" s="67" t="s">
        <v>483</v>
      </c>
      <c r="J86" s="67" t="s">
        <v>209</v>
      </c>
      <c r="K86" s="67" t="s">
        <v>205</v>
      </c>
      <c r="L86" s="67" t="s">
        <v>205</v>
      </c>
      <c r="M86" s="67" t="s">
        <v>205</v>
      </c>
      <c r="N86" s="202"/>
    </row>
    <row r="87" spans="1:14" ht="15" customHeight="1" outlineLevel="1" x14ac:dyDescent="0.2">
      <c r="A87" s="74" t="s">
        <v>612</v>
      </c>
      <c r="B87" s="68" t="s">
        <v>609</v>
      </c>
      <c r="C87" s="68" t="s">
        <v>205</v>
      </c>
      <c r="D87" s="68" t="s">
        <v>205</v>
      </c>
      <c r="E87" s="203">
        <v>0</v>
      </c>
      <c r="F87" s="68" t="s">
        <v>488</v>
      </c>
      <c r="G87" s="68" t="s">
        <v>569</v>
      </c>
      <c r="H87" s="68" t="s">
        <v>565</v>
      </c>
      <c r="I87" s="68" t="s">
        <v>483</v>
      </c>
      <c r="J87" s="68" t="s">
        <v>209</v>
      </c>
      <c r="K87" s="68" t="s">
        <v>205</v>
      </c>
      <c r="L87" s="68" t="s">
        <v>205</v>
      </c>
      <c r="M87" s="68" t="s">
        <v>205</v>
      </c>
      <c r="N87" s="199"/>
    </row>
    <row r="88" spans="1:14" ht="15" customHeight="1" outlineLevel="1" x14ac:dyDescent="0.2">
      <c r="A88" s="73" t="s">
        <v>613</v>
      </c>
      <c r="B88" s="67" t="s">
        <v>611</v>
      </c>
      <c r="C88" s="67" t="s">
        <v>205</v>
      </c>
      <c r="D88" s="67" t="s">
        <v>205</v>
      </c>
      <c r="E88" s="204">
        <v>0</v>
      </c>
      <c r="F88" s="67" t="s">
        <v>488</v>
      </c>
      <c r="G88" s="67" t="s">
        <v>569</v>
      </c>
      <c r="H88" s="67" t="s">
        <v>565</v>
      </c>
      <c r="I88" s="67" t="s">
        <v>483</v>
      </c>
      <c r="J88" s="67" t="s">
        <v>209</v>
      </c>
      <c r="K88" s="67" t="s">
        <v>205</v>
      </c>
      <c r="L88" s="67" t="s">
        <v>205</v>
      </c>
      <c r="M88" s="67" t="s">
        <v>205</v>
      </c>
      <c r="N88" s="202"/>
    </row>
    <row r="89" spans="1:14" ht="15" customHeight="1" outlineLevel="1" x14ac:dyDescent="0.2">
      <c r="A89" s="74" t="s">
        <v>614</v>
      </c>
      <c r="B89" s="68" t="s">
        <v>615</v>
      </c>
      <c r="C89" s="68" t="s">
        <v>205</v>
      </c>
      <c r="D89" s="68" t="s">
        <v>205</v>
      </c>
      <c r="E89" s="203">
        <v>0</v>
      </c>
      <c r="F89" s="68" t="s">
        <v>488</v>
      </c>
      <c r="G89" s="68" t="s">
        <v>569</v>
      </c>
      <c r="H89" s="68" t="s">
        <v>565</v>
      </c>
      <c r="I89" s="68" t="s">
        <v>483</v>
      </c>
      <c r="J89" s="68" t="s">
        <v>209</v>
      </c>
      <c r="K89" s="68" t="s">
        <v>205</v>
      </c>
      <c r="L89" s="68" t="s">
        <v>205</v>
      </c>
      <c r="M89" s="68" t="s">
        <v>205</v>
      </c>
      <c r="N89" s="199"/>
    </row>
    <row r="90" spans="1:14" ht="15" customHeight="1" outlineLevel="1" x14ac:dyDescent="0.2">
      <c r="A90" s="73" t="s">
        <v>616</v>
      </c>
      <c r="B90" s="67" t="s">
        <v>617</v>
      </c>
      <c r="C90" s="67" t="s">
        <v>205</v>
      </c>
      <c r="D90" s="67" t="s">
        <v>205</v>
      </c>
      <c r="E90" s="204">
        <v>0</v>
      </c>
      <c r="F90" s="67" t="s">
        <v>488</v>
      </c>
      <c r="G90" s="67" t="s">
        <v>569</v>
      </c>
      <c r="H90" s="67" t="s">
        <v>565</v>
      </c>
      <c r="I90" s="67" t="s">
        <v>483</v>
      </c>
      <c r="J90" s="67" t="s">
        <v>209</v>
      </c>
      <c r="K90" s="67" t="s">
        <v>205</v>
      </c>
      <c r="L90" s="67" t="s">
        <v>205</v>
      </c>
      <c r="M90" s="67" t="s">
        <v>205</v>
      </c>
      <c r="N90" s="202"/>
    </row>
    <row r="91" spans="1:14" ht="15" customHeight="1" outlineLevel="1" x14ac:dyDescent="0.2">
      <c r="A91" s="74" t="s">
        <v>618</v>
      </c>
      <c r="B91" s="68" t="s">
        <v>619</v>
      </c>
      <c r="C91" s="68" t="s">
        <v>205</v>
      </c>
      <c r="D91" s="68" t="s">
        <v>205</v>
      </c>
      <c r="E91" s="203">
        <v>0</v>
      </c>
      <c r="F91" s="68" t="s">
        <v>488</v>
      </c>
      <c r="G91" s="68" t="s">
        <v>620</v>
      </c>
      <c r="H91" s="68" t="s">
        <v>621</v>
      </c>
      <c r="I91" s="68" t="s">
        <v>483</v>
      </c>
      <c r="J91" s="68" t="s">
        <v>209</v>
      </c>
      <c r="K91" s="68" t="s">
        <v>205</v>
      </c>
      <c r="L91" s="68" t="s">
        <v>205</v>
      </c>
      <c r="M91" s="68" t="s">
        <v>205</v>
      </c>
      <c r="N91" s="199"/>
    </row>
    <row r="92" spans="1:14" ht="15" customHeight="1" outlineLevel="1" x14ac:dyDescent="0.2">
      <c r="A92" s="73" t="s">
        <v>622</v>
      </c>
      <c r="B92" s="67" t="s">
        <v>623</v>
      </c>
      <c r="C92" s="67" t="s">
        <v>205</v>
      </c>
      <c r="D92" s="67" t="s">
        <v>205</v>
      </c>
      <c r="E92" s="204">
        <v>0</v>
      </c>
      <c r="F92" s="67" t="s">
        <v>488</v>
      </c>
      <c r="G92" s="67" t="s">
        <v>620</v>
      </c>
      <c r="H92" s="67" t="s">
        <v>621</v>
      </c>
      <c r="I92" s="67" t="s">
        <v>483</v>
      </c>
      <c r="J92" s="67" t="s">
        <v>209</v>
      </c>
      <c r="K92" s="67" t="s">
        <v>205</v>
      </c>
      <c r="L92" s="67" t="s">
        <v>205</v>
      </c>
      <c r="M92" s="67" t="s">
        <v>205</v>
      </c>
      <c r="N92" s="202"/>
    </row>
    <row r="93" spans="1:14" ht="15" customHeight="1" outlineLevel="1" x14ac:dyDescent="0.2">
      <c r="A93" s="74" t="s">
        <v>624</v>
      </c>
      <c r="B93" s="68" t="s">
        <v>625</v>
      </c>
      <c r="C93" s="68" t="s">
        <v>205</v>
      </c>
      <c r="D93" s="68" t="s">
        <v>205</v>
      </c>
      <c r="E93" s="203">
        <v>0</v>
      </c>
      <c r="F93" s="68" t="s">
        <v>488</v>
      </c>
      <c r="G93" s="68" t="s">
        <v>620</v>
      </c>
      <c r="H93" s="68" t="s">
        <v>621</v>
      </c>
      <c r="I93" s="68" t="s">
        <v>483</v>
      </c>
      <c r="J93" s="68" t="s">
        <v>209</v>
      </c>
      <c r="K93" s="68" t="s">
        <v>205</v>
      </c>
      <c r="L93" s="68" t="s">
        <v>205</v>
      </c>
      <c r="M93" s="68" t="s">
        <v>205</v>
      </c>
      <c r="N93" s="199"/>
    </row>
    <row r="94" spans="1:14" ht="15" customHeight="1" outlineLevel="1" x14ac:dyDescent="0.2">
      <c r="A94" s="73" t="s">
        <v>626</v>
      </c>
      <c r="B94" s="67" t="s">
        <v>619</v>
      </c>
      <c r="C94" s="67" t="s">
        <v>205</v>
      </c>
      <c r="D94" s="67" t="s">
        <v>205</v>
      </c>
      <c r="E94" s="204">
        <v>0</v>
      </c>
      <c r="F94" s="67" t="s">
        <v>488</v>
      </c>
      <c r="G94" s="67" t="s">
        <v>620</v>
      </c>
      <c r="H94" s="67" t="s">
        <v>621</v>
      </c>
      <c r="I94" s="67" t="s">
        <v>483</v>
      </c>
      <c r="J94" s="67" t="s">
        <v>209</v>
      </c>
      <c r="K94" s="67" t="s">
        <v>205</v>
      </c>
      <c r="L94" s="67" t="s">
        <v>205</v>
      </c>
      <c r="M94" s="67" t="s">
        <v>205</v>
      </c>
      <c r="N94" s="202"/>
    </row>
    <row r="95" spans="1:14" ht="15" customHeight="1" outlineLevel="1" x14ac:dyDescent="0.2">
      <c r="A95" s="74" t="s">
        <v>627</v>
      </c>
      <c r="B95" s="68" t="s">
        <v>623</v>
      </c>
      <c r="C95" s="68" t="s">
        <v>205</v>
      </c>
      <c r="D95" s="68" t="s">
        <v>205</v>
      </c>
      <c r="E95" s="203">
        <v>0</v>
      </c>
      <c r="F95" s="68" t="s">
        <v>488</v>
      </c>
      <c r="G95" s="68" t="s">
        <v>620</v>
      </c>
      <c r="H95" s="68" t="s">
        <v>621</v>
      </c>
      <c r="I95" s="68" t="s">
        <v>483</v>
      </c>
      <c r="J95" s="68" t="s">
        <v>209</v>
      </c>
      <c r="K95" s="68" t="s">
        <v>205</v>
      </c>
      <c r="L95" s="68" t="s">
        <v>205</v>
      </c>
      <c r="M95" s="68" t="s">
        <v>205</v>
      </c>
      <c r="N95" s="199"/>
    </row>
    <row r="96" spans="1:14" ht="15" customHeight="1" outlineLevel="1" x14ac:dyDescent="0.2">
      <c r="A96" s="73" t="s">
        <v>628</v>
      </c>
      <c r="B96" s="67" t="s">
        <v>625</v>
      </c>
      <c r="C96" s="67" t="s">
        <v>205</v>
      </c>
      <c r="D96" s="67" t="s">
        <v>205</v>
      </c>
      <c r="E96" s="204">
        <v>0</v>
      </c>
      <c r="F96" s="67" t="s">
        <v>488</v>
      </c>
      <c r="G96" s="67" t="s">
        <v>620</v>
      </c>
      <c r="H96" s="67" t="s">
        <v>621</v>
      </c>
      <c r="I96" s="67" t="s">
        <v>483</v>
      </c>
      <c r="J96" s="67" t="s">
        <v>209</v>
      </c>
      <c r="K96" s="67" t="s">
        <v>205</v>
      </c>
      <c r="L96" s="67" t="s">
        <v>205</v>
      </c>
      <c r="M96" s="67" t="s">
        <v>205</v>
      </c>
      <c r="N96" s="202"/>
    </row>
    <row r="97" spans="1:14" ht="15" customHeight="1" outlineLevel="1" x14ac:dyDescent="0.2">
      <c r="A97" s="74" t="s">
        <v>629</v>
      </c>
      <c r="B97" s="68" t="s">
        <v>630</v>
      </c>
      <c r="C97" s="68" t="s">
        <v>205</v>
      </c>
      <c r="D97" s="68" t="s">
        <v>205</v>
      </c>
      <c r="E97" s="203">
        <v>0</v>
      </c>
      <c r="F97" s="68" t="s">
        <v>488</v>
      </c>
      <c r="G97" s="68" t="s">
        <v>620</v>
      </c>
      <c r="H97" s="68" t="s">
        <v>621</v>
      </c>
      <c r="I97" s="68" t="s">
        <v>483</v>
      </c>
      <c r="J97" s="68" t="s">
        <v>209</v>
      </c>
      <c r="K97" s="68" t="s">
        <v>205</v>
      </c>
      <c r="L97" s="68" t="s">
        <v>205</v>
      </c>
      <c r="M97" s="68" t="s">
        <v>205</v>
      </c>
      <c r="N97" s="199"/>
    </row>
    <row r="98" spans="1:14" ht="15" customHeight="1" outlineLevel="1" x14ac:dyDescent="0.2">
      <c r="A98" s="73" t="s">
        <v>631</v>
      </c>
      <c r="B98" s="67" t="s">
        <v>630</v>
      </c>
      <c r="C98" s="67" t="s">
        <v>205</v>
      </c>
      <c r="D98" s="67" t="s">
        <v>205</v>
      </c>
      <c r="E98" s="204">
        <v>0</v>
      </c>
      <c r="F98" s="67" t="s">
        <v>488</v>
      </c>
      <c r="G98" s="67" t="s">
        <v>620</v>
      </c>
      <c r="H98" s="67" t="s">
        <v>621</v>
      </c>
      <c r="I98" s="67" t="s">
        <v>483</v>
      </c>
      <c r="J98" s="67" t="s">
        <v>209</v>
      </c>
      <c r="K98" s="67" t="s">
        <v>205</v>
      </c>
      <c r="L98" s="67" t="s">
        <v>205</v>
      </c>
      <c r="M98" s="67" t="s">
        <v>205</v>
      </c>
      <c r="N98" s="202"/>
    </row>
    <row r="99" spans="1:14" ht="15" customHeight="1" outlineLevel="1" x14ac:dyDescent="0.2">
      <c r="A99" s="74" t="s">
        <v>632</v>
      </c>
      <c r="B99" s="68" t="s">
        <v>633</v>
      </c>
      <c r="C99" s="68" t="s">
        <v>205</v>
      </c>
      <c r="D99" s="68" t="s">
        <v>205</v>
      </c>
      <c r="E99" s="203">
        <v>0</v>
      </c>
      <c r="F99" s="68" t="s">
        <v>488</v>
      </c>
      <c r="G99" s="68" t="s">
        <v>620</v>
      </c>
      <c r="H99" s="68" t="s">
        <v>621</v>
      </c>
      <c r="I99" s="68" t="s">
        <v>483</v>
      </c>
      <c r="J99" s="68" t="s">
        <v>209</v>
      </c>
      <c r="K99" s="68" t="s">
        <v>205</v>
      </c>
      <c r="L99" s="68" t="s">
        <v>205</v>
      </c>
      <c r="M99" s="68" t="s">
        <v>205</v>
      </c>
      <c r="N99" s="199"/>
    </row>
    <row r="100" spans="1:14" ht="15" customHeight="1" outlineLevel="1" x14ac:dyDescent="0.2">
      <c r="A100" s="73" t="s">
        <v>634</v>
      </c>
      <c r="B100" s="67" t="s">
        <v>635</v>
      </c>
      <c r="C100" s="67" t="s">
        <v>205</v>
      </c>
      <c r="D100" s="67" t="s">
        <v>205</v>
      </c>
      <c r="E100" s="204">
        <v>0</v>
      </c>
      <c r="F100" s="67" t="s">
        <v>488</v>
      </c>
      <c r="G100" s="67" t="s">
        <v>620</v>
      </c>
      <c r="H100" s="67" t="s">
        <v>621</v>
      </c>
      <c r="I100" s="67" t="s">
        <v>483</v>
      </c>
      <c r="J100" s="67" t="s">
        <v>209</v>
      </c>
      <c r="K100" s="67" t="s">
        <v>205</v>
      </c>
      <c r="L100" s="67" t="s">
        <v>205</v>
      </c>
      <c r="M100" s="67" t="s">
        <v>205</v>
      </c>
      <c r="N100" s="202"/>
    </row>
    <row r="101" spans="1:14" ht="15" customHeight="1" outlineLevel="1" x14ac:dyDescent="0.2">
      <c r="A101" s="74" t="s">
        <v>636</v>
      </c>
      <c r="B101" s="68" t="s">
        <v>637</v>
      </c>
      <c r="C101" s="68" t="s">
        <v>205</v>
      </c>
      <c r="D101" s="68" t="s">
        <v>205</v>
      </c>
      <c r="E101" s="203">
        <v>0</v>
      </c>
      <c r="F101" s="68" t="s">
        <v>488</v>
      </c>
      <c r="G101" s="68" t="s">
        <v>620</v>
      </c>
      <c r="H101" s="68" t="s">
        <v>621</v>
      </c>
      <c r="I101" s="68" t="s">
        <v>483</v>
      </c>
      <c r="J101" s="68" t="s">
        <v>209</v>
      </c>
      <c r="K101" s="68" t="s">
        <v>205</v>
      </c>
      <c r="L101" s="68" t="s">
        <v>205</v>
      </c>
      <c r="M101" s="68" t="s">
        <v>205</v>
      </c>
      <c r="N101" s="199"/>
    </row>
    <row r="102" spans="1:14" ht="15" customHeight="1" outlineLevel="1" x14ac:dyDescent="0.2">
      <c r="A102" s="73" t="s">
        <v>638</v>
      </c>
      <c r="B102" s="67" t="s">
        <v>633</v>
      </c>
      <c r="C102" s="67" t="s">
        <v>205</v>
      </c>
      <c r="D102" s="67" t="s">
        <v>205</v>
      </c>
      <c r="E102" s="204">
        <v>0</v>
      </c>
      <c r="F102" s="67" t="s">
        <v>488</v>
      </c>
      <c r="G102" s="67" t="s">
        <v>620</v>
      </c>
      <c r="H102" s="67" t="s">
        <v>621</v>
      </c>
      <c r="I102" s="67" t="s">
        <v>483</v>
      </c>
      <c r="J102" s="67" t="s">
        <v>209</v>
      </c>
      <c r="K102" s="67" t="s">
        <v>205</v>
      </c>
      <c r="L102" s="67" t="s">
        <v>205</v>
      </c>
      <c r="M102" s="67" t="s">
        <v>205</v>
      </c>
      <c r="N102" s="202"/>
    </row>
    <row r="103" spans="1:14" ht="15" customHeight="1" outlineLevel="1" x14ac:dyDescent="0.2">
      <c r="A103" s="74" t="s">
        <v>639</v>
      </c>
      <c r="B103" s="68" t="s">
        <v>635</v>
      </c>
      <c r="C103" s="68" t="s">
        <v>205</v>
      </c>
      <c r="D103" s="68" t="s">
        <v>205</v>
      </c>
      <c r="E103" s="203">
        <v>0</v>
      </c>
      <c r="F103" s="68" t="s">
        <v>488</v>
      </c>
      <c r="G103" s="68" t="s">
        <v>620</v>
      </c>
      <c r="H103" s="68" t="s">
        <v>621</v>
      </c>
      <c r="I103" s="68" t="s">
        <v>483</v>
      </c>
      <c r="J103" s="68" t="s">
        <v>209</v>
      </c>
      <c r="K103" s="68" t="s">
        <v>205</v>
      </c>
      <c r="L103" s="68" t="s">
        <v>205</v>
      </c>
      <c r="M103" s="68" t="s">
        <v>205</v>
      </c>
      <c r="N103" s="199"/>
    </row>
    <row r="104" spans="1:14" ht="15" customHeight="1" outlineLevel="1" x14ac:dyDescent="0.2">
      <c r="A104" s="73" t="s">
        <v>640</v>
      </c>
      <c r="B104" s="67" t="s">
        <v>641</v>
      </c>
      <c r="C104" s="67" t="s">
        <v>205</v>
      </c>
      <c r="D104" s="67" t="s">
        <v>205</v>
      </c>
      <c r="E104" s="204">
        <v>0</v>
      </c>
      <c r="F104" s="67" t="s">
        <v>488</v>
      </c>
      <c r="G104" s="67" t="s">
        <v>620</v>
      </c>
      <c r="H104" s="67" t="s">
        <v>621</v>
      </c>
      <c r="I104" s="67" t="s">
        <v>483</v>
      </c>
      <c r="J104" s="67" t="s">
        <v>209</v>
      </c>
      <c r="K104" s="67" t="s">
        <v>205</v>
      </c>
      <c r="L104" s="67" t="s">
        <v>205</v>
      </c>
      <c r="M104" s="67" t="s">
        <v>205</v>
      </c>
      <c r="N104" s="202"/>
    </row>
    <row r="105" spans="1:14" ht="15" customHeight="1" outlineLevel="1" x14ac:dyDescent="0.2">
      <c r="A105" s="74" t="s">
        <v>642</v>
      </c>
      <c r="B105" s="68" t="s">
        <v>641</v>
      </c>
      <c r="C105" s="68" t="s">
        <v>205</v>
      </c>
      <c r="D105" s="68" t="s">
        <v>205</v>
      </c>
      <c r="E105" s="203">
        <v>0</v>
      </c>
      <c r="F105" s="68" t="s">
        <v>488</v>
      </c>
      <c r="G105" s="68" t="s">
        <v>620</v>
      </c>
      <c r="H105" s="68" t="s">
        <v>621</v>
      </c>
      <c r="I105" s="68" t="s">
        <v>483</v>
      </c>
      <c r="J105" s="68" t="s">
        <v>209</v>
      </c>
      <c r="K105" s="68" t="s">
        <v>205</v>
      </c>
      <c r="L105" s="68" t="s">
        <v>205</v>
      </c>
      <c r="M105" s="68" t="s">
        <v>205</v>
      </c>
      <c r="N105" s="199"/>
    </row>
    <row r="106" spans="1:14" ht="15" customHeight="1" outlineLevel="1" x14ac:dyDescent="0.2">
      <c r="A106" s="73" t="s">
        <v>643</v>
      </c>
      <c r="B106" s="67" t="s">
        <v>644</v>
      </c>
      <c r="C106" s="67" t="s">
        <v>205</v>
      </c>
      <c r="D106" s="67" t="s">
        <v>205</v>
      </c>
      <c r="E106" s="204">
        <v>0</v>
      </c>
      <c r="F106" s="67" t="s">
        <v>488</v>
      </c>
      <c r="G106" s="67" t="s">
        <v>620</v>
      </c>
      <c r="H106" s="67" t="s">
        <v>621</v>
      </c>
      <c r="I106" s="67" t="s">
        <v>483</v>
      </c>
      <c r="J106" s="67" t="s">
        <v>209</v>
      </c>
      <c r="K106" s="67" t="s">
        <v>205</v>
      </c>
      <c r="L106" s="67" t="s">
        <v>205</v>
      </c>
      <c r="M106" s="67" t="s">
        <v>205</v>
      </c>
      <c r="N106" s="202"/>
    </row>
    <row r="107" spans="1:14" ht="15" customHeight="1" outlineLevel="1" x14ac:dyDescent="0.2">
      <c r="A107" s="74" t="s">
        <v>645</v>
      </c>
      <c r="B107" s="68" t="s">
        <v>644</v>
      </c>
      <c r="C107" s="68" t="s">
        <v>205</v>
      </c>
      <c r="D107" s="68" t="s">
        <v>205</v>
      </c>
      <c r="E107" s="203">
        <v>0</v>
      </c>
      <c r="F107" s="68" t="s">
        <v>488</v>
      </c>
      <c r="G107" s="68" t="s">
        <v>620</v>
      </c>
      <c r="H107" s="68" t="s">
        <v>621</v>
      </c>
      <c r="I107" s="68" t="s">
        <v>483</v>
      </c>
      <c r="J107" s="68" t="s">
        <v>209</v>
      </c>
      <c r="K107" s="68" t="s">
        <v>205</v>
      </c>
      <c r="L107" s="68" t="s">
        <v>205</v>
      </c>
      <c r="M107" s="68" t="s">
        <v>205</v>
      </c>
      <c r="N107" s="199"/>
    </row>
    <row r="108" spans="1:14" ht="15" customHeight="1" outlineLevel="1" x14ac:dyDescent="0.2">
      <c r="A108" s="73" t="s">
        <v>646</v>
      </c>
      <c r="B108" s="67" t="s">
        <v>647</v>
      </c>
      <c r="C108" s="67" t="s">
        <v>205</v>
      </c>
      <c r="D108" s="67" t="s">
        <v>205</v>
      </c>
      <c r="E108" s="204">
        <v>0</v>
      </c>
      <c r="F108" s="67" t="s">
        <v>488</v>
      </c>
      <c r="G108" s="67" t="s">
        <v>620</v>
      </c>
      <c r="H108" s="67" t="s">
        <v>621</v>
      </c>
      <c r="I108" s="67" t="s">
        <v>483</v>
      </c>
      <c r="J108" s="67" t="s">
        <v>209</v>
      </c>
      <c r="K108" s="67" t="s">
        <v>205</v>
      </c>
      <c r="L108" s="67" t="s">
        <v>205</v>
      </c>
      <c r="M108" s="67" t="s">
        <v>205</v>
      </c>
      <c r="N108" s="202"/>
    </row>
    <row r="109" spans="1:14" ht="15" customHeight="1" outlineLevel="1" x14ac:dyDescent="0.2">
      <c r="A109" s="74" t="s">
        <v>648</v>
      </c>
      <c r="B109" s="68" t="s">
        <v>649</v>
      </c>
      <c r="C109" s="68" t="s">
        <v>205</v>
      </c>
      <c r="D109" s="68" t="s">
        <v>205</v>
      </c>
      <c r="E109" s="203">
        <v>0</v>
      </c>
      <c r="F109" s="68" t="s">
        <v>488</v>
      </c>
      <c r="G109" s="68" t="s">
        <v>620</v>
      </c>
      <c r="H109" s="68" t="s">
        <v>621</v>
      </c>
      <c r="I109" s="68" t="s">
        <v>483</v>
      </c>
      <c r="J109" s="68" t="s">
        <v>209</v>
      </c>
      <c r="K109" s="68" t="s">
        <v>205</v>
      </c>
      <c r="L109" s="68" t="s">
        <v>205</v>
      </c>
      <c r="M109" s="68" t="s">
        <v>205</v>
      </c>
      <c r="N109" s="199"/>
    </row>
    <row r="110" spans="1:14" ht="15" customHeight="1" outlineLevel="1" x14ac:dyDescent="0.2">
      <c r="A110" s="73" t="s">
        <v>650</v>
      </c>
      <c r="B110" s="67" t="s">
        <v>647</v>
      </c>
      <c r="C110" s="67" t="s">
        <v>205</v>
      </c>
      <c r="D110" s="67" t="s">
        <v>205</v>
      </c>
      <c r="E110" s="204">
        <v>0</v>
      </c>
      <c r="F110" s="67" t="s">
        <v>488</v>
      </c>
      <c r="G110" s="67" t="s">
        <v>620</v>
      </c>
      <c r="H110" s="67" t="s">
        <v>621</v>
      </c>
      <c r="I110" s="67" t="s">
        <v>483</v>
      </c>
      <c r="J110" s="67" t="s">
        <v>209</v>
      </c>
      <c r="K110" s="67" t="s">
        <v>205</v>
      </c>
      <c r="L110" s="67" t="s">
        <v>205</v>
      </c>
      <c r="M110" s="67" t="s">
        <v>205</v>
      </c>
      <c r="N110" s="202"/>
    </row>
    <row r="111" spans="1:14" ht="15" customHeight="1" outlineLevel="1" x14ac:dyDescent="0.2">
      <c r="A111" s="74" t="s">
        <v>651</v>
      </c>
      <c r="B111" s="68" t="s">
        <v>649</v>
      </c>
      <c r="C111" s="68" t="s">
        <v>205</v>
      </c>
      <c r="D111" s="68" t="s">
        <v>205</v>
      </c>
      <c r="E111" s="203">
        <v>0</v>
      </c>
      <c r="F111" s="68" t="s">
        <v>488</v>
      </c>
      <c r="G111" s="68" t="s">
        <v>620</v>
      </c>
      <c r="H111" s="68" t="s">
        <v>621</v>
      </c>
      <c r="I111" s="68" t="s">
        <v>483</v>
      </c>
      <c r="J111" s="68" t="s">
        <v>209</v>
      </c>
      <c r="K111" s="68" t="s">
        <v>205</v>
      </c>
      <c r="L111" s="68" t="s">
        <v>205</v>
      </c>
      <c r="M111" s="68" t="s">
        <v>205</v>
      </c>
      <c r="N111" s="199"/>
    </row>
    <row r="112" spans="1:14" ht="15" customHeight="1" outlineLevel="1" x14ac:dyDescent="0.2">
      <c r="A112" s="73" t="s">
        <v>652</v>
      </c>
      <c r="B112" s="67" t="s">
        <v>653</v>
      </c>
      <c r="C112" s="67" t="s">
        <v>205</v>
      </c>
      <c r="D112" s="67" t="s">
        <v>205</v>
      </c>
      <c r="E112" s="204">
        <v>0</v>
      </c>
      <c r="F112" s="67" t="s">
        <v>488</v>
      </c>
      <c r="G112" s="67" t="s">
        <v>620</v>
      </c>
      <c r="H112" s="67" t="s">
        <v>621</v>
      </c>
      <c r="I112" s="67" t="s">
        <v>483</v>
      </c>
      <c r="J112" s="67" t="s">
        <v>209</v>
      </c>
      <c r="K112" s="67" t="s">
        <v>205</v>
      </c>
      <c r="L112" s="67" t="s">
        <v>205</v>
      </c>
      <c r="M112" s="67" t="s">
        <v>205</v>
      </c>
      <c r="N112" s="202"/>
    </row>
    <row r="113" spans="1:14" ht="15" customHeight="1" outlineLevel="1" x14ac:dyDescent="0.2">
      <c r="A113" s="74" t="s">
        <v>654</v>
      </c>
      <c r="B113" s="68" t="s">
        <v>653</v>
      </c>
      <c r="C113" s="68" t="s">
        <v>205</v>
      </c>
      <c r="D113" s="68" t="s">
        <v>205</v>
      </c>
      <c r="E113" s="203">
        <v>0</v>
      </c>
      <c r="F113" s="68" t="s">
        <v>488</v>
      </c>
      <c r="G113" s="68" t="s">
        <v>620</v>
      </c>
      <c r="H113" s="68" t="s">
        <v>621</v>
      </c>
      <c r="I113" s="68" t="s">
        <v>483</v>
      </c>
      <c r="J113" s="68" t="s">
        <v>209</v>
      </c>
      <c r="K113" s="68" t="s">
        <v>205</v>
      </c>
      <c r="L113" s="68" t="s">
        <v>205</v>
      </c>
      <c r="M113" s="68" t="s">
        <v>205</v>
      </c>
      <c r="N113" s="199"/>
    </row>
    <row r="114" spans="1:14" ht="15" customHeight="1" outlineLevel="1" x14ac:dyDescent="0.2">
      <c r="A114" s="73" t="s">
        <v>655</v>
      </c>
      <c r="B114" s="67" t="s">
        <v>656</v>
      </c>
      <c r="C114" s="67" t="s">
        <v>205</v>
      </c>
      <c r="D114" s="67" t="s">
        <v>205</v>
      </c>
      <c r="E114" s="204">
        <v>0</v>
      </c>
      <c r="F114" s="67" t="s">
        <v>488</v>
      </c>
      <c r="G114" s="67" t="s">
        <v>620</v>
      </c>
      <c r="H114" s="67" t="s">
        <v>621</v>
      </c>
      <c r="I114" s="67" t="s">
        <v>483</v>
      </c>
      <c r="J114" s="67" t="s">
        <v>209</v>
      </c>
      <c r="K114" s="67" t="s">
        <v>205</v>
      </c>
      <c r="L114" s="67" t="s">
        <v>205</v>
      </c>
      <c r="M114" s="67" t="s">
        <v>205</v>
      </c>
      <c r="N114" s="202"/>
    </row>
    <row r="115" spans="1:14" ht="15" customHeight="1" outlineLevel="1" x14ac:dyDescent="0.2">
      <c r="A115" s="74" t="s">
        <v>657</v>
      </c>
      <c r="B115" s="68" t="s">
        <v>656</v>
      </c>
      <c r="C115" s="68" t="s">
        <v>205</v>
      </c>
      <c r="D115" s="68" t="s">
        <v>205</v>
      </c>
      <c r="E115" s="203">
        <v>0</v>
      </c>
      <c r="F115" s="68" t="s">
        <v>488</v>
      </c>
      <c r="G115" s="68" t="s">
        <v>620</v>
      </c>
      <c r="H115" s="68" t="s">
        <v>621</v>
      </c>
      <c r="I115" s="68" t="s">
        <v>483</v>
      </c>
      <c r="J115" s="68" t="s">
        <v>209</v>
      </c>
      <c r="K115" s="68" t="s">
        <v>205</v>
      </c>
      <c r="L115" s="68" t="s">
        <v>205</v>
      </c>
      <c r="M115" s="68" t="s">
        <v>205</v>
      </c>
      <c r="N115" s="199"/>
    </row>
    <row r="116" spans="1:14" ht="15" customHeight="1" outlineLevel="1" x14ac:dyDescent="0.2">
      <c r="A116" s="73" t="s">
        <v>658</v>
      </c>
      <c r="B116" s="67" t="s">
        <v>659</v>
      </c>
      <c r="C116" s="67" t="s">
        <v>205</v>
      </c>
      <c r="D116" s="67" t="s">
        <v>205</v>
      </c>
      <c r="E116" s="204">
        <v>0</v>
      </c>
      <c r="F116" s="67" t="s">
        <v>488</v>
      </c>
      <c r="G116" s="67" t="s">
        <v>620</v>
      </c>
      <c r="H116" s="67" t="s">
        <v>621</v>
      </c>
      <c r="I116" s="67" t="s">
        <v>483</v>
      </c>
      <c r="J116" s="67" t="s">
        <v>209</v>
      </c>
      <c r="K116" s="67" t="s">
        <v>205</v>
      </c>
      <c r="L116" s="67" t="s">
        <v>205</v>
      </c>
      <c r="M116" s="67" t="s">
        <v>205</v>
      </c>
      <c r="N116" s="202"/>
    </row>
    <row r="117" spans="1:14" ht="15" customHeight="1" outlineLevel="1" x14ac:dyDescent="0.2">
      <c r="A117" s="74" t="s">
        <v>660</v>
      </c>
      <c r="B117" s="68" t="s">
        <v>661</v>
      </c>
      <c r="C117" s="68" t="s">
        <v>205</v>
      </c>
      <c r="D117" s="68" t="s">
        <v>205</v>
      </c>
      <c r="E117" s="203">
        <v>0</v>
      </c>
      <c r="F117" s="68" t="s">
        <v>488</v>
      </c>
      <c r="G117" s="68" t="s">
        <v>620</v>
      </c>
      <c r="H117" s="68" t="s">
        <v>621</v>
      </c>
      <c r="I117" s="68" t="s">
        <v>483</v>
      </c>
      <c r="J117" s="68" t="s">
        <v>209</v>
      </c>
      <c r="K117" s="68" t="s">
        <v>205</v>
      </c>
      <c r="L117" s="68" t="s">
        <v>205</v>
      </c>
      <c r="M117" s="68" t="s">
        <v>205</v>
      </c>
      <c r="N117" s="199"/>
    </row>
    <row r="118" spans="1:14" ht="15" customHeight="1" outlineLevel="1" x14ac:dyDescent="0.2">
      <c r="A118" s="73" t="s">
        <v>662</v>
      </c>
      <c r="B118" s="67" t="s">
        <v>659</v>
      </c>
      <c r="C118" s="67" t="s">
        <v>205</v>
      </c>
      <c r="D118" s="67" t="s">
        <v>205</v>
      </c>
      <c r="E118" s="204">
        <v>0</v>
      </c>
      <c r="F118" s="67" t="s">
        <v>488</v>
      </c>
      <c r="G118" s="67" t="s">
        <v>620</v>
      </c>
      <c r="H118" s="67" t="s">
        <v>621</v>
      </c>
      <c r="I118" s="67" t="s">
        <v>483</v>
      </c>
      <c r="J118" s="67" t="s">
        <v>209</v>
      </c>
      <c r="K118" s="67" t="s">
        <v>205</v>
      </c>
      <c r="L118" s="67" t="s">
        <v>205</v>
      </c>
      <c r="M118" s="67" t="s">
        <v>205</v>
      </c>
      <c r="N118" s="202"/>
    </row>
    <row r="119" spans="1:14" ht="15" customHeight="1" outlineLevel="1" x14ac:dyDescent="0.2">
      <c r="A119" s="74" t="s">
        <v>663</v>
      </c>
      <c r="B119" s="68" t="s">
        <v>661</v>
      </c>
      <c r="C119" s="68" t="s">
        <v>205</v>
      </c>
      <c r="D119" s="68" t="s">
        <v>205</v>
      </c>
      <c r="E119" s="203">
        <v>0</v>
      </c>
      <c r="F119" s="68" t="s">
        <v>488</v>
      </c>
      <c r="G119" s="68" t="s">
        <v>620</v>
      </c>
      <c r="H119" s="68" t="s">
        <v>621</v>
      </c>
      <c r="I119" s="68" t="s">
        <v>483</v>
      </c>
      <c r="J119" s="68" t="s">
        <v>209</v>
      </c>
      <c r="K119" s="68" t="s">
        <v>205</v>
      </c>
      <c r="L119" s="68" t="s">
        <v>205</v>
      </c>
      <c r="M119" s="68" t="s">
        <v>205</v>
      </c>
      <c r="N119" s="199"/>
    </row>
    <row r="120" spans="1:14" ht="15" customHeight="1" outlineLevel="1" x14ac:dyDescent="0.2">
      <c r="A120" s="73" t="s">
        <v>664</v>
      </c>
      <c r="B120" s="67" t="s">
        <v>665</v>
      </c>
      <c r="C120" s="67" t="s">
        <v>205</v>
      </c>
      <c r="D120" s="67" t="s">
        <v>205</v>
      </c>
      <c r="E120" s="204">
        <v>0</v>
      </c>
      <c r="F120" s="67" t="s">
        <v>488</v>
      </c>
      <c r="G120" s="67" t="s">
        <v>620</v>
      </c>
      <c r="H120" s="67" t="s">
        <v>621</v>
      </c>
      <c r="I120" s="67" t="s">
        <v>483</v>
      </c>
      <c r="J120" s="67" t="s">
        <v>209</v>
      </c>
      <c r="K120" s="67" t="s">
        <v>205</v>
      </c>
      <c r="L120" s="67" t="s">
        <v>205</v>
      </c>
      <c r="M120" s="67" t="s">
        <v>205</v>
      </c>
      <c r="N120" s="202"/>
    </row>
    <row r="121" spans="1:14" ht="15" customHeight="1" outlineLevel="1" x14ac:dyDescent="0.2">
      <c r="A121" s="74" t="s">
        <v>666</v>
      </c>
      <c r="B121" s="68" t="s">
        <v>665</v>
      </c>
      <c r="C121" s="68" t="s">
        <v>205</v>
      </c>
      <c r="D121" s="68" t="s">
        <v>205</v>
      </c>
      <c r="E121" s="203">
        <v>0</v>
      </c>
      <c r="F121" s="68" t="s">
        <v>488</v>
      </c>
      <c r="G121" s="68" t="s">
        <v>620</v>
      </c>
      <c r="H121" s="68" t="s">
        <v>621</v>
      </c>
      <c r="I121" s="68" t="s">
        <v>483</v>
      </c>
      <c r="J121" s="68" t="s">
        <v>209</v>
      </c>
      <c r="K121" s="68" t="s">
        <v>205</v>
      </c>
      <c r="L121" s="68" t="s">
        <v>205</v>
      </c>
      <c r="M121" s="68" t="s">
        <v>205</v>
      </c>
      <c r="N121" s="199"/>
    </row>
    <row r="122" spans="1:14" ht="15" customHeight="1" outlineLevel="1" x14ac:dyDescent="0.2">
      <c r="A122" s="73" t="s">
        <v>667</v>
      </c>
      <c r="B122" s="67" t="s">
        <v>668</v>
      </c>
      <c r="C122" s="67" t="s">
        <v>205</v>
      </c>
      <c r="D122" s="67" t="s">
        <v>205</v>
      </c>
      <c r="E122" s="204">
        <v>0</v>
      </c>
      <c r="F122" s="67" t="s">
        <v>488</v>
      </c>
      <c r="G122" s="67" t="s">
        <v>620</v>
      </c>
      <c r="H122" s="67" t="s">
        <v>621</v>
      </c>
      <c r="I122" s="67" t="s">
        <v>483</v>
      </c>
      <c r="J122" s="67" t="s">
        <v>209</v>
      </c>
      <c r="K122" s="67" t="s">
        <v>205</v>
      </c>
      <c r="L122" s="67" t="s">
        <v>205</v>
      </c>
      <c r="M122" s="67" t="s">
        <v>205</v>
      </c>
      <c r="N122" s="202"/>
    </row>
    <row r="123" spans="1:14" ht="15" customHeight="1" outlineLevel="1" x14ac:dyDescent="0.2">
      <c r="A123" s="74" t="s">
        <v>669</v>
      </c>
      <c r="B123" s="68" t="s">
        <v>668</v>
      </c>
      <c r="C123" s="68" t="s">
        <v>205</v>
      </c>
      <c r="D123" s="68" t="s">
        <v>205</v>
      </c>
      <c r="E123" s="203">
        <v>0</v>
      </c>
      <c r="F123" s="68" t="s">
        <v>488</v>
      </c>
      <c r="G123" s="68" t="s">
        <v>620</v>
      </c>
      <c r="H123" s="68" t="s">
        <v>621</v>
      </c>
      <c r="I123" s="68" t="s">
        <v>483</v>
      </c>
      <c r="J123" s="68" t="s">
        <v>209</v>
      </c>
      <c r="K123" s="68" t="s">
        <v>205</v>
      </c>
      <c r="L123" s="68" t="s">
        <v>205</v>
      </c>
      <c r="M123" s="68" t="s">
        <v>205</v>
      </c>
      <c r="N123" s="199"/>
    </row>
    <row r="124" spans="1:14" ht="15" customHeight="1" outlineLevel="1" x14ac:dyDescent="0.2">
      <c r="A124" s="73" t="s">
        <v>670</v>
      </c>
      <c r="B124" s="67" t="s">
        <v>671</v>
      </c>
      <c r="C124" s="67" t="s">
        <v>205</v>
      </c>
      <c r="D124" s="67" t="s">
        <v>205</v>
      </c>
      <c r="E124" s="204">
        <v>0</v>
      </c>
      <c r="F124" s="67" t="s">
        <v>488</v>
      </c>
      <c r="G124" s="67" t="s">
        <v>620</v>
      </c>
      <c r="H124" s="67" t="s">
        <v>621</v>
      </c>
      <c r="I124" s="67" t="s">
        <v>483</v>
      </c>
      <c r="J124" s="67" t="s">
        <v>209</v>
      </c>
      <c r="K124" s="67" t="s">
        <v>205</v>
      </c>
      <c r="L124" s="67" t="s">
        <v>205</v>
      </c>
      <c r="M124" s="67" t="s">
        <v>205</v>
      </c>
      <c r="N124" s="202"/>
    </row>
    <row r="125" spans="1:14" ht="15" customHeight="1" outlineLevel="1" x14ac:dyDescent="0.2">
      <c r="A125" s="74" t="s">
        <v>672</v>
      </c>
      <c r="B125" s="68" t="s">
        <v>673</v>
      </c>
      <c r="C125" s="68" t="s">
        <v>205</v>
      </c>
      <c r="D125" s="68" t="s">
        <v>205</v>
      </c>
      <c r="E125" s="203">
        <v>0</v>
      </c>
      <c r="F125" s="68" t="s">
        <v>488</v>
      </c>
      <c r="G125" s="68" t="s">
        <v>620</v>
      </c>
      <c r="H125" s="68" t="s">
        <v>621</v>
      </c>
      <c r="I125" s="68" t="s">
        <v>483</v>
      </c>
      <c r="J125" s="68" t="s">
        <v>209</v>
      </c>
      <c r="K125" s="68" t="s">
        <v>205</v>
      </c>
      <c r="L125" s="68" t="s">
        <v>205</v>
      </c>
      <c r="M125" s="68" t="s">
        <v>205</v>
      </c>
      <c r="N125" s="199"/>
    </row>
    <row r="126" spans="1:14" ht="15" customHeight="1" outlineLevel="1" x14ac:dyDescent="0.2">
      <c r="A126" s="73" t="s">
        <v>674</v>
      </c>
      <c r="B126" s="67" t="s">
        <v>675</v>
      </c>
      <c r="C126" s="67" t="s">
        <v>205</v>
      </c>
      <c r="D126" s="67" t="s">
        <v>205</v>
      </c>
      <c r="E126" s="204">
        <v>0</v>
      </c>
      <c r="F126" s="67" t="s">
        <v>488</v>
      </c>
      <c r="G126" s="67" t="s">
        <v>620</v>
      </c>
      <c r="H126" s="67" t="s">
        <v>676</v>
      </c>
      <c r="I126" s="67" t="s">
        <v>483</v>
      </c>
      <c r="J126" s="67" t="s">
        <v>209</v>
      </c>
      <c r="K126" s="67" t="s">
        <v>205</v>
      </c>
      <c r="L126" s="67" t="s">
        <v>205</v>
      </c>
      <c r="M126" s="67" t="s">
        <v>205</v>
      </c>
      <c r="N126" s="202"/>
    </row>
    <row r="127" spans="1:14" ht="15" customHeight="1" outlineLevel="1" x14ac:dyDescent="0.2">
      <c r="A127" s="74" t="s">
        <v>677</v>
      </c>
      <c r="B127" s="68" t="s">
        <v>671</v>
      </c>
      <c r="C127" s="68" t="s">
        <v>205</v>
      </c>
      <c r="D127" s="68" t="s">
        <v>205</v>
      </c>
      <c r="E127" s="203">
        <v>0</v>
      </c>
      <c r="F127" s="68" t="s">
        <v>488</v>
      </c>
      <c r="G127" s="68" t="s">
        <v>620</v>
      </c>
      <c r="H127" s="68" t="s">
        <v>621</v>
      </c>
      <c r="I127" s="68" t="s">
        <v>483</v>
      </c>
      <c r="J127" s="68" t="s">
        <v>209</v>
      </c>
      <c r="K127" s="68" t="s">
        <v>205</v>
      </c>
      <c r="L127" s="68" t="s">
        <v>205</v>
      </c>
      <c r="M127" s="68" t="s">
        <v>205</v>
      </c>
      <c r="N127" s="199"/>
    </row>
    <row r="128" spans="1:14" ht="15" customHeight="1" outlineLevel="1" x14ac:dyDescent="0.2">
      <c r="A128" s="73" t="s">
        <v>678</v>
      </c>
      <c r="B128" s="67" t="s">
        <v>673</v>
      </c>
      <c r="C128" s="67" t="s">
        <v>205</v>
      </c>
      <c r="D128" s="67" t="s">
        <v>205</v>
      </c>
      <c r="E128" s="204">
        <v>0</v>
      </c>
      <c r="F128" s="67" t="s">
        <v>488</v>
      </c>
      <c r="G128" s="67" t="s">
        <v>620</v>
      </c>
      <c r="H128" s="67" t="s">
        <v>621</v>
      </c>
      <c r="I128" s="67" t="s">
        <v>483</v>
      </c>
      <c r="J128" s="67" t="s">
        <v>209</v>
      </c>
      <c r="K128" s="67" t="s">
        <v>205</v>
      </c>
      <c r="L128" s="67" t="s">
        <v>205</v>
      </c>
      <c r="M128" s="67" t="s">
        <v>205</v>
      </c>
      <c r="N128" s="202"/>
    </row>
    <row r="129" spans="1:16" ht="15" customHeight="1" outlineLevel="1" x14ac:dyDescent="0.2">
      <c r="A129" s="74" t="s">
        <v>679</v>
      </c>
      <c r="B129" s="68" t="s">
        <v>675</v>
      </c>
      <c r="C129" s="68" t="s">
        <v>205</v>
      </c>
      <c r="D129" s="68" t="s">
        <v>205</v>
      </c>
      <c r="E129" s="203">
        <v>0</v>
      </c>
      <c r="F129" s="68" t="s">
        <v>488</v>
      </c>
      <c r="G129" s="68" t="s">
        <v>620</v>
      </c>
      <c r="H129" s="68" t="s">
        <v>676</v>
      </c>
      <c r="I129" s="68" t="s">
        <v>483</v>
      </c>
      <c r="J129" s="68" t="s">
        <v>209</v>
      </c>
      <c r="K129" s="68" t="s">
        <v>205</v>
      </c>
      <c r="L129" s="68" t="s">
        <v>205</v>
      </c>
      <c r="M129" s="68" t="s">
        <v>205</v>
      </c>
      <c r="N129" s="199"/>
    </row>
    <row r="130" spans="1:16" ht="15" customHeight="1" x14ac:dyDescent="0.2">
      <c r="A130" s="77" t="s">
        <v>680</v>
      </c>
      <c r="B130" s="200"/>
      <c r="C130" s="205">
        <v>0</v>
      </c>
      <c r="D130" s="205">
        <v>0</v>
      </c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</row>
    <row r="131" spans="1:16" ht="15" customHeight="1" outlineLevel="1" x14ac:dyDescent="0.2">
      <c r="A131" s="74" t="s">
        <v>681</v>
      </c>
      <c r="B131" s="68" t="s">
        <v>682</v>
      </c>
      <c r="C131" s="201">
        <v>0</v>
      </c>
      <c r="D131" s="201">
        <v>0</v>
      </c>
      <c r="E131" s="68" t="s">
        <v>205</v>
      </c>
      <c r="F131" s="68" t="s">
        <v>482</v>
      </c>
      <c r="G131" s="68" t="s">
        <v>683</v>
      </c>
      <c r="H131" s="68" t="s">
        <v>684</v>
      </c>
      <c r="I131" s="68" t="s">
        <v>483</v>
      </c>
      <c r="J131" s="68" t="s">
        <v>484</v>
      </c>
      <c r="K131" s="68" t="s">
        <v>205</v>
      </c>
      <c r="L131" s="68" t="s">
        <v>205</v>
      </c>
      <c r="M131" s="68" t="s">
        <v>205</v>
      </c>
      <c r="N131" s="68" t="s">
        <v>685</v>
      </c>
    </row>
    <row r="132" spans="1:16" ht="15" customHeight="1" x14ac:dyDescent="0.2">
      <c r="A132" s="77" t="s">
        <v>686</v>
      </c>
      <c r="B132" s="200"/>
      <c r="C132" s="206">
        <v>12789.7</v>
      </c>
      <c r="D132" s="206">
        <v>12789.7</v>
      </c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</row>
    <row r="133" spans="1:16" ht="15" customHeight="1" outlineLevel="1" x14ac:dyDescent="0.2">
      <c r="A133" s="74" t="s">
        <v>687</v>
      </c>
      <c r="B133" s="68" t="s">
        <v>688</v>
      </c>
      <c r="C133" s="207">
        <v>650</v>
      </c>
      <c r="D133" s="207">
        <v>650</v>
      </c>
      <c r="E133" s="208">
        <v>2.2499999999999999E-2</v>
      </c>
      <c r="F133" s="68" t="s">
        <v>689</v>
      </c>
      <c r="G133" s="68" t="s">
        <v>690</v>
      </c>
      <c r="H133" s="68" t="s">
        <v>676</v>
      </c>
      <c r="I133" s="68" t="s">
        <v>483</v>
      </c>
      <c r="J133" s="68" t="s">
        <v>484</v>
      </c>
      <c r="K133" s="209">
        <v>99.23</v>
      </c>
      <c r="L133" s="210">
        <v>4.0599999999999996</v>
      </c>
      <c r="M133" s="209">
        <v>31.69</v>
      </c>
      <c r="N133" s="68" t="s">
        <v>685</v>
      </c>
    </row>
    <row r="134" spans="1:16" ht="15" customHeight="1" outlineLevel="1" x14ac:dyDescent="0.2">
      <c r="A134" s="73" t="s">
        <v>691</v>
      </c>
      <c r="B134" s="67" t="s">
        <v>692</v>
      </c>
      <c r="C134" s="211">
        <v>880.8</v>
      </c>
      <c r="D134" s="211">
        <v>880.8</v>
      </c>
      <c r="E134" s="212">
        <v>1.4999999999999999E-2</v>
      </c>
      <c r="F134" s="67" t="s">
        <v>689</v>
      </c>
      <c r="G134" s="67" t="s">
        <v>693</v>
      </c>
      <c r="H134" s="67" t="s">
        <v>565</v>
      </c>
      <c r="I134" s="67" t="s">
        <v>694</v>
      </c>
      <c r="J134" s="67" t="s">
        <v>484</v>
      </c>
      <c r="K134" s="213">
        <v>99.52</v>
      </c>
      <c r="L134" s="214">
        <v>2.35</v>
      </c>
      <c r="M134" s="215">
        <v>-5.21</v>
      </c>
      <c r="N134" s="67" t="s">
        <v>685</v>
      </c>
    </row>
    <row r="135" spans="1:16" ht="15" customHeight="1" outlineLevel="1" x14ac:dyDescent="0.2">
      <c r="A135" s="74" t="s">
        <v>695</v>
      </c>
      <c r="B135" s="68" t="s">
        <v>696</v>
      </c>
      <c r="C135" s="216">
        <v>29</v>
      </c>
      <c r="D135" s="216">
        <v>29</v>
      </c>
      <c r="E135" s="68" t="s">
        <v>205</v>
      </c>
      <c r="F135" s="68" t="s">
        <v>482</v>
      </c>
      <c r="G135" s="68" t="s">
        <v>697</v>
      </c>
      <c r="H135" s="68" t="s">
        <v>698</v>
      </c>
      <c r="I135" s="68" t="s">
        <v>483</v>
      </c>
      <c r="J135" s="68" t="s">
        <v>484</v>
      </c>
      <c r="K135" s="217">
        <v>98.3</v>
      </c>
      <c r="L135" s="218">
        <v>4.7699999999999996</v>
      </c>
      <c r="M135" s="219">
        <v>121.22</v>
      </c>
      <c r="N135" s="68" t="s">
        <v>685</v>
      </c>
    </row>
    <row r="136" spans="1:16" ht="15" customHeight="1" outlineLevel="1" x14ac:dyDescent="0.2">
      <c r="A136" s="73" t="s">
        <v>699</v>
      </c>
      <c r="B136" s="67" t="s">
        <v>688</v>
      </c>
      <c r="C136" s="220">
        <v>850</v>
      </c>
      <c r="D136" s="220">
        <v>850</v>
      </c>
      <c r="E136" s="221">
        <v>2.8750000000000001E-2</v>
      </c>
      <c r="F136" s="67" t="s">
        <v>689</v>
      </c>
      <c r="G136" s="67" t="s">
        <v>700</v>
      </c>
      <c r="H136" s="67" t="s">
        <v>701</v>
      </c>
      <c r="I136" s="67" t="s">
        <v>483</v>
      </c>
      <c r="J136" s="67" t="s">
        <v>484</v>
      </c>
      <c r="K136" s="213">
        <v>98.33</v>
      </c>
      <c r="L136" s="222">
        <v>4.04</v>
      </c>
      <c r="M136" s="213">
        <v>42.51</v>
      </c>
      <c r="N136" s="202"/>
    </row>
    <row r="137" spans="1:16" ht="15" customHeight="1" outlineLevel="1" x14ac:dyDescent="0.2">
      <c r="A137" s="74" t="s">
        <v>702</v>
      </c>
      <c r="B137" s="68" t="s">
        <v>703</v>
      </c>
      <c r="C137" s="223">
        <v>219.8</v>
      </c>
      <c r="D137" s="223">
        <v>219.8</v>
      </c>
      <c r="E137" s="224">
        <v>6.3750000000000001E-2</v>
      </c>
      <c r="F137" s="68" t="s">
        <v>689</v>
      </c>
      <c r="G137" s="68" t="s">
        <v>704</v>
      </c>
      <c r="H137" s="68" t="s">
        <v>705</v>
      </c>
      <c r="I137" s="68" t="s">
        <v>483</v>
      </c>
      <c r="J137" s="68" t="s">
        <v>484</v>
      </c>
      <c r="K137" s="225">
        <v>103.17</v>
      </c>
      <c r="L137" s="218">
        <v>4.55</v>
      </c>
      <c r="M137" s="209">
        <v>96.94</v>
      </c>
      <c r="N137" s="68" t="s">
        <v>685</v>
      </c>
    </row>
    <row r="138" spans="1:16" ht="15" customHeight="1" outlineLevel="1" x14ac:dyDescent="0.2">
      <c r="A138" s="73" t="s">
        <v>706</v>
      </c>
      <c r="B138" s="67" t="s">
        <v>688</v>
      </c>
      <c r="C138" s="226">
        <v>600</v>
      </c>
      <c r="D138" s="226">
        <v>600</v>
      </c>
      <c r="E138" s="221">
        <v>3.6249999999999998E-2</v>
      </c>
      <c r="F138" s="67" t="s">
        <v>689</v>
      </c>
      <c r="G138" s="67" t="s">
        <v>707</v>
      </c>
      <c r="H138" s="67" t="s">
        <v>708</v>
      </c>
      <c r="I138" s="67" t="s">
        <v>483</v>
      </c>
      <c r="J138" s="67" t="s">
        <v>484</v>
      </c>
      <c r="K138" s="227">
        <v>99.03</v>
      </c>
      <c r="L138" s="222">
        <v>4.05</v>
      </c>
      <c r="M138" s="213">
        <v>48.91</v>
      </c>
      <c r="N138" s="202"/>
    </row>
    <row r="139" spans="1:16" ht="15" customHeight="1" outlineLevel="1" x14ac:dyDescent="0.2">
      <c r="A139" s="74" t="s">
        <v>709</v>
      </c>
      <c r="B139" s="68" t="s">
        <v>688</v>
      </c>
      <c r="C139" s="228">
        <v>800</v>
      </c>
      <c r="D139" s="228">
        <v>800</v>
      </c>
      <c r="E139" s="224">
        <v>3.3750000000000002E-2</v>
      </c>
      <c r="F139" s="68" t="s">
        <v>689</v>
      </c>
      <c r="G139" s="68" t="s">
        <v>710</v>
      </c>
      <c r="H139" s="68" t="s">
        <v>711</v>
      </c>
      <c r="I139" s="68" t="s">
        <v>483</v>
      </c>
      <c r="J139" s="68" t="s">
        <v>484</v>
      </c>
      <c r="K139" s="209">
        <v>97.72</v>
      </c>
      <c r="L139" s="218">
        <v>4.22</v>
      </c>
      <c r="M139" s="209">
        <v>68.69</v>
      </c>
      <c r="N139" s="199"/>
    </row>
    <row r="140" spans="1:16" ht="15" customHeight="1" outlineLevel="1" x14ac:dyDescent="0.2">
      <c r="A140" s="73" t="s">
        <v>712</v>
      </c>
      <c r="B140" s="67" t="s">
        <v>713</v>
      </c>
      <c r="C140" s="229">
        <v>1000</v>
      </c>
      <c r="D140" s="229">
        <v>1000</v>
      </c>
      <c r="E140" s="221">
        <v>2.375E-2</v>
      </c>
      <c r="F140" s="67" t="s">
        <v>689</v>
      </c>
      <c r="G140" s="67" t="s">
        <v>714</v>
      </c>
      <c r="H140" s="67" t="s">
        <v>715</v>
      </c>
      <c r="I140" s="67" t="s">
        <v>483</v>
      </c>
      <c r="J140" s="67" t="s">
        <v>484</v>
      </c>
      <c r="K140" s="213">
        <v>94.34</v>
      </c>
      <c r="L140" s="230">
        <v>4.2</v>
      </c>
      <c r="M140" s="213">
        <v>66.77</v>
      </c>
      <c r="N140" s="67" t="s">
        <v>685</v>
      </c>
    </row>
    <row r="141" spans="1:16" ht="15" customHeight="1" outlineLevel="1" x14ac:dyDescent="0.2">
      <c r="A141" s="74" t="s">
        <v>716</v>
      </c>
      <c r="B141" s="68" t="s">
        <v>703</v>
      </c>
      <c r="C141" s="207">
        <v>550</v>
      </c>
      <c r="D141" s="207">
        <v>550</v>
      </c>
      <c r="E141" s="231">
        <v>4.8000000000000001E-2</v>
      </c>
      <c r="F141" s="68" t="s">
        <v>689</v>
      </c>
      <c r="G141" s="68" t="s">
        <v>717</v>
      </c>
      <c r="H141" s="68" t="s">
        <v>718</v>
      </c>
      <c r="I141" s="68" t="s">
        <v>483</v>
      </c>
      <c r="J141" s="68" t="s">
        <v>484</v>
      </c>
      <c r="K141" s="225">
        <v>101.66</v>
      </c>
      <c r="L141" s="218">
        <v>4.33</v>
      </c>
      <c r="M141" s="232">
        <v>78.010000000000005</v>
      </c>
      <c r="N141" s="68" t="s">
        <v>685</v>
      </c>
    </row>
    <row r="142" spans="1:16" ht="15" customHeight="1" outlineLevel="1" x14ac:dyDescent="0.2">
      <c r="A142" s="73" t="s">
        <v>719</v>
      </c>
      <c r="B142" s="67" t="s">
        <v>720</v>
      </c>
      <c r="C142" s="233">
        <v>587.20000000000005</v>
      </c>
      <c r="D142" s="233">
        <v>587.20000000000005</v>
      </c>
      <c r="E142" s="234">
        <v>1.7500000000000002E-2</v>
      </c>
      <c r="F142" s="67" t="s">
        <v>689</v>
      </c>
      <c r="G142" s="67" t="s">
        <v>721</v>
      </c>
      <c r="H142" s="67" t="s">
        <v>722</v>
      </c>
      <c r="I142" s="67" t="s">
        <v>694</v>
      </c>
      <c r="J142" s="67" t="s">
        <v>484</v>
      </c>
      <c r="K142" s="213">
        <v>94.31</v>
      </c>
      <c r="L142" s="214">
        <v>3.24</v>
      </c>
      <c r="M142" s="213">
        <v>55.35</v>
      </c>
      <c r="N142" s="202"/>
    </row>
    <row r="143" spans="1:16" ht="15" customHeight="1" outlineLevel="1" x14ac:dyDescent="0.2">
      <c r="A143" s="74" t="s">
        <v>723</v>
      </c>
      <c r="B143" s="68" t="s">
        <v>703</v>
      </c>
      <c r="C143" s="228">
        <v>600</v>
      </c>
      <c r="D143" s="228">
        <v>600</v>
      </c>
      <c r="E143" s="235">
        <v>3.0499999999999999E-2</v>
      </c>
      <c r="F143" s="68" t="s">
        <v>689</v>
      </c>
      <c r="G143" s="68" t="s">
        <v>724</v>
      </c>
      <c r="H143" s="68" t="s">
        <v>725</v>
      </c>
      <c r="I143" s="68" t="s">
        <v>483</v>
      </c>
      <c r="J143" s="68" t="s">
        <v>484</v>
      </c>
      <c r="K143" s="209">
        <v>95.28</v>
      </c>
      <c r="L143" s="218">
        <v>4.3499999999999996</v>
      </c>
      <c r="M143" s="236">
        <v>80.489999999999995</v>
      </c>
      <c r="N143" s="68" t="s">
        <v>685</v>
      </c>
    </row>
    <row r="144" spans="1:16" ht="15" customHeight="1" outlineLevel="1" x14ac:dyDescent="0.2">
      <c r="A144" s="73" t="s">
        <v>726</v>
      </c>
      <c r="B144" s="67" t="s">
        <v>720</v>
      </c>
      <c r="C144" s="233">
        <v>587.20000000000005</v>
      </c>
      <c r="D144" s="233">
        <v>587.20000000000005</v>
      </c>
      <c r="E144" s="212">
        <v>1.4999999999999999E-2</v>
      </c>
      <c r="F144" s="67" t="s">
        <v>689</v>
      </c>
      <c r="G144" s="67" t="s">
        <v>727</v>
      </c>
      <c r="H144" s="67" t="s">
        <v>728</v>
      </c>
      <c r="I144" s="67" t="s">
        <v>694</v>
      </c>
      <c r="J144" s="67" t="s">
        <v>484</v>
      </c>
      <c r="K144" s="213">
        <v>91.26</v>
      </c>
      <c r="L144" s="214">
        <v>3.36</v>
      </c>
      <c r="M144" s="213">
        <v>61.85</v>
      </c>
      <c r="N144" s="67" t="s">
        <v>685</v>
      </c>
    </row>
    <row r="145" spans="1:16" ht="15" customHeight="1" outlineLevel="1" x14ac:dyDescent="0.2">
      <c r="A145" s="74" t="s">
        <v>729</v>
      </c>
      <c r="B145" s="68" t="s">
        <v>703</v>
      </c>
      <c r="C145" s="207">
        <v>550</v>
      </c>
      <c r="D145" s="207">
        <v>550</v>
      </c>
      <c r="E145" s="208">
        <v>5.1499999999999997E-2</v>
      </c>
      <c r="F145" s="68" t="s">
        <v>689</v>
      </c>
      <c r="G145" s="68" t="s">
        <v>717</v>
      </c>
      <c r="H145" s="68" t="s">
        <v>730</v>
      </c>
      <c r="I145" s="68" t="s">
        <v>483</v>
      </c>
      <c r="J145" s="68" t="s">
        <v>484</v>
      </c>
      <c r="K145" s="225">
        <v>101.95</v>
      </c>
      <c r="L145" s="218">
        <v>4.87</v>
      </c>
      <c r="M145" s="225">
        <v>107.91</v>
      </c>
      <c r="N145" s="68" t="s">
        <v>685</v>
      </c>
    </row>
    <row r="146" spans="1:16" ht="15" customHeight="1" outlineLevel="1" x14ac:dyDescent="0.2">
      <c r="A146" s="73" t="s">
        <v>731</v>
      </c>
      <c r="B146" s="67" t="s">
        <v>732</v>
      </c>
      <c r="C146" s="233">
        <v>555.29999999999995</v>
      </c>
      <c r="D146" s="233">
        <v>555.29999999999995</v>
      </c>
      <c r="E146" s="212">
        <v>5.7000000000000002E-2</v>
      </c>
      <c r="F146" s="67" t="s">
        <v>689</v>
      </c>
      <c r="G146" s="67" t="s">
        <v>733</v>
      </c>
      <c r="H146" s="67" t="s">
        <v>734</v>
      </c>
      <c r="I146" s="67" t="s">
        <v>483</v>
      </c>
      <c r="J146" s="67" t="s">
        <v>484</v>
      </c>
      <c r="K146" s="237">
        <v>105.46</v>
      </c>
      <c r="L146" s="222">
        <v>5.04</v>
      </c>
      <c r="M146" s="238">
        <v>118.05</v>
      </c>
      <c r="N146" s="67" t="s">
        <v>685</v>
      </c>
    </row>
    <row r="147" spans="1:16" ht="15" customHeight="1" outlineLevel="1" x14ac:dyDescent="0.2">
      <c r="A147" s="74" t="s">
        <v>735</v>
      </c>
      <c r="B147" s="68" t="s">
        <v>696</v>
      </c>
      <c r="C147" s="239">
        <v>43.1</v>
      </c>
      <c r="D147" s="239">
        <v>43.1</v>
      </c>
      <c r="E147" s="68" t="s">
        <v>205</v>
      </c>
      <c r="F147" s="68" t="s">
        <v>482</v>
      </c>
      <c r="G147" s="68" t="s">
        <v>736</v>
      </c>
      <c r="H147" s="68" t="s">
        <v>737</v>
      </c>
      <c r="I147" s="68" t="s">
        <v>483</v>
      </c>
      <c r="J147" s="68" t="s">
        <v>484</v>
      </c>
      <c r="K147" s="209">
        <v>99.64</v>
      </c>
      <c r="L147" s="240">
        <v>4.0999999999999996</v>
      </c>
      <c r="M147" s="209">
        <v>23.44</v>
      </c>
      <c r="N147" s="68" t="s">
        <v>685</v>
      </c>
    </row>
    <row r="148" spans="1:16" ht="15" customHeight="1" outlineLevel="1" x14ac:dyDescent="0.2">
      <c r="A148" s="73" t="s">
        <v>738</v>
      </c>
      <c r="B148" s="67" t="s">
        <v>739</v>
      </c>
      <c r="C148" s="226">
        <v>100</v>
      </c>
      <c r="D148" s="226">
        <v>100</v>
      </c>
      <c r="E148" s="67" t="s">
        <v>205</v>
      </c>
      <c r="F148" s="67" t="s">
        <v>482</v>
      </c>
      <c r="G148" s="67" t="s">
        <v>740</v>
      </c>
      <c r="H148" s="67" t="s">
        <v>741</v>
      </c>
      <c r="I148" s="67" t="s">
        <v>483</v>
      </c>
      <c r="J148" s="67" t="s">
        <v>484</v>
      </c>
      <c r="K148" s="241">
        <v>99.1</v>
      </c>
      <c r="L148" s="214">
        <v>4.91</v>
      </c>
      <c r="M148" s="238">
        <v>128.05000000000001</v>
      </c>
      <c r="N148" s="67" t="s">
        <v>685</v>
      </c>
    </row>
    <row r="149" spans="1:16" ht="15" customHeight="1" outlineLevel="1" x14ac:dyDescent="0.2">
      <c r="A149" s="74" t="s">
        <v>742</v>
      </c>
      <c r="B149" s="68" t="s">
        <v>743</v>
      </c>
      <c r="C149" s="239">
        <v>62.2</v>
      </c>
      <c r="D149" s="239">
        <v>62.2</v>
      </c>
      <c r="E149" s="68" t="s">
        <v>205</v>
      </c>
      <c r="F149" s="68" t="s">
        <v>482</v>
      </c>
      <c r="G149" s="68" t="s">
        <v>744</v>
      </c>
      <c r="H149" s="68" t="s">
        <v>745</v>
      </c>
      <c r="I149" s="68" t="s">
        <v>483</v>
      </c>
      <c r="J149" s="68" t="s">
        <v>484</v>
      </c>
      <c r="K149" s="209">
        <v>99.36</v>
      </c>
      <c r="L149" s="210">
        <v>4.04</v>
      </c>
      <c r="M149" s="236">
        <v>90.56</v>
      </c>
      <c r="N149" s="68" t="s">
        <v>685</v>
      </c>
    </row>
    <row r="150" spans="1:16" ht="15" customHeight="1" outlineLevel="1" x14ac:dyDescent="0.2">
      <c r="A150" s="73" t="s">
        <v>746</v>
      </c>
      <c r="B150" s="67" t="s">
        <v>688</v>
      </c>
      <c r="C150" s="242">
        <v>325</v>
      </c>
      <c r="D150" s="242">
        <v>325</v>
      </c>
      <c r="E150" s="221">
        <v>3.875E-2</v>
      </c>
      <c r="F150" s="67" t="s">
        <v>689</v>
      </c>
      <c r="G150" s="67" t="s">
        <v>747</v>
      </c>
      <c r="H150" s="67" t="s">
        <v>748</v>
      </c>
      <c r="I150" s="67" t="s">
        <v>483</v>
      </c>
      <c r="J150" s="67" t="s">
        <v>484</v>
      </c>
      <c r="K150" s="213">
        <v>79.209999999999994</v>
      </c>
      <c r="L150" s="214">
        <v>5.73</v>
      </c>
      <c r="M150" s="243">
        <v>161.13999999999999</v>
      </c>
      <c r="N150" s="67" t="s">
        <v>685</v>
      </c>
    </row>
    <row r="151" spans="1:16" ht="15" customHeight="1" outlineLevel="1" x14ac:dyDescent="0.2">
      <c r="A151" s="74" t="s">
        <v>749</v>
      </c>
      <c r="B151" s="68" t="s">
        <v>688</v>
      </c>
      <c r="C151" s="228">
        <v>500</v>
      </c>
      <c r="D151" s="228">
        <v>500</v>
      </c>
      <c r="E151" s="224">
        <v>3.125E-2</v>
      </c>
      <c r="F151" s="68" t="s">
        <v>689</v>
      </c>
      <c r="G151" s="68" t="s">
        <v>690</v>
      </c>
      <c r="H151" s="68" t="s">
        <v>750</v>
      </c>
      <c r="I151" s="68" t="s">
        <v>483</v>
      </c>
      <c r="J151" s="68" t="s">
        <v>484</v>
      </c>
      <c r="K151" s="209">
        <v>68.64</v>
      </c>
      <c r="L151" s="218">
        <v>5.76</v>
      </c>
      <c r="M151" s="219">
        <v>156.25</v>
      </c>
      <c r="N151" s="68" t="s">
        <v>685</v>
      </c>
    </row>
    <row r="152" spans="1:16" ht="15" customHeight="1" outlineLevel="1" x14ac:dyDescent="0.2">
      <c r="A152" s="73" t="s">
        <v>751</v>
      </c>
      <c r="B152" s="67" t="s">
        <v>688</v>
      </c>
      <c r="C152" s="226">
        <v>500</v>
      </c>
      <c r="D152" s="226">
        <v>500</v>
      </c>
      <c r="E152" s="221">
        <v>3.6249999999999998E-2</v>
      </c>
      <c r="F152" s="67" t="s">
        <v>689</v>
      </c>
      <c r="G152" s="67" t="s">
        <v>700</v>
      </c>
      <c r="H152" s="67" t="s">
        <v>752</v>
      </c>
      <c r="I152" s="67" t="s">
        <v>483</v>
      </c>
      <c r="J152" s="67" t="s">
        <v>484</v>
      </c>
      <c r="K152" s="213">
        <v>73.84</v>
      </c>
      <c r="L152" s="214">
        <v>5.76</v>
      </c>
      <c r="M152" s="243">
        <v>157.37</v>
      </c>
      <c r="N152" s="67" t="s">
        <v>685</v>
      </c>
    </row>
    <row r="153" spans="1:16" ht="15" customHeight="1" outlineLevel="1" x14ac:dyDescent="0.2">
      <c r="A153" s="74" t="s">
        <v>753</v>
      </c>
      <c r="B153" s="68" t="s">
        <v>688</v>
      </c>
      <c r="C153" s="76">
        <v>1150</v>
      </c>
      <c r="D153" s="76">
        <v>1150</v>
      </c>
      <c r="E153" s="244">
        <v>0.04</v>
      </c>
      <c r="F153" s="68" t="s">
        <v>689</v>
      </c>
      <c r="G153" s="68" t="s">
        <v>707</v>
      </c>
      <c r="H153" s="68" t="s">
        <v>754</v>
      </c>
      <c r="I153" s="68" t="s">
        <v>483</v>
      </c>
      <c r="J153" s="68" t="s">
        <v>484</v>
      </c>
      <c r="K153" s="232">
        <v>79.08</v>
      </c>
      <c r="L153" s="218">
        <v>5.66</v>
      </c>
      <c r="M153" s="219">
        <v>147.22999999999999</v>
      </c>
      <c r="N153" s="68" t="s">
        <v>685</v>
      </c>
    </row>
    <row r="154" spans="1:16" ht="15" customHeight="1" outlineLevel="1" x14ac:dyDescent="0.2">
      <c r="A154" s="73" t="s">
        <v>755</v>
      </c>
      <c r="B154" s="67" t="s">
        <v>713</v>
      </c>
      <c r="C154" s="229">
        <v>1000</v>
      </c>
      <c r="D154" s="229">
        <v>1000</v>
      </c>
      <c r="E154" s="234">
        <v>3.2500000000000001E-2</v>
      </c>
      <c r="F154" s="67" t="s">
        <v>689</v>
      </c>
      <c r="G154" s="67" t="s">
        <v>714</v>
      </c>
      <c r="H154" s="67" t="s">
        <v>756</v>
      </c>
      <c r="I154" s="67" t="s">
        <v>483</v>
      </c>
      <c r="J154" s="67" t="s">
        <v>484</v>
      </c>
      <c r="K154" s="213">
        <v>68.319999999999993</v>
      </c>
      <c r="L154" s="214">
        <v>5.73</v>
      </c>
      <c r="M154" s="243">
        <v>152.61000000000001</v>
      </c>
      <c r="N154" s="202"/>
    </row>
    <row r="155" spans="1:16" ht="15" customHeight="1" outlineLevel="1" x14ac:dyDescent="0.2">
      <c r="A155" s="74" t="s">
        <v>757</v>
      </c>
      <c r="B155" s="68" t="s">
        <v>703</v>
      </c>
      <c r="C155" s="207">
        <v>650</v>
      </c>
      <c r="D155" s="207">
        <v>650</v>
      </c>
      <c r="E155" s="231">
        <v>3.6999999999999998E-2</v>
      </c>
      <c r="F155" s="68" t="s">
        <v>689</v>
      </c>
      <c r="G155" s="68" t="s">
        <v>724</v>
      </c>
      <c r="H155" s="68" t="s">
        <v>758</v>
      </c>
      <c r="I155" s="68" t="s">
        <v>483</v>
      </c>
      <c r="J155" s="68" t="s">
        <v>484</v>
      </c>
      <c r="K155" s="209">
        <v>73.959999999999994</v>
      </c>
      <c r="L155" s="218">
        <v>5.71</v>
      </c>
      <c r="M155" s="245">
        <v>151.4</v>
      </c>
      <c r="N155" s="199"/>
    </row>
    <row r="156" spans="1:16" ht="15" customHeight="1" x14ac:dyDescent="0.2">
      <c r="A156" s="77" t="s">
        <v>209</v>
      </c>
      <c r="B156" s="200"/>
      <c r="C156" s="246">
        <v>-187.7</v>
      </c>
      <c r="D156" s="246">
        <v>-187.7</v>
      </c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</row>
    <row r="157" spans="1:16" ht="15" customHeight="1" outlineLevel="1" x14ac:dyDescent="0.2">
      <c r="A157" s="74" t="s">
        <v>205</v>
      </c>
      <c r="B157" s="68" t="s">
        <v>759</v>
      </c>
      <c r="C157" s="247">
        <v>-187.7</v>
      </c>
      <c r="D157" s="247">
        <v>-187.7</v>
      </c>
      <c r="E157" s="68" t="s">
        <v>205</v>
      </c>
      <c r="F157" s="68" t="s">
        <v>205</v>
      </c>
      <c r="G157" s="68" t="s">
        <v>205</v>
      </c>
      <c r="H157" s="68" t="s">
        <v>205</v>
      </c>
      <c r="I157" s="68" t="s">
        <v>483</v>
      </c>
      <c r="J157" s="68" t="s">
        <v>209</v>
      </c>
      <c r="K157" s="68" t="s">
        <v>205</v>
      </c>
      <c r="L157" s="68" t="s">
        <v>205</v>
      </c>
      <c r="M157" s="68" t="s">
        <v>205</v>
      </c>
      <c r="N157" s="199"/>
    </row>
    <row r="158" spans="1:16" ht="15" customHeight="1" x14ac:dyDescent="0.2">
      <c r="A158" s="248"/>
      <c r="B158" s="68" t="s">
        <v>760</v>
      </c>
      <c r="C158" s="249">
        <v>12602</v>
      </c>
      <c r="D158" s="248"/>
      <c r="E158" s="248"/>
    </row>
    <row r="159" spans="1:16" ht="15" customHeight="1" x14ac:dyDescent="0.2">
      <c r="A159" s="250"/>
      <c r="B159" s="67" t="s">
        <v>761</v>
      </c>
      <c r="C159" s="79">
        <v>-1670</v>
      </c>
      <c r="D159" s="250"/>
      <c r="E159" s="250"/>
    </row>
    <row r="160" spans="1:16" ht="15" customHeight="1" x14ac:dyDescent="0.2">
      <c r="A160" s="248"/>
      <c r="B160" s="68" t="s">
        <v>762</v>
      </c>
      <c r="C160" s="251">
        <v>10932</v>
      </c>
      <c r="D160" s="248"/>
      <c r="E160" s="248"/>
    </row>
    <row r="161" spans="1:5" ht="15" customHeight="1" x14ac:dyDescent="0.2">
      <c r="A161" s="250"/>
      <c r="B161" s="67" t="s">
        <v>763</v>
      </c>
      <c r="C161" s="75">
        <v>1670</v>
      </c>
      <c r="D161" s="250"/>
      <c r="E161" s="250"/>
    </row>
    <row r="162" spans="1:5" ht="15" customHeight="1" x14ac:dyDescent="0.2">
      <c r="A162" s="248"/>
      <c r="B162" s="68" t="s">
        <v>764</v>
      </c>
      <c r="C162" s="249">
        <v>12602</v>
      </c>
      <c r="D162" s="249">
        <v>12602</v>
      </c>
      <c r="E162" s="248"/>
    </row>
    <row r="163" spans="1:5" ht="15" customHeight="1" x14ac:dyDescent="0.2">
      <c r="A163" t="s">
        <v>765</v>
      </c>
      <c r="B163" t="s">
        <v>766</v>
      </c>
    </row>
    <row r="164" spans="1:5" ht="15" customHeight="1" x14ac:dyDescent="0.2">
      <c r="A164" s="1" t="s">
        <v>767</v>
      </c>
    </row>
    <row r="165" spans="1:5" ht="15" customHeight="1" x14ac:dyDescent="0.2">
      <c r="A165" s="1" t="s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IS-Reorg</vt:lpstr>
      <vt:lpstr>Litigation related payments</vt:lpstr>
      <vt:lpstr>BS-Reorg</vt:lpstr>
      <vt:lpstr>Beta</vt:lpstr>
      <vt:lpstr>WACC</vt:lpstr>
      <vt:lpstr>TRACE Bond details</vt:lpstr>
      <vt:lpstr>Valuation</vt:lpstr>
      <vt:lpstr>Segment wise</vt:lpstr>
      <vt:lpstr>Historical analysis and Ratios</vt:lpstr>
      <vt:lpstr>3M-BS</vt:lpstr>
      <vt:lpstr>3M-CFS</vt:lpstr>
      <vt:lpstr>3M-IS</vt:lpstr>
      <vt:lpstr>MMM-US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Parth</cp:lastModifiedBy>
  <dcterms:created xsi:type="dcterms:W3CDTF">2026-03-24T20:48:33Z</dcterms:created>
  <dcterms:modified xsi:type="dcterms:W3CDTF">2026-05-31T22:29:08Z</dcterms:modified>
  <cp:category/>
</cp:coreProperties>
</file>