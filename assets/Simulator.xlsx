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 Bhatia\Desktop\Purva\Study\SJSU\Innovation challenge\"/>
    </mc:Choice>
  </mc:AlternateContent>
  <xr:revisionPtr revIDLastSave="0" documentId="13_ncr:1_{92FAF926-4469-4107-BA17-242CA8BC82E0}" xr6:coauthVersionLast="47" xr6:coauthVersionMax="47" xr10:uidLastSave="{00000000-0000-0000-0000-000000000000}"/>
  <bookViews>
    <workbookView xWindow="-110" yWindow="-110" windowWidth="19420" windowHeight="11500" xr2:uid="{CFC21FBC-C528-471A-A743-EE7818DBB73B}"/>
  </bookViews>
  <sheets>
    <sheet name="Simulator" sheetId="1" r:id="rId1"/>
    <sheet name="Revenue model" sheetId="7" r:id="rId2"/>
    <sheet name="Credit scores &amp; Interest rates" sheetId="2" r:id="rId3"/>
    <sheet name="Statewise Insurance" sheetId="5" r:id="rId4"/>
    <sheet name="Insurance" sheetId="3" state="hidden" r:id="rId5"/>
    <sheet name="Tax rates" sheetId="4" r:id="rId6"/>
    <sheet name="Loan Amortization table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7" l="1"/>
  <c r="M66" i="7"/>
  <c r="C39" i="7"/>
  <c r="M65" i="7"/>
  <c r="M63" i="7"/>
  <c r="M61" i="7"/>
  <c r="M60" i="7"/>
  <c r="L59" i="7"/>
  <c r="L57" i="7"/>
  <c r="H39" i="7"/>
  <c r="L52" i="7"/>
  <c r="L54" i="7" s="1"/>
  <c r="L47" i="7"/>
  <c r="L46" i="7"/>
  <c r="L45" i="7"/>
  <c r="H25" i="7"/>
  <c r="L41" i="7"/>
  <c r="L39" i="7"/>
  <c r="L38" i="7"/>
  <c r="C26" i="7"/>
  <c r="C37" i="7"/>
  <c r="C31" i="7"/>
  <c r="C33" i="7" s="1"/>
  <c r="C46" i="7"/>
  <c r="C17" i="7"/>
  <c r="D45" i="7"/>
  <c r="E45" i="7"/>
  <c r="E44" i="7"/>
  <c r="D44" i="7"/>
  <c r="C30" i="7" l="1"/>
  <c r="H34" i="7"/>
  <c r="C18" i="7" s="1"/>
  <c r="M19" i="7"/>
  <c r="C23" i="7"/>
  <c r="C27" i="7"/>
  <c r="C25" i="7"/>
  <c r="C24" i="7"/>
  <c r="M30" i="7"/>
  <c r="M29" i="7"/>
  <c r="M28" i="7"/>
  <c r="M27" i="7"/>
  <c r="M26" i="7"/>
  <c r="M25" i="7"/>
  <c r="M24" i="7"/>
  <c r="M23" i="7"/>
  <c r="M22" i="7"/>
  <c r="M21" i="7"/>
  <c r="M20" i="7"/>
  <c r="M31" i="7" l="1"/>
  <c r="C16" i="7" s="1"/>
  <c r="H19" i="7"/>
  <c r="H24" i="7"/>
  <c r="B10" i="1"/>
  <c r="A7" i="6"/>
  <c r="D3" i="6"/>
  <c r="D4" i="6" s="1"/>
  <c r="B19" i="1"/>
  <c r="B17" i="1"/>
  <c r="B16" i="1"/>
  <c r="B14" i="1"/>
  <c r="B15" i="1" s="1"/>
  <c r="D2" i="6"/>
  <c r="B8" i="1"/>
  <c r="D1" i="6" s="1"/>
  <c r="B7" i="1"/>
  <c r="H22" i="7" l="1"/>
  <c r="E7" i="6"/>
  <c r="E8" i="6"/>
  <c r="E16" i="6"/>
  <c r="E24" i="6"/>
  <c r="E32" i="6"/>
  <c r="E40" i="6"/>
  <c r="E48" i="6"/>
  <c r="E56" i="6"/>
  <c r="E64" i="6"/>
  <c r="E72" i="6"/>
  <c r="E80" i="6"/>
  <c r="E88" i="6"/>
  <c r="E96" i="6"/>
  <c r="E104" i="6"/>
  <c r="E112" i="6"/>
  <c r="E120" i="6"/>
  <c r="E128" i="6"/>
  <c r="E136" i="6"/>
  <c r="E144" i="6"/>
  <c r="E152" i="6"/>
  <c r="E160" i="6"/>
  <c r="E168" i="6"/>
  <c r="E176" i="6"/>
  <c r="E184" i="6"/>
  <c r="E192" i="6"/>
  <c r="E200" i="6"/>
  <c r="E208" i="6"/>
  <c r="E216" i="6"/>
  <c r="E224" i="6"/>
  <c r="E232" i="6"/>
  <c r="E240" i="6"/>
  <c r="E248" i="6"/>
  <c r="E256" i="6"/>
  <c r="E264" i="6"/>
  <c r="E272" i="6"/>
  <c r="E280" i="6"/>
  <c r="E288" i="6"/>
  <c r="E296" i="6"/>
  <c r="E304" i="6"/>
  <c r="E312" i="6"/>
  <c r="E320" i="6"/>
  <c r="E328" i="6"/>
  <c r="E336" i="6"/>
  <c r="E344" i="6"/>
  <c r="E352" i="6"/>
  <c r="E360" i="6"/>
  <c r="E368" i="6"/>
  <c r="E376" i="6"/>
  <c r="E384" i="6"/>
  <c r="E392" i="6"/>
  <c r="E400" i="6"/>
  <c r="E408" i="6"/>
  <c r="E416" i="6"/>
  <c r="E424" i="6"/>
  <c r="E432" i="6"/>
  <c r="E440" i="6"/>
  <c r="E448" i="6"/>
  <c r="E456" i="6"/>
  <c r="E464" i="6"/>
  <c r="E472" i="6"/>
  <c r="E480" i="6"/>
  <c r="E488" i="6"/>
  <c r="E496" i="6"/>
  <c r="E504" i="6"/>
  <c r="E512" i="6"/>
  <c r="E520" i="6"/>
  <c r="E528" i="6"/>
  <c r="E536" i="6"/>
  <c r="E544" i="6"/>
  <c r="E552" i="6"/>
  <c r="E560" i="6"/>
  <c r="E568" i="6"/>
  <c r="E576" i="6"/>
  <c r="E584" i="6"/>
  <c r="E592" i="6"/>
  <c r="E600" i="6"/>
  <c r="E9" i="6"/>
  <c r="E17" i="6"/>
  <c r="E25" i="6"/>
  <c r="E33" i="6"/>
  <c r="E41" i="6"/>
  <c r="E49" i="6"/>
  <c r="E57" i="6"/>
  <c r="E65" i="6"/>
  <c r="E73" i="6"/>
  <c r="E81" i="6"/>
  <c r="E10" i="6"/>
  <c r="E20" i="6"/>
  <c r="E30" i="6"/>
  <c r="E42" i="6"/>
  <c r="E52" i="6"/>
  <c r="E62" i="6"/>
  <c r="E74" i="6"/>
  <c r="E84" i="6"/>
  <c r="E93" i="6"/>
  <c r="E102" i="6"/>
  <c r="E111" i="6"/>
  <c r="E121" i="6"/>
  <c r="E130" i="6"/>
  <c r="E139" i="6"/>
  <c r="E148" i="6"/>
  <c r="E157" i="6"/>
  <c r="E166" i="6"/>
  <c r="E175" i="6"/>
  <c r="E185" i="6"/>
  <c r="E194" i="6"/>
  <c r="E203" i="6"/>
  <c r="E212" i="6"/>
  <c r="E221" i="6"/>
  <c r="E230" i="6"/>
  <c r="E239" i="6"/>
  <c r="E249" i="6"/>
  <c r="E258" i="6"/>
  <c r="E267" i="6"/>
  <c r="E276" i="6"/>
  <c r="E285" i="6"/>
  <c r="E294" i="6"/>
  <c r="E303" i="6"/>
  <c r="E313" i="6"/>
  <c r="E322" i="6"/>
  <c r="E331" i="6"/>
  <c r="E340" i="6"/>
  <c r="E349" i="6"/>
  <c r="E358" i="6"/>
  <c r="E367" i="6"/>
  <c r="E377" i="6"/>
  <c r="E386" i="6"/>
  <c r="E395" i="6"/>
  <c r="E404" i="6"/>
  <c r="E413" i="6"/>
  <c r="E422" i="6"/>
  <c r="E431" i="6"/>
  <c r="E441" i="6"/>
  <c r="E450" i="6"/>
  <c r="E459" i="6"/>
  <c r="E468" i="6"/>
  <c r="E477" i="6"/>
  <c r="E486" i="6"/>
  <c r="E495" i="6"/>
  <c r="E505" i="6"/>
  <c r="E514" i="6"/>
  <c r="E523" i="6"/>
  <c r="E532" i="6"/>
  <c r="E541" i="6"/>
  <c r="E550" i="6"/>
  <c r="E559" i="6"/>
  <c r="E569" i="6"/>
  <c r="E578" i="6"/>
  <c r="E587" i="6"/>
  <c r="E596" i="6"/>
  <c r="E605" i="6"/>
  <c r="E21" i="6"/>
  <c r="E43" i="6"/>
  <c r="E53" i="6"/>
  <c r="E75" i="6"/>
  <c r="E94" i="6"/>
  <c r="E113" i="6"/>
  <c r="E122" i="6"/>
  <c r="E140" i="6"/>
  <c r="E158" i="6"/>
  <c r="E177" i="6"/>
  <c r="E195" i="6"/>
  <c r="E213" i="6"/>
  <c r="E231" i="6"/>
  <c r="E250" i="6"/>
  <c r="E268" i="6"/>
  <c r="E286" i="6"/>
  <c r="E305" i="6"/>
  <c r="E323" i="6"/>
  <c r="E341" i="6"/>
  <c r="E350" i="6"/>
  <c r="E369" i="6"/>
  <c r="E387" i="6"/>
  <c r="E405" i="6"/>
  <c r="E423" i="6"/>
  <c r="E442" i="6"/>
  <c r="E460" i="6"/>
  <c r="E478" i="6"/>
  <c r="E497" i="6"/>
  <c r="E515" i="6"/>
  <c r="E533" i="6"/>
  <c r="E561" i="6"/>
  <c r="E579" i="6"/>
  <c r="E597" i="6"/>
  <c r="E12" i="6"/>
  <c r="E34" i="6"/>
  <c r="E44" i="6"/>
  <c r="E54" i="6"/>
  <c r="E76" i="6"/>
  <c r="E86" i="6"/>
  <c r="E105" i="6"/>
  <c r="E123" i="6"/>
  <c r="E141" i="6"/>
  <c r="E159" i="6"/>
  <c r="E178" i="6"/>
  <c r="E196" i="6"/>
  <c r="E214" i="6"/>
  <c r="E233" i="6"/>
  <c r="E251" i="6"/>
  <c r="E269" i="6"/>
  <c r="E287" i="6"/>
  <c r="E306" i="6"/>
  <c r="E315" i="6"/>
  <c r="E333" i="6"/>
  <c r="E351" i="6"/>
  <c r="E370" i="6"/>
  <c r="E388" i="6"/>
  <c r="E406" i="6"/>
  <c r="E425" i="6"/>
  <c r="E443" i="6"/>
  <c r="E461" i="6"/>
  <c r="E479" i="6"/>
  <c r="E498" i="6"/>
  <c r="E516" i="6"/>
  <c r="E534" i="6"/>
  <c r="E553" i="6"/>
  <c r="E571" i="6"/>
  <c r="E589" i="6"/>
  <c r="E13" i="6"/>
  <c r="E35" i="6"/>
  <c r="E55" i="6"/>
  <c r="E77" i="6"/>
  <c r="E97" i="6"/>
  <c r="E115" i="6"/>
  <c r="E133" i="6"/>
  <c r="E151" i="6"/>
  <c r="E170" i="6"/>
  <c r="E188" i="6"/>
  <c r="E206" i="6"/>
  <c r="E225" i="6"/>
  <c r="E243" i="6"/>
  <c r="E261" i="6"/>
  <c r="E279" i="6"/>
  <c r="E298" i="6"/>
  <c r="E316" i="6"/>
  <c r="E334" i="6"/>
  <c r="E353" i="6"/>
  <c r="E371" i="6"/>
  <c r="E389" i="6"/>
  <c r="E407" i="6"/>
  <c r="E426" i="6"/>
  <c r="E444" i="6"/>
  <c r="E462" i="6"/>
  <c r="E11" i="6"/>
  <c r="E31" i="6"/>
  <c r="E63" i="6"/>
  <c r="E85" i="6"/>
  <c r="E103" i="6"/>
  <c r="E131" i="6"/>
  <c r="E149" i="6"/>
  <c r="E167" i="6"/>
  <c r="E186" i="6"/>
  <c r="E204" i="6"/>
  <c r="E222" i="6"/>
  <c r="E241" i="6"/>
  <c r="E259" i="6"/>
  <c r="E277" i="6"/>
  <c r="E295" i="6"/>
  <c r="E314" i="6"/>
  <c r="E332" i="6"/>
  <c r="E359" i="6"/>
  <c r="E378" i="6"/>
  <c r="E396" i="6"/>
  <c r="E414" i="6"/>
  <c r="E433" i="6"/>
  <c r="E451" i="6"/>
  <c r="E469" i="6"/>
  <c r="E487" i="6"/>
  <c r="E506" i="6"/>
  <c r="E524" i="6"/>
  <c r="E542" i="6"/>
  <c r="E551" i="6"/>
  <c r="E570" i="6"/>
  <c r="E588" i="6"/>
  <c r="E606" i="6"/>
  <c r="E22" i="6"/>
  <c r="E66" i="6"/>
  <c r="E95" i="6"/>
  <c r="E114" i="6"/>
  <c r="E132" i="6"/>
  <c r="E150" i="6"/>
  <c r="E169" i="6"/>
  <c r="E187" i="6"/>
  <c r="E205" i="6"/>
  <c r="E223" i="6"/>
  <c r="E242" i="6"/>
  <c r="E260" i="6"/>
  <c r="E278" i="6"/>
  <c r="E297" i="6"/>
  <c r="E324" i="6"/>
  <c r="E342" i="6"/>
  <c r="E361" i="6"/>
  <c r="E379" i="6"/>
  <c r="E397" i="6"/>
  <c r="E415" i="6"/>
  <c r="E434" i="6"/>
  <c r="E452" i="6"/>
  <c r="E470" i="6"/>
  <c r="E489" i="6"/>
  <c r="E507" i="6"/>
  <c r="E525" i="6"/>
  <c r="E543" i="6"/>
  <c r="E562" i="6"/>
  <c r="E580" i="6"/>
  <c r="E598" i="6"/>
  <c r="E23" i="6"/>
  <c r="E45" i="6"/>
  <c r="E67" i="6"/>
  <c r="E87" i="6"/>
  <c r="E106" i="6"/>
  <c r="E124" i="6"/>
  <c r="E142" i="6"/>
  <c r="E161" i="6"/>
  <c r="E179" i="6"/>
  <c r="E197" i="6"/>
  <c r="E215" i="6"/>
  <c r="E234" i="6"/>
  <c r="E252" i="6"/>
  <c r="E270" i="6"/>
  <c r="E289" i="6"/>
  <c r="E307" i="6"/>
  <c r="E325" i="6"/>
  <c r="E343" i="6"/>
  <c r="E362" i="6"/>
  <c r="E380" i="6"/>
  <c r="E398" i="6"/>
  <c r="E417" i="6"/>
  <c r="E435" i="6"/>
  <c r="E14" i="6"/>
  <c r="E36" i="6"/>
  <c r="E58" i="6"/>
  <c r="E78" i="6"/>
  <c r="E98" i="6"/>
  <c r="E116" i="6"/>
  <c r="E134" i="6"/>
  <c r="E153" i="6"/>
  <c r="E171" i="6"/>
  <c r="E189" i="6"/>
  <c r="E207" i="6"/>
  <c r="E226" i="6"/>
  <c r="E244" i="6"/>
  <c r="E262" i="6"/>
  <c r="E281" i="6"/>
  <c r="E299" i="6"/>
  <c r="E317" i="6"/>
  <c r="E335" i="6"/>
  <c r="E354" i="6"/>
  <c r="E372" i="6"/>
  <c r="E390" i="6"/>
  <c r="E409" i="6"/>
  <c r="E427" i="6"/>
  <c r="E445" i="6"/>
  <c r="E458" i="6"/>
  <c r="E475" i="6"/>
  <c r="E491" i="6"/>
  <c r="E503" i="6"/>
  <c r="E519" i="6"/>
  <c r="E535" i="6"/>
  <c r="E548" i="6"/>
  <c r="E564" i="6"/>
  <c r="E577" i="6"/>
  <c r="E593" i="6"/>
  <c r="E79" i="6"/>
  <c r="E190" i="6"/>
  <c r="E227" i="6"/>
  <c r="E263" i="6"/>
  <c r="E300" i="6"/>
  <c r="E318" i="6"/>
  <c r="E355" i="6"/>
  <c r="E373" i="6"/>
  <c r="E410" i="6"/>
  <c r="E428" i="6"/>
  <c r="E463" i="6"/>
  <c r="E476" i="6"/>
  <c r="E508" i="6"/>
  <c r="E537" i="6"/>
  <c r="E565" i="6"/>
  <c r="E594" i="6"/>
  <c r="E18" i="6"/>
  <c r="E60" i="6"/>
  <c r="E82" i="6"/>
  <c r="E118" i="6"/>
  <c r="E155" i="6"/>
  <c r="E191" i="6"/>
  <c r="E228" i="6"/>
  <c r="E265" i="6"/>
  <c r="E301" i="6"/>
  <c r="E338" i="6"/>
  <c r="E374" i="6"/>
  <c r="E411" i="6"/>
  <c r="E447" i="6"/>
  <c r="E481" i="6"/>
  <c r="E509" i="6"/>
  <c r="E538" i="6"/>
  <c r="E566" i="6"/>
  <c r="E582" i="6"/>
  <c r="E19" i="6"/>
  <c r="E101" i="6"/>
  <c r="E138" i="6"/>
  <c r="E174" i="6"/>
  <c r="E211" i="6"/>
  <c r="E247" i="6"/>
  <c r="E284" i="6"/>
  <c r="E321" i="6"/>
  <c r="E357" i="6"/>
  <c r="E394" i="6"/>
  <c r="E430" i="6"/>
  <c r="E466" i="6"/>
  <c r="E494" i="6"/>
  <c r="E526" i="6"/>
  <c r="E555" i="6"/>
  <c r="E583" i="6"/>
  <c r="E26" i="6"/>
  <c r="E107" i="6"/>
  <c r="E143" i="6"/>
  <c r="E180" i="6"/>
  <c r="E217" i="6"/>
  <c r="E253" i="6"/>
  <c r="E290" i="6"/>
  <c r="E326" i="6"/>
  <c r="E363" i="6"/>
  <c r="E399" i="6"/>
  <c r="E436" i="6"/>
  <c r="E467" i="6"/>
  <c r="E499" i="6"/>
  <c r="E527" i="6"/>
  <c r="E556" i="6"/>
  <c r="E585" i="6"/>
  <c r="E27" i="6"/>
  <c r="E108" i="6"/>
  <c r="E145" i="6"/>
  <c r="E181" i="6"/>
  <c r="E218" i="6"/>
  <c r="E254" i="6"/>
  <c r="E291" i="6"/>
  <c r="E327" i="6"/>
  <c r="E364" i="6"/>
  <c r="E401" i="6"/>
  <c r="E437" i="6"/>
  <c r="E471" i="6"/>
  <c r="E500" i="6"/>
  <c r="E529" i="6"/>
  <c r="E557" i="6"/>
  <c r="E586" i="6"/>
  <c r="E28" i="6"/>
  <c r="E70" i="6"/>
  <c r="E109" i="6"/>
  <c r="E146" i="6"/>
  <c r="E182" i="6"/>
  <c r="E219" i="6"/>
  <c r="E255" i="6"/>
  <c r="E292" i="6"/>
  <c r="E329" i="6"/>
  <c r="E365" i="6"/>
  <c r="E402" i="6"/>
  <c r="E438" i="6"/>
  <c r="E473" i="6"/>
  <c r="E501" i="6"/>
  <c r="E530" i="6"/>
  <c r="E558" i="6"/>
  <c r="E590" i="6"/>
  <c r="E29" i="6"/>
  <c r="E71" i="6"/>
  <c r="E110" i="6"/>
  <c r="E147" i="6"/>
  <c r="E183" i="6"/>
  <c r="E220" i="6"/>
  <c r="E257" i="6"/>
  <c r="E293" i="6"/>
  <c r="E330" i="6"/>
  <c r="E366" i="6"/>
  <c r="E403" i="6"/>
  <c r="E439" i="6"/>
  <c r="E474" i="6"/>
  <c r="E502" i="6"/>
  <c r="E531" i="6"/>
  <c r="E563" i="6"/>
  <c r="E591" i="6"/>
  <c r="E15" i="6"/>
  <c r="E37" i="6"/>
  <c r="E59" i="6"/>
  <c r="E99" i="6"/>
  <c r="E117" i="6"/>
  <c r="E135" i="6"/>
  <c r="E154" i="6"/>
  <c r="E172" i="6"/>
  <c r="E209" i="6"/>
  <c r="E245" i="6"/>
  <c r="E282" i="6"/>
  <c r="E337" i="6"/>
  <c r="E391" i="6"/>
  <c r="E446" i="6"/>
  <c r="E492" i="6"/>
  <c r="E521" i="6"/>
  <c r="E549" i="6"/>
  <c r="E581" i="6"/>
  <c r="E38" i="6"/>
  <c r="E100" i="6"/>
  <c r="E137" i="6"/>
  <c r="E173" i="6"/>
  <c r="E210" i="6"/>
  <c r="E246" i="6"/>
  <c r="E283" i="6"/>
  <c r="E319" i="6"/>
  <c r="E356" i="6"/>
  <c r="E393" i="6"/>
  <c r="E429" i="6"/>
  <c r="E465" i="6"/>
  <c r="E493" i="6"/>
  <c r="E522" i="6"/>
  <c r="E554" i="6"/>
  <c r="E595" i="6"/>
  <c r="E39" i="6"/>
  <c r="E61" i="6"/>
  <c r="E83" i="6"/>
  <c r="E119" i="6"/>
  <c r="E156" i="6"/>
  <c r="E193" i="6"/>
  <c r="E229" i="6"/>
  <c r="E266" i="6"/>
  <c r="E302" i="6"/>
  <c r="E339" i="6"/>
  <c r="E375" i="6"/>
  <c r="E412" i="6"/>
  <c r="E449" i="6"/>
  <c r="E482" i="6"/>
  <c r="E510" i="6"/>
  <c r="E539" i="6"/>
  <c r="E567" i="6"/>
  <c r="E599" i="6"/>
  <c r="E46" i="6"/>
  <c r="E68" i="6"/>
  <c r="E89" i="6"/>
  <c r="E125" i="6"/>
  <c r="E162" i="6"/>
  <c r="E198" i="6"/>
  <c r="E235" i="6"/>
  <c r="E271" i="6"/>
  <c r="E308" i="6"/>
  <c r="E345" i="6"/>
  <c r="E381" i="6"/>
  <c r="E418" i="6"/>
  <c r="E453" i="6"/>
  <c r="E483" i="6"/>
  <c r="E511" i="6"/>
  <c r="E540" i="6"/>
  <c r="E572" i="6"/>
  <c r="E601" i="6"/>
  <c r="E47" i="6"/>
  <c r="E69" i="6"/>
  <c r="E90" i="6"/>
  <c r="E126" i="6"/>
  <c r="E163" i="6"/>
  <c r="E199" i="6"/>
  <c r="E236" i="6"/>
  <c r="E273" i="6"/>
  <c r="E309" i="6"/>
  <c r="E346" i="6"/>
  <c r="E382" i="6"/>
  <c r="E419" i="6"/>
  <c r="E454" i="6"/>
  <c r="E484" i="6"/>
  <c r="E513" i="6"/>
  <c r="E545" i="6"/>
  <c r="E573" i="6"/>
  <c r="E602" i="6"/>
  <c r="E50" i="6"/>
  <c r="E91" i="6"/>
  <c r="E127" i="6"/>
  <c r="E164" i="6"/>
  <c r="E201" i="6"/>
  <c r="E237" i="6"/>
  <c r="E274" i="6"/>
  <c r="E310" i="6"/>
  <c r="E347" i="6"/>
  <c r="E383" i="6"/>
  <c r="E420" i="6"/>
  <c r="E455" i="6"/>
  <c r="E485" i="6"/>
  <c r="E517" i="6"/>
  <c r="E546" i="6"/>
  <c r="E574" i="6"/>
  <c r="E603" i="6"/>
  <c r="E51" i="6"/>
  <c r="E92" i="6"/>
  <c r="E129" i="6"/>
  <c r="E165" i="6"/>
  <c r="E202" i="6"/>
  <c r="E238" i="6"/>
  <c r="E275" i="6"/>
  <c r="E311" i="6"/>
  <c r="E348" i="6"/>
  <c r="E385" i="6"/>
  <c r="E421" i="6"/>
  <c r="E457" i="6"/>
  <c r="E490" i="6"/>
  <c r="E518" i="6"/>
  <c r="E547" i="6"/>
  <c r="E575" i="6"/>
  <c r="E604" i="6"/>
  <c r="B7" i="6"/>
  <c r="C7" i="6" s="1"/>
  <c r="B12" i="1"/>
  <c r="B20" i="1" s="1"/>
  <c r="C19" i="7" l="1"/>
  <c r="C20" i="7" s="1"/>
  <c r="C32" i="7" s="1"/>
  <c r="B23" i="1"/>
  <c r="C35" i="7" l="1"/>
  <c r="C40" i="7"/>
  <c r="D7" i="6"/>
  <c r="F7" i="6" s="1"/>
  <c r="B8" i="6" l="1"/>
  <c r="C8" i="6" s="1"/>
  <c r="D8" i="6" l="1"/>
  <c r="F8" i="6" s="1"/>
  <c r="B9" i="6" s="1"/>
  <c r="C9" i="6" s="1"/>
  <c r="D9" i="6" l="1"/>
  <c r="F9" i="6" s="1"/>
  <c r="B10" i="6" l="1"/>
  <c r="C10" i="6" s="1"/>
  <c r="D10" i="6" s="1"/>
  <c r="F10" i="6" s="1"/>
  <c r="B11" i="6" l="1"/>
  <c r="C11" i="6" l="1"/>
  <c r="D11" i="6" s="1"/>
  <c r="F11" i="6" s="1"/>
  <c r="B12" i="6" l="1"/>
  <c r="C12" i="6" s="1"/>
  <c r="D12" i="6" s="1"/>
  <c r="F12" i="6" s="1"/>
  <c r="B13" i="6" s="1"/>
  <c r="C13" i="6" s="1"/>
  <c r="D13" i="6" l="1"/>
  <c r="F13" i="6" s="1"/>
  <c r="B14" i="6" s="1"/>
  <c r="C14" i="6" s="1"/>
  <c r="D14" i="6" s="1"/>
  <c r="F14" i="6" s="1"/>
  <c r="B15" i="6" l="1"/>
  <c r="C15" i="6" l="1"/>
  <c r="D15" i="6" s="1"/>
  <c r="F15" i="6" s="1"/>
  <c r="B16" i="6" l="1"/>
  <c r="C16" i="6" s="1"/>
  <c r="D16" i="6" s="1"/>
  <c r="F16" i="6" s="1"/>
  <c r="B17" i="6" l="1"/>
  <c r="C17" i="6" s="1"/>
  <c r="D17" i="6" s="1"/>
  <c r="F17" i="6" s="1"/>
  <c r="B18" i="6" l="1"/>
  <c r="C18" i="6" l="1"/>
  <c r="D18" i="6" s="1"/>
  <c r="F18" i="6" s="1"/>
  <c r="B19" i="6" l="1"/>
  <c r="C19" i="6" s="1"/>
  <c r="D19" i="6" s="1"/>
  <c r="F19" i="6" s="1"/>
  <c r="B20" i="6" l="1"/>
  <c r="C20" i="6" l="1"/>
  <c r="D20" i="6" s="1"/>
  <c r="F20" i="6" s="1"/>
  <c r="B21" i="6" l="1"/>
  <c r="C21" i="6" s="1"/>
  <c r="D21" i="6" s="1"/>
  <c r="F21" i="6" s="1"/>
  <c r="B22" i="6" l="1"/>
  <c r="C22" i="6" s="1"/>
  <c r="D22" i="6" s="1"/>
  <c r="F22" i="6" s="1"/>
  <c r="B23" i="6" l="1"/>
  <c r="C23" i="6" s="1"/>
  <c r="D23" i="6" s="1"/>
  <c r="F23" i="6" s="1"/>
  <c r="B24" i="6" l="1"/>
  <c r="C24" i="6" s="1"/>
  <c r="D24" i="6" s="1"/>
  <c r="F24" i="6" s="1"/>
  <c r="B25" i="6" l="1"/>
  <c r="C25" i="6" s="1"/>
  <c r="D25" i="6" s="1"/>
  <c r="F25" i="6" s="1"/>
  <c r="B26" i="6" l="1"/>
  <c r="C26" i="6" l="1"/>
  <c r="D26" i="6" s="1"/>
  <c r="F26" i="6" s="1"/>
  <c r="B27" i="6" l="1"/>
  <c r="C27" i="6" s="1"/>
  <c r="D27" i="6" l="1"/>
  <c r="F27" i="6" s="1"/>
  <c r="B28" i="6" l="1"/>
  <c r="C28" i="6" s="1"/>
  <c r="D28" i="6" l="1"/>
  <c r="F28" i="6" s="1"/>
  <c r="B29" i="6" l="1"/>
  <c r="C29" i="6" l="1"/>
  <c r="D29" i="6" s="1"/>
  <c r="F29" i="6" s="1"/>
  <c r="B30" i="6" l="1"/>
  <c r="C30" i="6" s="1"/>
  <c r="D30" i="6" l="1"/>
  <c r="F30" i="6" s="1"/>
  <c r="B31" i="6" l="1"/>
  <c r="C31" i="6" l="1"/>
  <c r="D31" i="6" s="1"/>
  <c r="F31" i="6" s="1"/>
  <c r="B32" i="6" l="1"/>
  <c r="C32" i="6" s="1"/>
  <c r="D32" i="6" l="1"/>
  <c r="F32" i="6" s="1"/>
  <c r="B33" i="6" l="1"/>
  <c r="C33" i="6" l="1"/>
  <c r="D33" i="6" s="1"/>
  <c r="F33" i="6" s="1"/>
  <c r="B34" i="6" l="1"/>
  <c r="C34" i="6" s="1"/>
  <c r="D34" i="6" l="1"/>
  <c r="F34" i="6" s="1"/>
  <c r="B35" i="6" l="1"/>
  <c r="C35" i="6" s="1"/>
  <c r="D35" i="6" l="1"/>
  <c r="F35" i="6" s="1"/>
  <c r="B36" i="6" l="1"/>
  <c r="C36" i="6" l="1"/>
  <c r="D36" i="6" s="1"/>
  <c r="F36" i="6" s="1"/>
  <c r="B37" i="6" l="1"/>
  <c r="C37" i="6" s="1"/>
  <c r="D37" i="6" l="1"/>
  <c r="F37" i="6" s="1"/>
  <c r="B38" i="6" l="1"/>
  <c r="C38" i="6" l="1"/>
  <c r="D38" i="6" s="1"/>
  <c r="F38" i="6" s="1"/>
  <c r="B39" i="6" l="1"/>
  <c r="C39" i="6" s="1"/>
  <c r="D39" i="6" l="1"/>
  <c r="F39" i="6" s="1"/>
  <c r="B40" i="6" l="1"/>
  <c r="C40" i="6" l="1"/>
  <c r="D40" i="6" s="1"/>
  <c r="F40" i="6" s="1"/>
  <c r="B41" i="6" l="1"/>
  <c r="C41" i="6" s="1"/>
  <c r="D41" i="6" l="1"/>
  <c r="F41" i="6" s="1"/>
  <c r="B42" i="6" l="1"/>
  <c r="C42" i="6" s="1"/>
  <c r="D42" i="6" l="1"/>
  <c r="F42" i="6" s="1"/>
  <c r="B43" i="6" l="1"/>
  <c r="C43" i="6" s="1"/>
  <c r="D43" i="6" s="1"/>
  <c r="F43" i="6" s="1"/>
  <c r="B44" i="6" l="1"/>
  <c r="C44" i="6" s="1"/>
  <c r="D44" i="6" s="1"/>
  <c r="F44" i="6" s="1"/>
  <c r="B45" i="6" l="1"/>
  <c r="C45" i="6" l="1"/>
  <c r="D45" i="6" s="1"/>
  <c r="F45" i="6" s="1"/>
  <c r="B46" i="6" l="1"/>
  <c r="C46" i="6" s="1"/>
  <c r="D46" i="6" l="1"/>
  <c r="F46" i="6" s="1"/>
  <c r="B47" i="6" l="1"/>
  <c r="C47" i="6" s="1"/>
  <c r="D47" i="6" s="1"/>
  <c r="F47" i="6" s="1"/>
  <c r="B48" i="6" l="1"/>
  <c r="C48" i="6" s="1"/>
  <c r="D48" i="6" l="1"/>
  <c r="F48" i="6" s="1"/>
  <c r="B49" i="6" s="1"/>
  <c r="C49" i="6" s="1"/>
  <c r="D49" i="6" l="1"/>
  <c r="F49" i="6" s="1"/>
  <c r="B50" i="6" l="1"/>
  <c r="C50" i="6" s="1"/>
  <c r="D50" i="6" s="1"/>
  <c r="F50" i="6" l="1"/>
  <c r="B51" i="6" s="1"/>
  <c r="C51" i="6" s="1"/>
  <c r="D51" i="6" l="1"/>
  <c r="F51" i="6" s="1"/>
  <c r="B52" i="6" s="1"/>
  <c r="C52" i="6" l="1"/>
  <c r="D52" i="6" s="1"/>
  <c r="F52" i="6" s="1"/>
  <c r="B53" i="6" l="1"/>
  <c r="C53" i="6" s="1"/>
  <c r="D53" i="6" l="1"/>
  <c r="F53" i="6" s="1"/>
  <c r="B54" i="6" l="1"/>
  <c r="C54" i="6" s="1"/>
  <c r="D54" i="6" l="1"/>
  <c r="F54" i="6" s="1"/>
  <c r="B55" i="6" s="1"/>
  <c r="C55" i="6" s="1"/>
  <c r="D55" i="6" l="1"/>
  <c r="F55" i="6" s="1"/>
  <c r="B56" i="6" s="1"/>
  <c r="C56" i="6" s="1"/>
  <c r="D56" i="6" l="1"/>
  <c r="F56" i="6" s="1"/>
  <c r="B57" i="6" s="1"/>
  <c r="C57" i="6" s="1"/>
  <c r="D57" i="6" l="1"/>
  <c r="F57" i="6" s="1"/>
  <c r="B58" i="6" l="1"/>
  <c r="C58" i="6" s="1"/>
  <c r="D58" i="6" s="1"/>
  <c r="F58" i="6" s="1"/>
  <c r="B59" i="6" s="1"/>
  <c r="C59" i="6" s="1"/>
  <c r="D59" i="6" s="1"/>
  <c r="F59" i="6" s="1"/>
  <c r="B60" i="6" l="1"/>
  <c r="C60" i="6" s="1"/>
  <c r="D60" i="6" l="1"/>
  <c r="F60" i="6" s="1"/>
  <c r="B61" i="6" s="1"/>
  <c r="C61" i="6" s="1"/>
  <c r="D61" i="6" l="1"/>
  <c r="F61" i="6" s="1"/>
  <c r="B62" i="6" s="1"/>
  <c r="C62" i="6" s="1"/>
  <c r="D62" i="6" l="1"/>
  <c r="F62" i="6" s="1"/>
  <c r="B63" i="6" s="1"/>
  <c r="C63" i="6" s="1"/>
  <c r="D63" i="6" s="1"/>
  <c r="F63" i="6" s="1"/>
  <c r="B64" i="6" l="1"/>
  <c r="C64" i="6" s="1"/>
  <c r="D64" i="6" l="1"/>
  <c r="F64" i="6" s="1"/>
  <c r="B65" i="6" s="1"/>
  <c r="C65" i="6" s="1"/>
  <c r="D65" i="6" l="1"/>
  <c r="F65" i="6" s="1"/>
  <c r="B66" i="6"/>
  <c r="C66" i="6" l="1"/>
  <c r="D66" i="6" s="1"/>
  <c r="F66" i="6" s="1"/>
  <c r="B67" i="6" l="1"/>
  <c r="C67" i="6" l="1"/>
  <c r="D67" i="6" s="1"/>
  <c r="F67" i="6" s="1"/>
  <c r="B68" i="6" l="1"/>
  <c r="C68" i="6" s="1"/>
  <c r="D68" i="6" l="1"/>
  <c r="F68" i="6" s="1"/>
  <c r="B69" i="6" l="1"/>
  <c r="C69" i="6" s="1"/>
  <c r="D69" i="6" l="1"/>
  <c r="F69" i="6" s="1"/>
  <c r="B70" i="6" l="1"/>
  <c r="C70" i="6" l="1"/>
  <c r="D70" i="6" s="1"/>
  <c r="F70" i="6" s="1"/>
  <c r="B71" i="6" l="1"/>
  <c r="C71" i="6" s="1"/>
  <c r="D71" i="6" s="1"/>
  <c r="F71" i="6" s="1"/>
  <c r="B72" i="6" l="1"/>
  <c r="C72" i="6" s="1"/>
  <c r="D72" i="6" s="1"/>
  <c r="F72" i="6" s="1"/>
  <c r="B73" i="6" l="1"/>
  <c r="C73" i="6" s="1"/>
  <c r="D73" i="6" s="1"/>
  <c r="F73" i="6" s="1"/>
  <c r="B74" i="6" l="1"/>
  <c r="C74" i="6" s="1"/>
  <c r="D74" i="6" s="1"/>
  <c r="F74" i="6" s="1"/>
  <c r="B75" i="6" l="1"/>
  <c r="C75" i="6" l="1"/>
  <c r="D75" i="6" s="1"/>
  <c r="F75" i="6" s="1"/>
  <c r="B76" i="6" l="1"/>
  <c r="C76" i="6" s="1"/>
  <c r="D76" i="6" l="1"/>
  <c r="F76" i="6" s="1"/>
  <c r="B77" i="6" s="1"/>
  <c r="C77" i="6" l="1"/>
  <c r="D77" i="6" s="1"/>
  <c r="F77" i="6" s="1"/>
  <c r="B78" i="6" l="1"/>
  <c r="C78" i="6" s="1"/>
  <c r="D78" i="6" l="1"/>
  <c r="F78" i="6" s="1"/>
  <c r="B79" i="6" l="1"/>
  <c r="C79" i="6" l="1"/>
  <c r="D79" i="6" s="1"/>
  <c r="F79" i="6" s="1"/>
  <c r="B80" i="6" l="1"/>
  <c r="C80" i="6" s="1"/>
  <c r="D80" i="6" l="1"/>
  <c r="F80" i="6" s="1"/>
  <c r="B81" i="6" l="1"/>
  <c r="C81" i="6" s="1"/>
  <c r="D81" i="6" s="1"/>
  <c r="F81" i="6" s="1"/>
  <c r="B82" i="6" l="1"/>
  <c r="C82" i="6" l="1"/>
  <c r="D82" i="6" s="1"/>
  <c r="F82" i="6" s="1"/>
  <c r="B83" i="6" l="1"/>
  <c r="C83" i="6" s="1"/>
  <c r="D83" i="6" s="1"/>
  <c r="F83" i="6" s="1"/>
  <c r="B84" i="6" l="1"/>
  <c r="C84" i="6" l="1"/>
  <c r="D84" i="6" s="1"/>
  <c r="F84" i="6" s="1"/>
  <c r="B85" i="6" l="1"/>
  <c r="C85" i="6" s="1"/>
  <c r="D85" i="6" s="1"/>
  <c r="F85" i="6" s="1"/>
  <c r="B86" i="6" l="1"/>
  <c r="C86" i="6" l="1"/>
  <c r="D86" i="6" s="1"/>
  <c r="F86" i="6" s="1"/>
  <c r="B87" i="6" l="1"/>
  <c r="C87" i="6" s="1"/>
  <c r="D87" i="6" s="1"/>
  <c r="F87" i="6" s="1"/>
  <c r="B88" i="6" l="1"/>
  <c r="C88" i="6" l="1"/>
  <c r="D88" i="6" s="1"/>
  <c r="F88" i="6" s="1"/>
  <c r="B89" i="6" l="1"/>
  <c r="C89" i="6" s="1"/>
  <c r="D89" i="6" l="1"/>
  <c r="F89" i="6" s="1"/>
  <c r="B90" i="6" s="1"/>
  <c r="C90" i="6" s="1"/>
  <c r="D90" i="6" s="1"/>
  <c r="F90" i="6" s="1"/>
  <c r="B91" i="6" l="1"/>
  <c r="C91" i="6" l="1"/>
  <c r="D91" i="6" s="1"/>
  <c r="F91" i="6" s="1"/>
  <c r="B92" i="6" l="1"/>
  <c r="C92" i="6" s="1"/>
  <c r="D92" i="6" s="1"/>
  <c r="F92" i="6" s="1"/>
  <c r="B93" i="6" l="1"/>
  <c r="C93" i="6" s="1"/>
  <c r="D93" i="6" s="1"/>
  <c r="F93" i="6" s="1"/>
  <c r="B94" i="6" l="1"/>
  <c r="C94" i="6" s="1"/>
  <c r="D94" i="6" l="1"/>
  <c r="F94" i="6" s="1"/>
  <c r="B95" i="6" s="1"/>
  <c r="C95" i="6" s="1"/>
  <c r="D95" i="6" l="1"/>
  <c r="F95" i="6" s="1"/>
  <c r="B96" i="6" s="1"/>
  <c r="C96" i="6" s="1"/>
  <c r="D96" i="6" s="1"/>
  <c r="F96" i="6" s="1"/>
  <c r="B97" i="6" l="1"/>
  <c r="C97" i="6" s="1"/>
  <c r="D97" i="6" s="1"/>
  <c r="F97" i="6" s="1"/>
  <c r="B98" i="6" l="1"/>
  <c r="C98" i="6" s="1"/>
  <c r="D98" i="6" l="1"/>
  <c r="F98" i="6" s="1"/>
  <c r="B99" i="6" s="1"/>
  <c r="C99" i="6" l="1"/>
  <c r="D99" i="6" s="1"/>
  <c r="F99" i="6" s="1"/>
  <c r="B100" i="6" l="1"/>
  <c r="C100" i="6" l="1"/>
  <c r="D100" i="6" s="1"/>
  <c r="F100" i="6" s="1"/>
  <c r="B101" i="6" l="1"/>
  <c r="C101" i="6" s="1"/>
  <c r="D101" i="6" l="1"/>
  <c r="F101" i="6" s="1"/>
  <c r="B102" i="6" l="1"/>
  <c r="C102" i="6" s="1"/>
  <c r="D102" i="6" l="1"/>
  <c r="F102" i="6" s="1"/>
  <c r="B103" i="6" s="1"/>
  <c r="C103" i="6" s="1"/>
  <c r="D103" i="6" l="1"/>
  <c r="F103" i="6" s="1"/>
  <c r="B104" i="6" l="1"/>
  <c r="C104" i="6" s="1"/>
  <c r="D104" i="6" l="1"/>
  <c r="F104" i="6" s="1"/>
  <c r="B105" i="6" l="1"/>
  <c r="C105" i="6" s="1"/>
  <c r="D105" i="6" l="1"/>
  <c r="F105" i="6" s="1"/>
  <c r="B106" i="6" s="1"/>
  <c r="C106" i="6" s="1"/>
  <c r="D106" i="6" l="1"/>
  <c r="F106" i="6" s="1"/>
  <c r="B107" i="6" s="1"/>
  <c r="C107" i="6" s="1"/>
  <c r="D107" i="6" l="1"/>
  <c r="F107" i="6" s="1"/>
  <c r="B108" i="6" l="1"/>
  <c r="C108" i="6" s="1"/>
  <c r="D108" i="6" l="1"/>
  <c r="F108" i="6" s="1"/>
  <c r="B109" i="6" l="1"/>
  <c r="C109" i="6" s="1"/>
  <c r="D109" i="6" l="1"/>
  <c r="F109" i="6" s="1"/>
  <c r="B110" i="6" s="1"/>
  <c r="C110" i="6" s="1"/>
  <c r="D110" i="6" l="1"/>
  <c r="F110" i="6" s="1"/>
  <c r="B111" i="6" l="1"/>
  <c r="C111" i="6" s="1"/>
  <c r="D111" i="6" l="1"/>
  <c r="F111" i="6" s="1"/>
  <c r="B112" i="6" l="1"/>
  <c r="C112" i="6" s="1"/>
  <c r="D112" i="6" l="1"/>
  <c r="F112" i="6" s="1"/>
  <c r="B113" i="6" l="1"/>
  <c r="C113" i="6" s="1"/>
  <c r="D113" i="6" l="1"/>
  <c r="F113" i="6" s="1"/>
  <c r="B114" i="6" s="1"/>
  <c r="C114" i="6" s="1"/>
  <c r="D114" i="6" s="1"/>
  <c r="F114" i="6" s="1"/>
  <c r="B115" i="6" l="1"/>
  <c r="C115" i="6" s="1"/>
  <c r="D115" i="6" l="1"/>
  <c r="F115" i="6" s="1"/>
  <c r="B116" i="6" l="1"/>
  <c r="C116" i="6" s="1"/>
  <c r="D116" i="6" l="1"/>
  <c r="F116" i="6" s="1"/>
  <c r="B117" i="6" s="1"/>
  <c r="C117" i="6" s="1"/>
  <c r="D117" i="6" l="1"/>
  <c r="F117" i="6" s="1"/>
  <c r="B118" i="6" l="1"/>
  <c r="C118" i="6" s="1"/>
  <c r="D118" i="6" l="1"/>
  <c r="F118" i="6" s="1"/>
  <c r="B119" i="6" l="1"/>
  <c r="C119" i="6" s="1"/>
  <c r="D119" i="6" l="1"/>
  <c r="F119" i="6" s="1"/>
  <c r="B120" i="6" l="1"/>
  <c r="C120" i="6" s="1"/>
  <c r="D120" i="6" s="1"/>
  <c r="F120" i="6" s="1"/>
  <c r="B121" i="6" l="1"/>
  <c r="C121" i="6" s="1"/>
  <c r="D121" i="6" l="1"/>
  <c r="F121" i="6" s="1"/>
  <c r="B122" i="6" l="1"/>
  <c r="C122" i="6" s="1"/>
  <c r="D122" i="6" l="1"/>
  <c r="F122" i="6" s="1"/>
  <c r="B123" i="6" l="1"/>
  <c r="C123" i="6" s="1"/>
  <c r="D123" i="6" s="1"/>
  <c r="F123" i="6" s="1"/>
  <c r="B124" i="6" l="1"/>
  <c r="C124" i="6" l="1"/>
  <c r="D124" i="6" s="1"/>
  <c r="F124" i="6" s="1"/>
  <c r="B125" i="6" l="1"/>
  <c r="C125" i="6" s="1"/>
  <c r="D125" i="6" l="1"/>
  <c r="F125" i="6" s="1"/>
  <c r="B126" i="6" l="1"/>
  <c r="C126" i="6" s="1"/>
  <c r="D126" i="6" l="1"/>
  <c r="F126" i="6" s="1"/>
  <c r="B127" i="6" l="1"/>
  <c r="C127" i="6" l="1"/>
  <c r="D127" i="6" s="1"/>
  <c r="F127" i="6" s="1"/>
  <c r="B128" i="6" l="1"/>
  <c r="C128" i="6" s="1"/>
  <c r="D128" i="6" l="1"/>
  <c r="F128" i="6" s="1"/>
  <c r="B129" i="6" l="1"/>
  <c r="C129" i="6" s="1"/>
  <c r="D129" i="6" s="1"/>
  <c r="F129" i="6" s="1"/>
  <c r="B130" i="6" l="1"/>
  <c r="C130" i="6" l="1"/>
  <c r="D130" i="6" s="1"/>
  <c r="F130" i="6" s="1"/>
  <c r="B131" i="6" l="1"/>
  <c r="C131" i="6" s="1"/>
  <c r="D131" i="6" l="1"/>
  <c r="F131" i="6" s="1"/>
  <c r="B132" i="6" l="1"/>
  <c r="C132" i="6" l="1"/>
  <c r="D132" i="6" s="1"/>
  <c r="F132" i="6" s="1"/>
  <c r="B133" i="6" l="1"/>
  <c r="C133" i="6" s="1"/>
  <c r="D133" i="6" l="1"/>
  <c r="F133" i="6" s="1"/>
  <c r="B134" i="6" l="1"/>
  <c r="C134" i="6" s="1"/>
  <c r="D134" i="6" l="1"/>
  <c r="F134" i="6" s="1"/>
  <c r="B135" i="6" l="1"/>
  <c r="C135" i="6" s="1"/>
  <c r="D135" i="6" l="1"/>
  <c r="F135" i="6" s="1"/>
  <c r="B136" i="6" l="1"/>
  <c r="C136" i="6" l="1"/>
  <c r="D136" i="6" s="1"/>
  <c r="F136" i="6" s="1"/>
  <c r="B137" i="6" l="1"/>
  <c r="C137" i="6" s="1"/>
  <c r="D137" i="6" l="1"/>
  <c r="F137" i="6" s="1"/>
  <c r="B138" i="6" l="1"/>
  <c r="C138" i="6" s="1"/>
  <c r="D138" i="6" l="1"/>
  <c r="F138" i="6" s="1"/>
  <c r="B139" i="6" l="1"/>
  <c r="C139" i="6" s="1"/>
  <c r="D139" i="6" l="1"/>
  <c r="F139" i="6" s="1"/>
  <c r="B140" i="6" l="1"/>
  <c r="C140" i="6" s="1"/>
  <c r="D140" i="6" l="1"/>
  <c r="F140" i="6" s="1"/>
  <c r="B141" i="6" l="1"/>
  <c r="C141" i="6" s="1"/>
  <c r="D141" i="6" s="1"/>
  <c r="F141" i="6" s="1"/>
  <c r="B142" i="6" l="1"/>
  <c r="C142" i="6" s="1"/>
  <c r="D142" i="6" l="1"/>
  <c r="F142" i="6" s="1"/>
  <c r="B143" i="6" s="1"/>
  <c r="C143" i="6" l="1"/>
  <c r="D143" i="6" s="1"/>
  <c r="F143" i="6" s="1"/>
  <c r="B144" i="6" l="1"/>
  <c r="C144" i="6" s="1"/>
  <c r="D144" i="6" l="1"/>
  <c r="F144" i="6" s="1"/>
  <c r="B145" i="6" l="1"/>
  <c r="C145" i="6" s="1"/>
  <c r="D145" i="6" s="1"/>
  <c r="F145" i="6" s="1"/>
  <c r="B146" i="6" l="1"/>
  <c r="C146" i="6" s="1"/>
  <c r="D146" i="6" l="1"/>
  <c r="F146" i="6" s="1"/>
  <c r="B147" i="6" l="1"/>
  <c r="C147" i="6" l="1"/>
  <c r="D147" i="6" s="1"/>
  <c r="F147" i="6" s="1"/>
  <c r="B148" i="6" l="1"/>
  <c r="C148" i="6" l="1"/>
  <c r="D148" i="6" s="1"/>
  <c r="F148" i="6" s="1"/>
  <c r="B149" i="6" l="1"/>
  <c r="C149" i="6" s="1"/>
  <c r="D149" i="6" l="1"/>
  <c r="F149" i="6" s="1"/>
  <c r="B150" i="6" l="1"/>
  <c r="C150" i="6" s="1"/>
  <c r="D150" i="6" l="1"/>
  <c r="F150" i="6" s="1"/>
  <c r="B151" i="6" l="1"/>
  <c r="C151" i="6" s="1"/>
  <c r="D151" i="6" l="1"/>
  <c r="F151" i="6" s="1"/>
  <c r="B152" i="6" l="1"/>
  <c r="C152" i="6" s="1"/>
  <c r="D152" i="6" l="1"/>
  <c r="F152" i="6" s="1"/>
  <c r="B153" i="6" l="1"/>
  <c r="C153" i="6" s="1"/>
  <c r="D153" i="6" l="1"/>
  <c r="F153" i="6" s="1"/>
  <c r="B154" i="6" l="1"/>
  <c r="C154" i="6" l="1"/>
  <c r="D154" i="6" s="1"/>
  <c r="F154" i="6" s="1"/>
  <c r="B155" i="6" l="1"/>
  <c r="C155" i="6" l="1"/>
  <c r="D155" i="6" s="1"/>
  <c r="F155" i="6" s="1"/>
  <c r="B156" i="6" l="1"/>
  <c r="C156" i="6" s="1"/>
  <c r="D156" i="6" l="1"/>
  <c r="F156" i="6" s="1"/>
  <c r="B157" i="6" l="1"/>
  <c r="C157" i="6" s="1"/>
  <c r="D157" i="6" s="1"/>
  <c r="F157" i="6" s="1"/>
  <c r="B158" i="6" l="1"/>
  <c r="C158" i="6" s="1"/>
  <c r="D158" i="6" l="1"/>
  <c r="F158" i="6" s="1"/>
  <c r="B159" i="6" l="1"/>
  <c r="C159" i="6" l="1"/>
  <c r="D159" i="6" s="1"/>
  <c r="F159" i="6" s="1"/>
  <c r="B160" i="6" l="1"/>
  <c r="C160" i="6" s="1"/>
  <c r="D160" i="6" l="1"/>
  <c r="F160" i="6" s="1"/>
  <c r="B161" i="6" l="1"/>
  <c r="C161" i="6" s="1"/>
  <c r="D161" i="6" l="1"/>
  <c r="F161" i="6" s="1"/>
  <c r="B162" i="6" s="1"/>
  <c r="C162" i="6" s="1"/>
  <c r="D162" i="6" s="1"/>
  <c r="F162" i="6" s="1"/>
  <c r="B163" i="6" l="1"/>
  <c r="C163" i="6" s="1"/>
  <c r="D163" i="6" l="1"/>
  <c r="F163" i="6" s="1"/>
  <c r="B164" i="6" l="1"/>
  <c r="C164" i="6" s="1"/>
  <c r="D164" i="6" s="1"/>
  <c r="F164" i="6" s="1"/>
  <c r="B165" i="6" l="1"/>
  <c r="C165" i="6" s="1"/>
  <c r="D165" i="6" l="1"/>
  <c r="F165" i="6" s="1"/>
  <c r="B166" i="6" l="1"/>
  <c r="C166" i="6" s="1"/>
  <c r="D166" i="6" l="1"/>
  <c r="F166" i="6" s="1"/>
  <c r="B167" i="6" l="1"/>
  <c r="C167" i="6" s="1"/>
  <c r="D167" i="6" l="1"/>
  <c r="F167" i="6" s="1"/>
  <c r="B168" i="6" l="1"/>
  <c r="C168" i="6" s="1"/>
  <c r="D168" i="6" s="1"/>
  <c r="F168" i="6" s="1"/>
  <c r="B169" i="6" l="1"/>
  <c r="C169" i="6" s="1"/>
  <c r="D169" i="6" l="1"/>
  <c r="F169" i="6" s="1"/>
  <c r="B170" i="6" l="1"/>
  <c r="C170" i="6" s="1"/>
  <c r="D170" i="6" l="1"/>
  <c r="F170" i="6" s="1"/>
  <c r="B171" i="6" l="1"/>
  <c r="C171" i="6" s="1"/>
  <c r="D171" i="6" l="1"/>
  <c r="F171" i="6" s="1"/>
  <c r="B172" i="6" l="1"/>
  <c r="C172" i="6" s="1"/>
  <c r="D172" i="6" l="1"/>
  <c r="F172" i="6" s="1"/>
  <c r="B173" i="6" l="1"/>
  <c r="C173" i="6" s="1"/>
  <c r="D173" i="6" s="1"/>
  <c r="F173" i="6" s="1"/>
  <c r="B174" i="6" l="1"/>
  <c r="C174" i="6" s="1"/>
  <c r="D174" i="6" l="1"/>
  <c r="F174" i="6" s="1"/>
  <c r="B175" i="6" l="1"/>
  <c r="C175" i="6" s="1"/>
  <c r="D175" i="6" l="1"/>
  <c r="F175" i="6" s="1"/>
  <c r="B176" i="6" l="1"/>
  <c r="C176" i="6" s="1"/>
  <c r="D176" i="6" l="1"/>
  <c r="F176" i="6" s="1"/>
  <c r="B177" i="6" l="1"/>
  <c r="C177" i="6" s="1"/>
  <c r="D177" i="6" l="1"/>
  <c r="F177" i="6" s="1"/>
  <c r="B178" i="6" l="1"/>
  <c r="C178" i="6" s="1"/>
  <c r="D178" i="6" l="1"/>
  <c r="F178" i="6" s="1"/>
  <c r="B179" i="6" l="1"/>
  <c r="C179" i="6" l="1"/>
  <c r="D179" i="6" s="1"/>
  <c r="F179" i="6" s="1"/>
  <c r="B180" i="6" l="1"/>
  <c r="C180" i="6" s="1"/>
  <c r="D180" i="6" l="1"/>
  <c r="F180" i="6" s="1"/>
  <c r="B181" i="6" s="1"/>
  <c r="C181" i="6" s="1"/>
  <c r="D181" i="6" l="1"/>
  <c r="F181" i="6" s="1"/>
  <c r="B182" i="6" s="1"/>
  <c r="C182" i="6" s="1"/>
  <c r="D182" i="6" s="1"/>
  <c r="F182" i="6" s="1"/>
  <c r="B183" i="6" l="1"/>
  <c r="C183" i="6" s="1"/>
  <c r="D183" i="6" l="1"/>
  <c r="F183" i="6" s="1"/>
  <c r="B184" i="6" l="1"/>
  <c r="C184" i="6" s="1"/>
  <c r="D184" i="6" l="1"/>
  <c r="F184" i="6" s="1"/>
  <c r="B185" i="6" l="1"/>
  <c r="C185" i="6" s="1"/>
  <c r="D185" i="6" l="1"/>
  <c r="F185" i="6" s="1"/>
  <c r="B186" i="6" l="1"/>
  <c r="C186" i="6" s="1"/>
  <c r="D186" i="6" s="1"/>
  <c r="F186" i="6" s="1"/>
  <c r="B187" i="6" l="1"/>
  <c r="C187" i="6" s="1"/>
  <c r="D187" i="6" l="1"/>
  <c r="F187" i="6" s="1"/>
  <c r="B188" i="6" l="1"/>
  <c r="C188" i="6" s="1"/>
  <c r="D188" i="6" s="1"/>
  <c r="F188" i="6" s="1"/>
  <c r="B189" i="6" l="1"/>
  <c r="C189" i="6" s="1"/>
  <c r="D189" i="6" l="1"/>
  <c r="F189" i="6" s="1"/>
  <c r="B190" i="6" s="1"/>
  <c r="C190" i="6" s="1"/>
  <c r="D190" i="6" s="1"/>
  <c r="F190" i="6" s="1"/>
  <c r="B191" i="6" l="1"/>
  <c r="C191" i="6" l="1"/>
  <c r="D191" i="6" s="1"/>
  <c r="F191" i="6" s="1"/>
  <c r="B192" i="6" l="1"/>
  <c r="C192" i="6" s="1"/>
  <c r="D192" i="6" l="1"/>
  <c r="F192" i="6" s="1"/>
  <c r="B193" i="6" l="1"/>
  <c r="C193" i="6" s="1"/>
  <c r="D193" i="6" s="1"/>
  <c r="F193" i="6" s="1"/>
  <c r="B194" i="6" l="1"/>
  <c r="C194" i="6" l="1"/>
  <c r="D194" i="6" s="1"/>
  <c r="F194" i="6" s="1"/>
  <c r="B195" i="6" l="1"/>
  <c r="C195" i="6" l="1"/>
  <c r="D195" i="6" s="1"/>
  <c r="F195" i="6" s="1"/>
  <c r="B196" i="6" l="1"/>
  <c r="C196" i="6" s="1"/>
  <c r="D196" i="6" s="1"/>
  <c r="F196" i="6" s="1"/>
  <c r="B197" i="6" l="1"/>
  <c r="C197" i="6" s="1"/>
  <c r="D197" i="6" l="1"/>
  <c r="F197" i="6" s="1"/>
  <c r="B198" i="6" l="1"/>
  <c r="C198" i="6" s="1"/>
  <c r="D198" i="6" l="1"/>
  <c r="F198" i="6" s="1"/>
  <c r="B199" i="6" l="1"/>
  <c r="C199" i="6" s="1"/>
  <c r="D199" i="6" l="1"/>
  <c r="F199" i="6" s="1"/>
  <c r="B200" i="6" l="1"/>
  <c r="C200" i="6" s="1"/>
  <c r="D200" i="6" l="1"/>
  <c r="F200" i="6" s="1"/>
  <c r="B201" i="6" l="1"/>
  <c r="C201" i="6" s="1"/>
  <c r="D201" i="6" l="1"/>
  <c r="F201" i="6" s="1"/>
  <c r="B202" i="6" l="1"/>
  <c r="C202" i="6" s="1"/>
  <c r="D202" i="6" s="1"/>
  <c r="F202" i="6" s="1"/>
  <c r="B203" i="6" l="1"/>
  <c r="C203" i="6" l="1"/>
  <c r="D203" i="6" s="1"/>
  <c r="F203" i="6" s="1"/>
  <c r="B204" i="6" l="1"/>
  <c r="C204" i="6" s="1"/>
  <c r="D204" i="6" l="1"/>
  <c r="F204" i="6" s="1"/>
  <c r="B205" i="6" l="1"/>
  <c r="C205" i="6" s="1"/>
  <c r="D205" i="6" l="1"/>
  <c r="F205" i="6" s="1"/>
  <c r="B206" i="6" s="1"/>
  <c r="C206" i="6" s="1"/>
  <c r="D206" i="6" l="1"/>
  <c r="F206" i="6" s="1"/>
  <c r="B207" i="6" l="1"/>
  <c r="C207" i="6" s="1"/>
  <c r="D207" i="6" l="1"/>
  <c r="F207" i="6" s="1"/>
  <c r="B208" i="6" l="1"/>
  <c r="C208" i="6" s="1"/>
  <c r="D208" i="6" l="1"/>
  <c r="F208" i="6" s="1"/>
  <c r="B209" i="6" s="1"/>
  <c r="C209" i="6" s="1"/>
  <c r="D209" i="6" l="1"/>
  <c r="F209" i="6" s="1"/>
  <c r="B210" i="6" l="1"/>
  <c r="C210" i="6" l="1"/>
  <c r="D210" i="6" s="1"/>
  <c r="F210" i="6" s="1"/>
  <c r="B211" i="6" l="1"/>
  <c r="C211" i="6" s="1"/>
  <c r="D211" i="6" s="1"/>
  <c r="F211" i="6" s="1"/>
  <c r="B212" i="6" l="1"/>
  <c r="C212" i="6" s="1"/>
  <c r="D212" i="6" l="1"/>
  <c r="F212" i="6" s="1"/>
  <c r="B213" i="6" l="1"/>
  <c r="C213" i="6" s="1"/>
  <c r="D213" i="6" s="1"/>
  <c r="F213" i="6" s="1"/>
  <c r="B214" i="6" l="1"/>
  <c r="C214" i="6" s="1"/>
  <c r="D214" i="6" s="1"/>
  <c r="F214" i="6" s="1"/>
  <c r="B215" i="6" l="1"/>
  <c r="C215" i="6" s="1"/>
  <c r="D215" i="6" l="1"/>
  <c r="F215" i="6" s="1"/>
  <c r="B216" i="6" s="1"/>
  <c r="C216" i="6" s="1"/>
  <c r="D216" i="6" s="1"/>
  <c r="F216" i="6" s="1"/>
  <c r="B217" i="6" l="1"/>
  <c r="C217" i="6" s="1"/>
  <c r="D217" i="6" s="1"/>
  <c r="F217" i="6" s="1"/>
  <c r="B218" i="6" l="1"/>
  <c r="C218" i="6" s="1"/>
  <c r="D218" i="6" l="1"/>
  <c r="F218" i="6" s="1"/>
  <c r="B219" i="6" l="1"/>
  <c r="C219" i="6" s="1"/>
  <c r="D219" i="6" l="1"/>
  <c r="F219" i="6" s="1"/>
  <c r="B220" i="6" s="1"/>
  <c r="C220" i="6" s="1"/>
  <c r="D220" i="6" s="1"/>
  <c r="F220" i="6" s="1"/>
  <c r="B221" i="6" l="1"/>
  <c r="C221" i="6" s="1"/>
  <c r="D221" i="6" s="1"/>
  <c r="F221" i="6" s="1"/>
  <c r="B222" i="6" l="1"/>
  <c r="C222" i="6" s="1"/>
  <c r="D222" i="6" s="1"/>
  <c r="F222" i="6" s="1"/>
  <c r="B223" i="6" l="1"/>
  <c r="C223" i="6" s="1"/>
  <c r="D223" i="6" l="1"/>
  <c r="F223" i="6" s="1"/>
  <c r="B224" i="6" l="1"/>
  <c r="C224" i="6" s="1"/>
  <c r="D224" i="6" l="1"/>
  <c r="F224" i="6" s="1"/>
  <c r="B225" i="6" l="1"/>
  <c r="C225" i="6" s="1"/>
  <c r="D225" i="6" s="1"/>
  <c r="F225" i="6" s="1"/>
  <c r="B226" i="6" l="1"/>
  <c r="C226" i="6" s="1"/>
  <c r="D226" i="6" s="1"/>
  <c r="F226" i="6" s="1"/>
  <c r="B227" i="6" l="1"/>
  <c r="C227" i="6" s="1"/>
  <c r="D227" i="6" s="1"/>
  <c r="F227" i="6" s="1"/>
  <c r="B228" i="6" l="1"/>
  <c r="C228" i="6" s="1"/>
  <c r="D228" i="6" l="1"/>
  <c r="F228" i="6" s="1"/>
  <c r="B229" i="6" l="1"/>
  <c r="C229" i="6" s="1"/>
  <c r="D229" i="6" s="1"/>
  <c r="F229" i="6" s="1"/>
  <c r="B230" i="6" l="1"/>
  <c r="C230" i="6" s="1"/>
  <c r="D230" i="6" l="1"/>
  <c r="F230" i="6" s="1"/>
  <c r="B231" i="6" l="1"/>
  <c r="C231" i="6" l="1"/>
  <c r="D231" i="6" s="1"/>
  <c r="F231" i="6" s="1"/>
  <c r="B232" i="6" l="1"/>
  <c r="C232" i="6" s="1"/>
  <c r="D232" i="6" l="1"/>
  <c r="F232" i="6" s="1"/>
  <c r="B233" i="6" l="1"/>
  <c r="C233" i="6" s="1"/>
  <c r="D233" i="6" l="1"/>
  <c r="F233" i="6" s="1"/>
  <c r="B234" i="6" l="1"/>
  <c r="C234" i="6" s="1"/>
  <c r="D234" i="6" s="1"/>
  <c r="F234" i="6" s="1"/>
  <c r="B235" i="6" l="1"/>
  <c r="C235" i="6" s="1"/>
  <c r="D235" i="6" s="1"/>
  <c r="F235" i="6" s="1"/>
  <c r="B236" i="6" l="1"/>
  <c r="C236" i="6" s="1"/>
  <c r="D236" i="6" l="1"/>
  <c r="F236" i="6" s="1"/>
  <c r="B237" i="6" l="1"/>
  <c r="C237" i="6" s="1"/>
  <c r="D237" i="6" l="1"/>
  <c r="F237" i="6" s="1"/>
  <c r="B238" i="6" l="1"/>
  <c r="C238" i="6" s="1"/>
  <c r="D238" i="6" l="1"/>
  <c r="F238" i="6" s="1"/>
  <c r="B239" i="6" s="1"/>
  <c r="C239" i="6" s="1"/>
  <c r="D239" i="6" l="1"/>
  <c r="F239" i="6" s="1"/>
  <c r="B240" i="6" s="1"/>
  <c r="C240" i="6" s="1"/>
  <c r="D240" i="6" l="1"/>
  <c r="F240" i="6" s="1"/>
  <c r="B241" i="6" s="1"/>
  <c r="C241" i="6" s="1"/>
  <c r="D241" i="6" l="1"/>
  <c r="F241" i="6" s="1"/>
  <c r="B242" i="6" l="1"/>
  <c r="C242" i="6" s="1"/>
  <c r="D242" i="6" l="1"/>
  <c r="F242" i="6" s="1"/>
  <c r="B243" i="6" s="1"/>
  <c r="C243" i="6" s="1"/>
  <c r="D243" i="6" l="1"/>
  <c r="F243" i="6" s="1"/>
  <c r="B244" i="6" s="1"/>
  <c r="C244" i="6" s="1"/>
  <c r="D244" i="6" s="1"/>
  <c r="F244" i="6" s="1"/>
  <c r="B245" i="6" l="1"/>
  <c r="C245" i="6" s="1"/>
  <c r="D245" i="6" s="1"/>
  <c r="F245" i="6" s="1"/>
  <c r="B246" i="6" l="1"/>
  <c r="C246" i="6" s="1"/>
  <c r="D246" i="6" l="1"/>
  <c r="F246" i="6" s="1"/>
  <c r="B247" i="6" l="1"/>
  <c r="C247" i="6" s="1"/>
  <c r="D247" i="6" s="1"/>
  <c r="F247" i="6" s="1"/>
  <c r="B248" i="6" l="1"/>
  <c r="C248" i="6" s="1"/>
  <c r="D248" i="6" l="1"/>
  <c r="F248" i="6" s="1"/>
  <c r="B249" i="6" l="1"/>
  <c r="C249" i="6" s="1"/>
  <c r="D249" i="6" l="1"/>
  <c r="F249" i="6" s="1"/>
  <c r="B250" i="6" l="1"/>
  <c r="C250" i="6" s="1"/>
  <c r="D250" i="6" l="1"/>
  <c r="F250" i="6" s="1"/>
  <c r="B251" i="6" l="1"/>
  <c r="C251" i="6" s="1"/>
  <c r="D251" i="6" l="1"/>
  <c r="F251" i="6" s="1"/>
  <c r="B252" i="6" l="1"/>
  <c r="C252" i="6" s="1"/>
  <c r="D252" i="6" l="1"/>
  <c r="F252" i="6" s="1"/>
  <c r="B253" i="6" l="1"/>
  <c r="C253" i="6" s="1"/>
  <c r="D253" i="6" l="1"/>
  <c r="F253" i="6" s="1"/>
  <c r="B254" i="6" l="1"/>
  <c r="C254" i="6" l="1"/>
  <c r="D254" i="6" s="1"/>
  <c r="F254" i="6" s="1"/>
  <c r="B255" i="6" l="1"/>
  <c r="C255" i="6" s="1"/>
  <c r="D255" i="6" l="1"/>
  <c r="F255" i="6" s="1"/>
  <c r="B256" i="6" l="1"/>
  <c r="C256" i="6" s="1"/>
  <c r="D256" i="6" l="1"/>
  <c r="F256" i="6" s="1"/>
  <c r="B257" i="6" l="1"/>
  <c r="C257" i="6" s="1"/>
  <c r="D257" i="6" l="1"/>
  <c r="F257" i="6" s="1"/>
  <c r="B258" i="6" l="1"/>
  <c r="C258" i="6" s="1"/>
  <c r="D258" i="6" l="1"/>
  <c r="F258" i="6" s="1"/>
  <c r="B259" i="6" l="1"/>
  <c r="C259" i="6" s="1"/>
  <c r="D259" i="6" l="1"/>
  <c r="F259" i="6" s="1"/>
  <c r="B260" i="6" l="1"/>
  <c r="C260" i="6" l="1"/>
  <c r="D260" i="6" s="1"/>
  <c r="F260" i="6" s="1"/>
  <c r="B261" i="6" l="1"/>
  <c r="C261" i="6" s="1"/>
  <c r="D261" i="6" l="1"/>
  <c r="F261" i="6" s="1"/>
  <c r="B262" i="6" l="1"/>
  <c r="C262" i="6" s="1"/>
  <c r="D262" i="6" s="1"/>
  <c r="F262" i="6" s="1"/>
  <c r="B263" i="6" l="1"/>
  <c r="C263" i="6" s="1"/>
  <c r="D263" i="6" l="1"/>
  <c r="F263" i="6" s="1"/>
  <c r="B264" i="6" l="1"/>
  <c r="C264" i="6" s="1"/>
  <c r="D264" i="6" l="1"/>
  <c r="F264" i="6" s="1"/>
  <c r="B265" i="6" l="1"/>
  <c r="C265" i="6" s="1"/>
  <c r="D265" i="6" l="1"/>
  <c r="F265" i="6" s="1"/>
  <c r="B266" i="6" l="1"/>
  <c r="C266" i="6" s="1"/>
  <c r="D266" i="6" s="1"/>
  <c r="F266" i="6" s="1"/>
  <c r="B267" i="6" l="1"/>
  <c r="C267" i="6" s="1"/>
  <c r="D267" i="6" l="1"/>
  <c r="F267" i="6" s="1"/>
  <c r="B268" i="6" s="1"/>
  <c r="C268" i="6" s="1"/>
  <c r="D268" i="6" s="1"/>
  <c r="F268" i="6" s="1"/>
  <c r="B269" i="6" s="1"/>
  <c r="C269" i="6" s="1"/>
  <c r="D269" i="6" l="1"/>
  <c r="F269" i="6" s="1"/>
  <c r="B270" i="6" l="1"/>
  <c r="C270" i="6" s="1"/>
  <c r="D270" i="6" l="1"/>
  <c r="F270" i="6" s="1"/>
  <c r="B271" i="6" s="1"/>
  <c r="C271" i="6" s="1"/>
  <c r="D271" i="6" l="1"/>
  <c r="F271" i="6" s="1"/>
  <c r="B272" i="6" l="1"/>
  <c r="C272" i="6" s="1"/>
  <c r="D272" i="6" l="1"/>
  <c r="F272" i="6" s="1"/>
  <c r="B273" i="6" l="1"/>
  <c r="C273" i="6" s="1"/>
  <c r="D273" i="6" l="1"/>
  <c r="F273" i="6" s="1"/>
  <c r="B274" i="6" l="1"/>
  <c r="C274" i="6" s="1"/>
  <c r="D274" i="6" l="1"/>
  <c r="F274" i="6" s="1"/>
  <c r="B275" i="6" s="1"/>
  <c r="C275" i="6" s="1"/>
  <c r="D275" i="6" l="1"/>
  <c r="F275" i="6" s="1"/>
  <c r="B276" i="6" l="1"/>
  <c r="C276" i="6" s="1"/>
  <c r="D276" i="6" s="1"/>
  <c r="F276" i="6" s="1"/>
  <c r="B277" i="6" l="1"/>
  <c r="C277" i="6" s="1"/>
  <c r="D277" i="6" l="1"/>
  <c r="F277" i="6" s="1"/>
  <c r="B278" i="6" s="1"/>
  <c r="C278" i="6" s="1"/>
  <c r="D278" i="6" l="1"/>
  <c r="F278" i="6" s="1"/>
  <c r="B279" i="6" l="1"/>
  <c r="C279" i="6" s="1"/>
  <c r="D279" i="6" l="1"/>
  <c r="F279" i="6" s="1"/>
  <c r="B280" i="6" l="1"/>
  <c r="C280" i="6" s="1"/>
  <c r="D280" i="6" l="1"/>
  <c r="F280" i="6" s="1"/>
  <c r="B281" i="6" l="1"/>
  <c r="C281" i="6" l="1"/>
  <c r="D281" i="6" s="1"/>
  <c r="F281" i="6" s="1"/>
  <c r="B282" i="6" l="1"/>
  <c r="C282" i="6" s="1"/>
  <c r="D282" i="6" l="1"/>
  <c r="F282" i="6" s="1"/>
  <c r="B283" i="6" l="1"/>
  <c r="C283" i="6" s="1"/>
  <c r="D283" i="6" l="1"/>
  <c r="F283" i="6" s="1"/>
  <c r="B284" i="6" l="1"/>
  <c r="C284" i="6" l="1"/>
  <c r="D284" i="6" s="1"/>
  <c r="F284" i="6" s="1"/>
  <c r="B285" i="6" l="1"/>
  <c r="C285" i="6" s="1"/>
  <c r="D285" i="6" l="1"/>
  <c r="F285" i="6" s="1"/>
  <c r="B286" i="6" l="1"/>
  <c r="C286" i="6" l="1"/>
  <c r="D286" i="6" s="1"/>
  <c r="F286" i="6" s="1"/>
  <c r="B287" i="6" l="1"/>
  <c r="C287" i="6" s="1"/>
  <c r="D287" i="6" l="1"/>
  <c r="F287" i="6" s="1"/>
  <c r="B288" i="6" l="1"/>
  <c r="C288" i="6" s="1"/>
  <c r="D288" i="6" l="1"/>
  <c r="F288" i="6" s="1"/>
  <c r="B289" i="6" l="1"/>
  <c r="C289" i="6" l="1"/>
  <c r="D289" i="6" s="1"/>
  <c r="F289" i="6" s="1"/>
  <c r="B290" i="6" l="1"/>
  <c r="C290" i="6" s="1"/>
  <c r="D290" i="6" l="1"/>
  <c r="F290" i="6" s="1"/>
  <c r="B291" i="6" l="1"/>
  <c r="C291" i="6" s="1"/>
  <c r="D291" i="6" l="1"/>
  <c r="F291" i="6" s="1"/>
  <c r="B292" i="6" l="1"/>
  <c r="C292" i="6" l="1"/>
  <c r="D292" i="6" s="1"/>
  <c r="F292" i="6" s="1"/>
  <c r="B293" i="6" l="1"/>
  <c r="C293" i="6" l="1"/>
  <c r="D293" i="6" s="1"/>
  <c r="F293" i="6" s="1"/>
  <c r="B294" i="6" l="1"/>
  <c r="C294" i="6" s="1"/>
  <c r="D294" i="6" l="1"/>
  <c r="F294" i="6" s="1"/>
  <c r="B295" i="6" l="1"/>
  <c r="C295" i="6" s="1"/>
  <c r="D295" i="6" l="1"/>
  <c r="F295" i="6" s="1"/>
  <c r="B296" i="6" l="1"/>
  <c r="C296" i="6" s="1"/>
  <c r="D296" i="6" l="1"/>
  <c r="F296" i="6" s="1"/>
  <c r="B297" i="6" l="1"/>
  <c r="C297" i="6" l="1"/>
  <c r="D297" i="6" s="1"/>
  <c r="F297" i="6" s="1"/>
  <c r="B298" i="6" l="1"/>
  <c r="C298" i="6" s="1"/>
  <c r="D298" i="6" l="1"/>
  <c r="F298" i="6" s="1"/>
  <c r="B299" i="6" l="1"/>
  <c r="C299" i="6" l="1"/>
  <c r="D299" i="6" s="1"/>
  <c r="F299" i="6" s="1"/>
  <c r="B300" i="6" l="1"/>
  <c r="C300" i="6" s="1"/>
  <c r="D300" i="6" l="1"/>
  <c r="F300" i="6" s="1"/>
  <c r="B301" i="6" l="1"/>
  <c r="C301" i="6" s="1"/>
  <c r="D301" i="6" l="1"/>
  <c r="F301" i="6" s="1"/>
  <c r="B302" i="6" l="1"/>
  <c r="C302" i="6" s="1"/>
  <c r="D302" i="6" l="1"/>
  <c r="F302" i="6" s="1"/>
  <c r="B303" i="6" l="1"/>
  <c r="C303" i="6" s="1"/>
  <c r="D303" i="6" l="1"/>
  <c r="F303" i="6" s="1"/>
  <c r="B304" i="6" l="1"/>
  <c r="C304" i="6" l="1"/>
  <c r="D304" i="6" s="1"/>
  <c r="F304" i="6" s="1"/>
  <c r="B305" i="6" l="1"/>
  <c r="C305" i="6" l="1"/>
  <c r="D305" i="6" s="1"/>
  <c r="F305" i="6" s="1"/>
  <c r="B306" i="6" l="1"/>
  <c r="C306" i="6" s="1"/>
  <c r="D306" i="6" l="1"/>
  <c r="F306" i="6" s="1"/>
  <c r="B307" i="6" l="1"/>
  <c r="C307" i="6" l="1"/>
  <c r="D307" i="6" s="1"/>
  <c r="F307" i="6" s="1"/>
  <c r="B308" i="6" l="1"/>
  <c r="C308" i="6" s="1"/>
  <c r="D308" i="6" l="1"/>
  <c r="F308" i="6" s="1"/>
  <c r="B309" i="6" l="1"/>
  <c r="C309" i="6" l="1"/>
  <c r="D309" i="6" s="1"/>
  <c r="F309" i="6" s="1"/>
  <c r="B310" i="6" l="1"/>
  <c r="C310" i="6" l="1"/>
  <c r="D310" i="6" s="1"/>
  <c r="F310" i="6" s="1"/>
  <c r="B311" i="6" l="1"/>
  <c r="C311" i="6" s="1"/>
  <c r="D311" i="6" l="1"/>
  <c r="F311" i="6" s="1"/>
  <c r="B312" i="6" l="1"/>
  <c r="C312" i="6" s="1"/>
  <c r="D312" i="6" l="1"/>
  <c r="F312" i="6" s="1"/>
  <c r="B313" i="6" l="1"/>
  <c r="C313" i="6" s="1"/>
  <c r="D313" i="6" l="1"/>
  <c r="F313" i="6" s="1"/>
  <c r="B314" i="6" l="1"/>
  <c r="C314" i="6" l="1"/>
  <c r="D314" i="6" s="1"/>
  <c r="F314" i="6" s="1"/>
  <c r="B315" i="6" l="1"/>
  <c r="C315" i="6" l="1"/>
  <c r="D315" i="6" s="1"/>
  <c r="F315" i="6" s="1"/>
  <c r="B316" i="6" l="1"/>
  <c r="C316" i="6" s="1"/>
  <c r="D316" i="6" l="1"/>
  <c r="F316" i="6" s="1"/>
  <c r="B317" i="6" l="1"/>
  <c r="C317" i="6" s="1"/>
  <c r="D317" i="6" s="1"/>
  <c r="F317" i="6" s="1"/>
  <c r="B318" i="6" l="1"/>
  <c r="C318" i="6" l="1"/>
  <c r="D318" i="6" s="1"/>
  <c r="F318" i="6" s="1"/>
  <c r="B319" i="6" l="1"/>
  <c r="C319" i="6" s="1"/>
  <c r="D319" i="6" l="1"/>
  <c r="F319" i="6" s="1"/>
  <c r="B320" i="6" l="1"/>
  <c r="C320" i="6" l="1"/>
  <c r="D320" i="6" s="1"/>
  <c r="F320" i="6" s="1"/>
  <c r="B321" i="6" l="1"/>
  <c r="C321" i="6" s="1"/>
  <c r="D321" i="6" s="1"/>
  <c r="F321" i="6" s="1"/>
  <c r="B322" i="6" l="1"/>
  <c r="C322" i="6" l="1"/>
  <c r="D322" i="6" s="1"/>
  <c r="F322" i="6" s="1"/>
  <c r="B323" i="6" l="1"/>
  <c r="C323" i="6" l="1"/>
  <c r="D323" i="6" s="1"/>
  <c r="F323" i="6" s="1"/>
  <c r="B324" i="6" l="1"/>
  <c r="C324" i="6" s="1"/>
  <c r="D324" i="6" l="1"/>
  <c r="F324" i="6" s="1"/>
  <c r="B325" i="6" l="1"/>
  <c r="C325" i="6" l="1"/>
  <c r="D325" i="6" s="1"/>
  <c r="F325" i="6" s="1"/>
  <c r="B326" i="6" l="1"/>
  <c r="C326" i="6" l="1"/>
  <c r="D326" i="6" s="1"/>
  <c r="F326" i="6" s="1"/>
  <c r="B327" i="6" l="1"/>
  <c r="C327" i="6" s="1"/>
  <c r="D327" i="6" l="1"/>
  <c r="F327" i="6" s="1"/>
  <c r="B328" i="6" l="1"/>
  <c r="C328" i="6" s="1"/>
  <c r="D328" i="6" l="1"/>
  <c r="F328" i="6" s="1"/>
  <c r="B329" i="6" l="1"/>
  <c r="C329" i="6" s="1"/>
  <c r="D329" i="6" l="1"/>
  <c r="F329" i="6" s="1"/>
  <c r="B330" i="6" l="1"/>
  <c r="C330" i="6" s="1"/>
  <c r="D330" i="6" l="1"/>
  <c r="F330" i="6" s="1"/>
  <c r="B331" i="6" l="1"/>
  <c r="C331" i="6" s="1"/>
  <c r="D331" i="6" l="1"/>
  <c r="F331" i="6" s="1"/>
  <c r="B332" i="6" l="1"/>
  <c r="C332" i="6" s="1"/>
  <c r="D332" i="6" l="1"/>
  <c r="F332" i="6" s="1"/>
  <c r="B333" i="6" l="1"/>
  <c r="C333" i="6" s="1"/>
  <c r="D333" i="6" l="1"/>
  <c r="F333" i="6" s="1"/>
  <c r="B334" i="6" l="1"/>
  <c r="C334" i="6" l="1"/>
  <c r="D334" i="6" s="1"/>
  <c r="F334" i="6" s="1"/>
  <c r="B335" i="6" l="1"/>
  <c r="C335" i="6" s="1"/>
  <c r="D335" i="6" l="1"/>
  <c r="F335" i="6" s="1"/>
  <c r="B336" i="6" l="1"/>
  <c r="C336" i="6" s="1"/>
  <c r="D336" i="6" l="1"/>
  <c r="F336" i="6" s="1"/>
  <c r="B337" i="6" l="1"/>
  <c r="C337" i="6" s="1"/>
  <c r="D337" i="6" l="1"/>
  <c r="F337" i="6" s="1"/>
  <c r="B338" i="6" l="1"/>
  <c r="C338" i="6" s="1"/>
  <c r="D338" i="6" l="1"/>
  <c r="F338" i="6" s="1"/>
  <c r="B339" i="6" l="1"/>
  <c r="C339" i="6" s="1"/>
  <c r="D339" i="6" l="1"/>
  <c r="F339" i="6" s="1"/>
  <c r="B340" i="6" l="1"/>
  <c r="C340" i="6" l="1"/>
  <c r="D340" i="6" s="1"/>
  <c r="F340" i="6" s="1"/>
  <c r="B341" i="6" l="1"/>
  <c r="C341" i="6" l="1"/>
  <c r="D341" i="6" s="1"/>
  <c r="F341" i="6" s="1"/>
  <c r="B342" i="6" l="1"/>
  <c r="C342" i="6" s="1"/>
  <c r="D342" i="6" l="1"/>
  <c r="F342" i="6" s="1"/>
  <c r="B343" i="6" l="1"/>
  <c r="C343" i="6" l="1"/>
  <c r="D343" i="6" s="1"/>
  <c r="F343" i="6" s="1"/>
  <c r="B344" i="6" l="1"/>
  <c r="C344" i="6" s="1"/>
  <c r="D344" i="6" l="1"/>
  <c r="F344" i="6" s="1"/>
  <c r="B345" i="6" l="1"/>
  <c r="C345" i="6" s="1"/>
  <c r="D345" i="6" l="1"/>
  <c r="F345" i="6" s="1"/>
  <c r="B346" i="6" l="1"/>
  <c r="C346" i="6" s="1"/>
  <c r="D346" i="6" l="1"/>
  <c r="F346" i="6" s="1"/>
  <c r="B347" i="6" l="1"/>
  <c r="C347" i="6" s="1"/>
  <c r="D347" i="6" l="1"/>
  <c r="F347" i="6" s="1"/>
  <c r="B348" i="6" l="1"/>
  <c r="C348" i="6" s="1"/>
  <c r="D348" i="6" l="1"/>
  <c r="F348" i="6" s="1"/>
  <c r="B349" i="6" l="1"/>
  <c r="C349" i="6" s="1"/>
  <c r="D349" i="6" l="1"/>
  <c r="F349" i="6" s="1"/>
  <c r="B350" i="6" l="1"/>
  <c r="C350" i="6" l="1"/>
  <c r="D350" i="6" s="1"/>
  <c r="F350" i="6" s="1"/>
  <c r="B351" i="6" l="1"/>
  <c r="C351" i="6" s="1"/>
  <c r="D351" i="6" l="1"/>
  <c r="F351" i="6" s="1"/>
  <c r="B352" i="6" l="1"/>
  <c r="C352" i="6" l="1"/>
  <c r="D352" i="6" s="1"/>
  <c r="F352" i="6" s="1"/>
  <c r="B353" i="6" l="1"/>
  <c r="C353" i="6" s="1"/>
  <c r="D353" i="6" l="1"/>
  <c r="F353" i="6" s="1"/>
  <c r="B354" i="6" l="1"/>
  <c r="C354" i="6" s="1"/>
  <c r="D354" i="6" l="1"/>
  <c r="F354" i="6" s="1"/>
  <c r="B355" i="6" l="1"/>
  <c r="C355" i="6" s="1"/>
  <c r="D355" i="6" l="1"/>
  <c r="F355" i="6" s="1"/>
  <c r="B356" i="6" l="1"/>
  <c r="C356" i="6" l="1"/>
  <c r="D356" i="6" s="1"/>
  <c r="F356" i="6" s="1"/>
  <c r="B357" i="6" l="1"/>
  <c r="C357" i="6" l="1"/>
  <c r="D357" i="6" s="1"/>
  <c r="F357" i="6" s="1"/>
  <c r="B358" i="6" l="1"/>
  <c r="C358" i="6" l="1"/>
  <c r="D358" i="6" s="1"/>
  <c r="F358" i="6" s="1"/>
  <c r="B359" i="6" l="1"/>
  <c r="C359" i="6" l="1"/>
  <c r="D359" i="6" s="1"/>
  <c r="F359" i="6" s="1"/>
  <c r="B360" i="6" l="1"/>
  <c r="C360" i="6" s="1"/>
  <c r="D360" i="6" l="1"/>
  <c r="F360" i="6" s="1"/>
  <c r="B361" i="6" l="1"/>
  <c r="C361" i="6" l="1"/>
  <c r="D361" i="6" s="1"/>
  <c r="F361" i="6" s="1"/>
  <c r="B362" i="6" l="1"/>
  <c r="C362" i="6" s="1"/>
  <c r="D362" i="6" l="1"/>
  <c r="F362" i="6" s="1"/>
  <c r="B363" i="6" l="1"/>
  <c r="C363" i="6" s="1"/>
  <c r="D363" i="6" l="1"/>
  <c r="F363" i="6" s="1"/>
  <c r="B364" i="6" l="1"/>
  <c r="C364" i="6" s="1"/>
  <c r="D364" i="6" l="1"/>
  <c r="F364" i="6" s="1"/>
  <c r="B365" i="6" l="1"/>
  <c r="C365" i="6" s="1"/>
  <c r="D365" i="6" l="1"/>
  <c r="F365" i="6" s="1"/>
  <c r="B366" i="6" l="1"/>
  <c r="C366" i="6" l="1"/>
  <c r="D366" i="6" s="1"/>
  <c r="F366" i="6" s="1"/>
  <c r="B367" i="6" l="1"/>
  <c r="C367" i="6" s="1"/>
  <c r="D367" i="6" l="1"/>
  <c r="F367" i="6" s="1"/>
  <c r="B368" i="6" l="1"/>
  <c r="C368" i="6" l="1"/>
  <c r="D368" i="6" s="1"/>
  <c r="F368" i="6" s="1"/>
  <c r="B369" i="6" l="1"/>
  <c r="C369" i="6" s="1"/>
  <c r="D369" i="6" l="1"/>
  <c r="F369" i="6" s="1"/>
  <c r="B370" i="6" l="1"/>
  <c r="C370" i="6" s="1"/>
  <c r="D370" i="6" l="1"/>
  <c r="F370" i="6" s="1"/>
  <c r="B371" i="6" l="1"/>
  <c r="C371" i="6" s="1"/>
  <c r="D371" i="6" l="1"/>
  <c r="F371" i="6" s="1"/>
  <c r="B372" i="6" l="1"/>
  <c r="C372" i="6" s="1"/>
  <c r="D372" i="6" l="1"/>
  <c r="F372" i="6" s="1"/>
  <c r="B373" i="6" l="1"/>
  <c r="C373" i="6" l="1"/>
  <c r="D373" i="6" s="1"/>
  <c r="F373" i="6" s="1"/>
  <c r="B374" i="6" l="1"/>
  <c r="C374" i="6" s="1"/>
  <c r="D374" i="6" l="1"/>
  <c r="F374" i="6" s="1"/>
  <c r="B375" i="6" l="1"/>
  <c r="C375" i="6" l="1"/>
  <c r="D375" i="6" s="1"/>
  <c r="F375" i="6" s="1"/>
  <c r="B376" i="6" l="1"/>
  <c r="C376" i="6" s="1"/>
  <c r="D376" i="6" l="1"/>
  <c r="F376" i="6" s="1"/>
  <c r="B377" i="6" l="1"/>
  <c r="C377" i="6" s="1"/>
  <c r="D377" i="6" l="1"/>
  <c r="F377" i="6" s="1"/>
  <c r="B378" i="6" l="1"/>
  <c r="C378" i="6" s="1"/>
  <c r="D378" i="6" l="1"/>
  <c r="F378" i="6" s="1"/>
  <c r="B379" i="6" l="1"/>
  <c r="C379" i="6" s="1"/>
  <c r="D379" i="6" l="1"/>
  <c r="F379" i="6" s="1"/>
  <c r="B380" i="6" l="1"/>
  <c r="C380" i="6" l="1"/>
  <c r="D380" i="6" s="1"/>
  <c r="F380" i="6" s="1"/>
  <c r="B381" i="6" l="1"/>
  <c r="C381" i="6" s="1"/>
  <c r="D381" i="6" l="1"/>
  <c r="F381" i="6" s="1"/>
  <c r="B382" i="6" l="1"/>
  <c r="C382" i="6" l="1"/>
  <c r="D382" i="6" s="1"/>
  <c r="F382" i="6" s="1"/>
  <c r="B383" i="6" l="1"/>
  <c r="C383" i="6" s="1"/>
  <c r="D383" i="6" l="1"/>
  <c r="F383" i="6" s="1"/>
  <c r="B384" i="6" l="1"/>
  <c r="C384" i="6" s="1"/>
  <c r="D384" i="6" l="1"/>
  <c r="F384" i="6" s="1"/>
  <c r="B385" i="6" l="1"/>
  <c r="C385" i="6" s="1"/>
  <c r="D385" i="6" l="1"/>
  <c r="F385" i="6" s="1"/>
  <c r="B386" i="6" l="1"/>
  <c r="C386" i="6" s="1"/>
  <c r="D386" i="6" l="1"/>
  <c r="F386" i="6" s="1"/>
  <c r="B387" i="6" l="1"/>
  <c r="C387" i="6" s="1"/>
  <c r="D387" i="6" l="1"/>
  <c r="F387" i="6" s="1"/>
  <c r="B388" i="6" l="1"/>
  <c r="C388" i="6" s="1"/>
  <c r="D388" i="6" l="1"/>
  <c r="F388" i="6" s="1"/>
  <c r="B389" i="6" l="1"/>
  <c r="C389" i="6" l="1"/>
  <c r="D389" i="6" s="1"/>
  <c r="F389" i="6" s="1"/>
  <c r="B390" i="6" l="1"/>
  <c r="C390" i="6" s="1"/>
  <c r="D390" i="6" l="1"/>
  <c r="F390" i="6" s="1"/>
  <c r="B391" i="6" l="1"/>
  <c r="C391" i="6" s="1"/>
  <c r="D391" i="6" l="1"/>
  <c r="F391" i="6" s="1"/>
  <c r="B392" i="6" l="1"/>
  <c r="C392" i="6" s="1"/>
  <c r="D392" i="6" l="1"/>
  <c r="F392" i="6" s="1"/>
  <c r="B393" i="6" l="1"/>
  <c r="C393" i="6" s="1"/>
  <c r="D393" i="6" l="1"/>
  <c r="F393" i="6" s="1"/>
  <c r="B394" i="6" l="1"/>
  <c r="C394" i="6" s="1"/>
  <c r="D394" i="6" l="1"/>
  <c r="F394" i="6" s="1"/>
  <c r="B395" i="6" l="1"/>
  <c r="C395" i="6" l="1"/>
  <c r="D395" i="6" s="1"/>
  <c r="F395" i="6" s="1"/>
  <c r="B396" i="6" l="1"/>
  <c r="C396" i="6" s="1"/>
  <c r="D396" i="6" l="1"/>
  <c r="F396" i="6" s="1"/>
  <c r="B397" i="6" l="1"/>
  <c r="C397" i="6" s="1"/>
  <c r="D397" i="6" l="1"/>
  <c r="F397" i="6" s="1"/>
  <c r="B398" i="6" l="1"/>
  <c r="C398" i="6" s="1"/>
  <c r="D398" i="6" l="1"/>
  <c r="F398" i="6" s="1"/>
  <c r="B399" i="6" l="1"/>
  <c r="C399" i="6" s="1"/>
  <c r="D399" i="6" l="1"/>
  <c r="F399" i="6" s="1"/>
  <c r="B400" i="6" l="1"/>
  <c r="C400" i="6" s="1"/>
  <c r="D400" i="6" l="1"/>
  <c r="F400" i="6" s="1"/>
  <c r="B401" i="6" l="1"/>
  <c r="C401" i="6" s="1"/>
  <c r="D401" i="6" l="1"/>
  <c r="F401" i="6" s="1"/>
  <c r="B402" i="6" l="1"/>
  <c r="C402" i="6" s="1"/>
  <c r="D402" i="6" l="1"/>
  <c r="F402" i="6" s="1"/>
  <c r="B403" i="6" l="1"/>
  <c r="C403" i="6" s="1"/>
  <c r="D403" i="6" l="1"/>
  <c r="F403" i="6" s="1"/>
  <c r="B404" i="6" l="1"/>
  <c r="C404" i="6" l="1"/>
  <c r="D404" i="6" s="1"/>
  <c r="F404" i="6" s="1"/>
  <c r="B405" i="6" l="1"/>
  <c r="C405" i="6" s="1"/>
  <c r="D405" i="6" l="1"/>
  <c r="F405" i="6" s="1"/>
  <c r="B406" i="6" l="1"/>
  <c r="C406" i="6" s="1"/>
  <c r="D406" i="6" l="1"/>
  <c r="F406" i="6" s="1"/>
  <c r="B407" i="6" l="1"/>
  <c r="C407" i="6" l="1"/>
  <c r="D407" i="6" s="1"/>
  <c r="F407" i="6" s="1"/>
  <c r="B408" i="6" l="1"/>
  <c r="C408" i="6" s="1"/>
  <c r="D408" i="6" l="1"/>
  <c r="F408" i="6" s="1"/>
  <c r="B409" i="6" l="1"/>
  <c r="C409" i="6" s="1"/>
  <c r="D409" i="6" l="1"/>
  <c r="F409" i="6" s="1"/>
  <c r="B410" i="6" l="1"/>
  <c r="C410" i="6" s="1"/>
  <c r="D410" i="6" l="1"/>
  <c r="F410" i="6" s="1"/>
  <c r="B411" i="6" l="1"/>
  <c r="C411" i="6" s="1"/>
  <c r="D411" i="6" l="1"/>
  <c r="F411" i="6" s="1"/>
  <c r="B412" i="6" l="1"/>
  <c r="C412" i="6" s="1"/>
  <c r="D412" i="6" l="1"/>
  <c r="F412" i="6" s="1"/>
  <c r="B413" i="6" l="1"/>
  <c r="C413" i="6" s="1"/>
  <c r="D413" i="6" l="1"/>
  <c r="F413" i="6" s="1"/>
  <c r="B414" i="6" l="1"/>
  <c r="C414" i="6" l="1"/>
  <c r="D414" i="6" s="1"/>
  <c r="F414" i="6" s="1"/>
  <c r="B415" i="6" l="1"/>
  <c r="C415" i="6" s="1"/>
  <c r="D415" i="6" l="1"/>
  <c r="F415" i="6" s="1"/>
  <c r="B416" i="6" l="1"/>
  <c r="C416" i="6" s="1"/>
  <c r="D416" i="6" l="1"/>
  <c r="F416" i="6" s="1"/>
  <c r="B417" i="6" l="1"/>
  <c r="C417" i="6" l="1"/>
  <c r="D417" i="6" s="1"/>
  <c r="F417" i="6" s="1"/>
  <c r="B418" i="6" l="1"/>
  <c r="C418" i="6" s="1"/>
  <c r="D418" i="6" l="1"/>
  <c r="F418" i="6" s="1"/>
  <c r="B419" i="6" l="1"/>
  <c r="C419" i="6" l="1"/>
  <c r="D419" i="6" s="1"/>
  <c r="F419" i="6" s="1"/>
  <c r="B420" i="6" l="1"/>
  <c r="C420" i="6" l="1"/>
  <c r="D420" i="6" s="1"/>
  <c r="F420" i="6" s="1"/>
  <c r="B421" i="6" l="1"/>
  <c r="C421" i="6" s="1"/>
  <c r="D421" i="6" l="1"/>
  <c r="F421" i="6" s="1"/>
  <c r="B422" i="6" l="1"/>
  <c r="C422" i="6" s="1"/>
  <c r="D422" i="6" l="1"/>
  <c r="F422" i="6" s="1"/>
  <c r="B423" i="6" l="1"/>
  <c r="C423" i="6" s="1"/>
  <c r="D423" i="6" l="1"/>
  <c r="F423" i="6" s="1"/>
  <c r="B424" i="6" l="1"/>
  <c r="C424" i="6" l="1"/>
  <c r="D424" i="6" s="1"/>
  <c r="F424" i="6" s="1"/>
  <c r="B425" i="6" l="1"/>
  <c r="C425" i="6" s="1"/>
  <c r="D425" i="6" l="1"/>
  <c r="F425" i="6" s="1"/>
  <c r="B426" i="6" l="1"/>
  <c r="C426" i="6" l="1"/>
  <c r="D426" i="6" s="1"/>
  <c r="F426" i="6" s="1"/>
  <c r="B427" i="6" l="1"/>
  <c r="C427" i="6" s="1"/>
  <c r="D427" i="6" l="1"/>
  <c r="F427" i="6" s="1"/>
  <c r="B428" i="6" l="1"/>
  <c r="C428" i="6" l="1"/>
  <c r="D428" i="6" s="1"/>
  <c r="F428" i="6" s="1"/>
  <c r="B429" i="6" l="1"/>
  <c r="C429" i="6" s="1"/>
  <c r="D429" i="6" l="1"/>
  <c r="F429" i="6" s="1"/>
  <c r="B430" i="6" l="1"/>
  <c r="C430" i="6" s="1"/>
  <c r="D430" i="6" l="1"/>
  <c r="F430" i="6" s="1"/>
  <c r="B431" i="6" l="1"/>
  <c r="C431" i="6" s="1"/>
  <c r="D431" i="6" l="1"/>
  <c r="F431" i="6" s="1"/>
  <c r="B432" i="6" l="1"/>
  <c r="C432" i="6" s="1"/>
  <c r="D432" i="6" s="1"/>
  <c r="F432" i="6" s="1"/>
  <c r="B433" i="6" l="1"/>
  <c r="C433" i="6" s="1"/>
  <c r="D433" i="6" l="1"/>
  <c r="F433" i="6" s="1"/>
  <c r="B434" i="6" l="1"/>
  <c r="C434" i="6" s="1"/>
  <c r="D434" i="6" l="1"/>
  <c r="F434" i="6" s="1"/>
  <c r="B435" i="6" l="1"/>
  <c r="C435" i="6" s="1"/>
  <c r="D435" i="6" l="1"/>
  <c r="F435" i="6" s="1"/>
  <c r="B436" i="6" l="1"/>
  <c r="C436" i="6" s="1"/>
  <c r="D436" i="6" l="1"/>
  <c r="F436" i="6" s="1"/>
  <c r="B437" i="6" l="1"/>
  <c r="C437" i="6" s="1"/>
  <c r="D437" i="6" l="1"/>
  <c r="F437" i="6" s="1"/>
  <c r="B438" i="6" l="1"/>
  <c r="C438" i="6" s="1"/>
  <c r="D438" i="6" s="1"/>
  <c r="F438" i="6" s="1"/>
  <c r="B439" i="6" l="1"/>
  <c r="C439" i="6" s="1"/>
  <c r="D439" i="6" l="1"/>
  <c r="F439" i="6" s="1"/>
  <c r="B440" i="6" l="1"/>
  <c r="C440" i="6" s="1"/>
  <c r="D440" i="6" l="1"/>
  <c r="F440" i="6" s="1"/>
  <c r="B441" i="6" l="1"/>
  <c r="C441" i="6" s="1"/>
  <c r="D441" i="6" l="1"/>
  <c r="F441" i="6" s="1"/>
  <c r="B442" i="6" l="1"/>
  <c r="C442" i="6" s="1"/>
  <c r="D442" i="6" l="1"/>
  <c r="F442" i="6" s="1"/>
  <c r="B443" i="6" l="1"/>
  <c r="C443" i="6" s="1"/>
  <c r="D443" i="6" l="1"/>
  <c r="F443" i="6" s="1"/>
  <c r="B444" i="6" l="1"/>
  <c r="C444" i="6" s="1"/>
  <c r="D444" i="6" l="1"/>
  <c r="F444" i="6" s="1"/>
  <c r="B445" i="6" l="1"/>
  <c r="C445" i="6" l="1"/>
  <c r="D445" i="6" s="1"/>
  <c r="F445" i="6" s="1"/>
  <c r="B446" i="6" l="1"/>
  <c r="C446" i="6" s="1"/>
  <c r="D446" i="6" l="1"/>
  <c r="F446" i="6" s="1"/>
  <c r="B447" i="6" l="1"/>
  <c r="C447" i="6" l="1"/>
  <c r="D447" i="6" s="1"/>
  <c r="F447" i="6" s="1"/>
  <c r="B448" i="6" l="1"/>
  <c r="C448" i="6" s="1"/>
  <c r="D448" i="6" l="1"/>
  <c r="F448" i="6" s="1"/>
  <c r="B449" i="6" l="1"/>
  <c r="C449" i="6" s="1"/>
  <c r="D449" i="6" l="1"/>
  <c r="F449" i="6" s="1"/>
  <c r="B450" i="6" l="1"/>
  <c r="C450" i="6" s="1"/>
  <c r="D450" i="6" l="1"/>
  <c r="F450" i="6" s="1"/>
  <c r="B451" i="6" l="1"/>
  <c r="C451" i="6" s="1"/>
  <c r="D451" i="6" l="1"/>
  <c r="F451" i="6" s="1"/>
  <c r="B452" i="6" l="1"/>
  <c r="C452" i="6" s="1"/>
  <c r="D452" i="6" l="1"/>
  <c r="F452" i="6" s="1"/>
  <c r="B453" i="6" l="1"/>
  <c r="C453" i="6" s="1"/>
  <c r="D453" i="6" l="1"/>
  <c r="F453" i="6" s="1"/>
  <c r="B454" i="6" l="1"/>
  <c r="C454" i="6" s="1"/>
  <c r="D454" i="6" l="1"/>
  <c r="F454" i="6" s="1"/>
  <c r="B455" i="6" l="1"/>
  <c r="C455" i="6" s="1"/>
  <c r="D455" i="6" l="1"/>
  <c r="F455" i="6" s="1"/>
  <c r="B456" i="6" l="1"/>
  <c r="C456" i="6" s="1"/>
  <c r="D456" i="6" l="1"/>
  <c r="F456" i="6" s="1"/>
  <c r="B457" i="6" l="1"/>
  <c r="C457" i="6" s="1"/>
  <c r="D457" i="6" l="1"/>
  <c r="F457" i="6" s="1"/>
  <c r="B458" i="6" l="1"/>
  <c r="C458" i="6" s="1"/>
  <c r="D458" i="6" l="1"/>
  <c r="F458" i="6" s="1"/>
  <c r="B459" i="6" l="1"/>
  <c r="C459" i="6" s="1"/>
  <c r="D459" i="6" l="1"/>
  <c r="F459" i="6" s="1"/>
  <c r="B460" i="6" l="1"/>
  <c r="C460" i="6" s="1"/>
  <c r="D460" i="6" s="1"/>
  <c r="F460" i="6" s="1"/>
  <c r="B461" i="6" l="1"/>
  <c r="C461" i="6" l="1"/>
  <c r="D461" i="6" s="1"/>
  <c r="F461" i="6" s="1"/>
  <c r="B462" i="6" l="1"/>
  <c r="C462" i="6" s="1"/>
  <c r="D462" i="6" l="1"/>
  <c r="F462" i="6" s="1"/>
  <c r="B463" i="6" l="1"/>
  <c r="C463" i="6" l="1"/>
  <c r="D463" i="6" s="1"/>
  <c r="F463" i="6" s="1"/>
  <c r="B464" i="6" l="1"/>
  <c r="C464" i="6" s="1"/>
  <c r="D464" i="6" l="1"/>
  <c r="F464" i="6" s="1"/>
  <c r="B465" i="6" l="1"/>
  <c r="C465" i="6" s="1"/>
  <c r="D465" i="6" s="1"/>
  <c r="F465" i="6" s="1"/>
  <c r="B466" i="6" l="1"/>
  <c r="C466" i="6" s="1"/>
  <c r="D466" i="6" l="1"/>
  <c r="F466" i="6" s="1"/>
  <c r="B467" i="6" l="1"/>
  <c r="C467" i="6" l="1"/>
  <c r="D467" i="6" s="1"/>
  <c r="F467" i="6" s="1"/>
  <c r="B468" i="6" l="1"/>
  <c r="C468" i="6" s="1"/>
  <c r="D468" i="6" s="1"/>
  <c r="F468" i="6" s="1"/>
  <c r="B469" i="6" l="1"/>
  <c r="C469" i="6" s="1"/>
  <c r="D469" i="6" l="1"/>
  <c r="F469" i="6" s="1"/>
  <c r="B470" i="6" l="1"/>
  <c r="C470" i="6" s="1"/>
  <c r="D470" i="6" l="1"/>
  <c r="F470" i="6" s="1"/>
  <c r="B471" i="6" l="1"/>
  <c r="C471" i="6" s="1"/>
  <c r="D471" i="6" l="1"/>
  <c r="F471" i="6" s="1"/>
  <c r="B472" i="6" l="1"/>
  <c r="C472" i="6" s="1"/>
  <c r="D472" i="6" l="1"/>
  <c r="F472" i="6" s="1"/>
  <c r="B473" i="6" l="1"/>
  <c r="C473" i="6" s="1"/>
  <c r="D473" i="6" l="1"/>
  <c r="F473" i="6" s="1"/>
  <c r="B474" i="6" l="1"/>
  <c r="C474" i="6" s="1"/>
  <c r="D474" i="6" l="1"/>
  <c r="F474" i="6" s="1"/>
  <c r="B475" i="6" l="1"/>
  <c r="C475" i="6" l="1"/>
  <c r="D475" i="6" s="1"/>
  <c r="F475" i="6" s="1"/>
  <c r="B476" i="6" l="1"/>
  <c r="C476" i="6" s="1"/>
  <c r="D476" i="6" l="1"/>
  <c r="F476" i="6" s="1"/>
  <c r="B477" i="6" l="1"/>
  <c r="C477" i="6" l="1"/>
  <c r="D477" i="6" s="1"/>
  <c r="F477" i="6" s="1"/>
  <c r="B478" i="6" l="1"/>
  <c r="C478" i="6" s="1"/>
  <c r="D478" i="6" l="1"/>
  <c r="F478" i="6" s="1"/>
  <c r="B479" i="6" l="1"/>
  <c r="C479" i="6" s="1"/>
  <c r="D479" i="6" l="1"/>
  <c r="F479" i="6" s="1"/>
  <c r="B480" i="6" l="1"/>
  <c r="C480" i="6" s="1"/>
  <c r="D480" i="6" l="1"/>
  <c r="F480" i="6" s="1"/>
  <c r="B481" i="6" l="1"/>
  <c r="C481" i="6" l="1"/>
  <c r="D481" i="6" s="1"/>
  <c r="F481" i="6" s="1"/>
  <c r="B482" i="6" l="1"/>
  <c r="C482" i="6" s="1"/>
  <c r="D482" i="6" l="1"/>
  <c r="F482" i="6" s="1"/>
  <c r="B483" i="6" l="1"/>
  <c r="C483" i="6" s="1"/>
  <c r="D483" i="6" l="1"/>
  <c r="F483" i="6" s="1"/>
  <c r="B484" i="6" l="1"/>
  <c r="C484" i="6" s="1"/>
  <c r="D484" i="6" l="1"/>
  <c r="F484" i="6" s="1"/>
  <c r="B485" i="6" l="1"/>
  <c r="C485" i="6" s="1"/>
  <c r="D485" i="6" l="1"/>
  <c r="F485" i="6" s="1"/>
  <c r="B486" i="6" l="1"/>
  <c r="C486" i="6" s="1"/>
  <c r="D486" i="6" l="1"/>
  <c r="F486" i="6" s="1"/>
  <c r="B487" i="6" l="1"/>
  <c r="C487" i="6" s="1"/>
  <c r="D487" i="6" l="1"/>
  <c r="F487" i="6" s="1"/>
  <c r="B488" i="6" l="1"/>
  <c r="C488" i="6" s="1"/>
  <c r="D488" i="6" l="1"/>
  <c r="F488" i="6" s="1"/>
  <c r="B489" i="6" l="1"/>
  <c r="C489" i="6" s="1"/>
  <c r="D489" i="6" l="1"/>
  <c r="F489" i="6" s="1"/>
  <c r="B490" i="6" l="1"/>
  <c r="C490" i="6" s="1"/>
  <c r="D490" i="6" l="1"/>
  <c r="F490" i="6" s="1"/>
  <c r="B491" i="6" l="1"/>
  <c r="C491" i="6" l="1"/>
  <c r="D491" i="6" s="1"/>
  <c r="F491" i="6" s="1"/>
  <c r="B492" i="6" l="1"/>
  <c r="C492" i="6" s="1"/>
  <c r="D492" i="6" l="1"/>
  <c r="F492" i="6" s="1"/>
  <c r="B493" i="6" l="1"/>
  <c r="C493" i="6" l="1"/>
  <c r="D493" i="6" s="1"/>
  <c r="F493" i="6" s="1"/>
  <c r="B494" i="6" l="1"/>
  <c r="C494" i="6" s="1"/>
  <c r="D494" i="6" l="1"/>
  <c r="F494" i="6" s="1"/>
  <c r="B495" i="6" l="1"/>
  <c r="C495" i="6" l="1"/>
  <c r="D495" i="6" s="1"/>
  <c r="F495" i="6" s="1"/>
  <c r="B496" i="6" l="1"/>
  <c r="C496" i="6" s="1"/>
  <c r="D496" i="6" l="1"/>
  <c r="F496" i="6" s="1"/>
  <c r="B497" i="6" l="1"/>
  <c r="C497" i="6" s="1"/>
  <c r="D497" i="6" l="1"/>
  <c r="F497" i="6" s="1"/>
  <c r="B498" i="6" l="1"/>
  <c r="C498" i="6" s="1"/>
  <c r="D498" i="6" l="1"/>
  <c r="F498" i="6" s="1"/>
  <c r="B499" i="6" l="1"/>
  <c r="C499" i="6" l="1"/>
  <c r="D499" i="6" s="1"/>
  <c r="F499" i="6" s="1"/>
  <c r="B500" i="6" l="1"/>
  <c r="C500" i="6" s="1"/>
  <c r="D500" i="6" l="1"/>
  <c r="F500" i="6" s="1"/>
  <c r="B501" i="6" l="1"/>
  <c r="C501" i="6" s="1"/>
  <c r="D501" i="6" l="1"/>
  <c r="F501" i="6" s="1"/>
  <c r="B502" i="6" l="1"/>
  <c r="C502" i="6" s="1"/>
  <c r="D502" i="6" l="1"/>
  <c r="F502" i="6" s="1"/>
  <c r="B503" i="6" l="1"/>
  <c r="C503" i="6" s="1"/>
  <c r="D503" i="6" l="1"/>
  <c r="F503" i="6" s="1"/>
  <c r="B504" i="6" l="1"/>
  <c r="C504" i="6" s="1"/>
  <c r="D504" i="6" s="1"/>
  <c r="F504" i="6" s="1"/>
  <c r="B505" i="6" l="1"/>
  <c r="C505" i="6" l="1"/>
  <c r="D505" i="6" s="1"/>
  <c r="F505" i="6" s="1"/>
  <c r="B506" i="6" l="1"/>
  <c r="C506" i="6" s="1"/>
  <c r="D506" i="6" l="1"/>
  <c r="F506" i="6" s="1"/>
  <c r="B507" i="6" l="1"/>
  <c r="C507" i="6" l="1"/>
  <c r="D507" i="6" s="1"/>
  <c r="F507" i="6" s="1"/>
  <c r="B508" i="6" l="1"/>
  <c r="C508" i="6" s="1"/>
  <c r="D508" i="6" l="1"/>
  <c r="F508" i="6" s="1"/>
  <c r="B509" i="6" l="1"/>
  <c r="C509" i="6" l="1"/>
  <c r="D509" i="6" s="1"/>
  <c r="F509" i="6" s="1"/>
  <c r="B510" i="6" l="1"/>
  <c r="C510" i="6" s="1"/>
  <c r="D510" i="6" l="1"/>
  <c r="F510" i="6" s="1"/>
  <c r="B511" i="6" l="1"/>
  <c r="C511" i="6" l="1"/>
  <c r="D511" i="6" s="1"/>
  <c r="F511" i="6" s="1"/>
  <c r="B512" i="6" l="1"/>
  <c r="C512" i="6" s="1"/>
  <c r="D512" i="6" l="1"/>
  <c r="F512" i="6" s="1"/>
  <c r="B513" i="6" l="1"/>
  <c r="C513" i="6" s="1"/>
  <c r="D513" i="6" l="1"/>
  <c r="F513" i="6" s="1"/>
  <c r="B514" i="6" l="1"/>
  <c r="C514" i="6" s="1"/>
  <c r="D514" i="6" l="1"/>
  <c r="F514" i="6" s="1"/>
  <c r="B515" i="6" l="1"/>
  <c r="C515" i="6" l="1"/>
  <c r="D515" i="6" s="1"/>
  <c r="F515" i="6" s="1"/>
  <c r="B516" i="6" l="1"/>
  <c r="C516" i="6" s="1"/>
  <c r="D516" i="6" l="1"/>
  <c r="F516" i="6" s="1"/>
  <c r="B517" i="6" l="1"/>
  <c r="C517" i="6" s="1"/>
  <c r="D517" i="6" l="1"/>
  <c r="F517" i="6" s="1"/>
  <c r="B518" i="6" l="1"/>
  <c r="C518" i="6" s="1"/>
  <c r="D518" i="6" l="1"/>
  <c r="F518" i="6" s="1"/>
  <c r="B519" i="6" l="1"/>
  <c r="C519" i="6" s="1"/>
  <c r="D519" i="6" s="1"/>
  <c r="F519" i="6" s="1"/>
  <c r="B520" i="6" l="1"/>
  <c r="C520" i="6" s="1"/>
  <c r="D520" i="6" l="1"/>
  <c r="F520" i="6" s="1"/>
  <c r="B521" i="6" l="1"/>
  <c r="C521" i="6" s="1"/>
  <c r="D521" i="6" l="1"/>
  <c r="F521" i="6" s="1"/>
  <c r="B522" i="6" l="1"/>
  <c r="C522" i="6" s="1"/>
  <c r="D522" i="6" l="1"/>
  <c r="F522" i="6" s="1"/>
  <c r="B523" i="6" l="1"/>
  <c r="C523" i="6" l="1"/>
  <c r="D523" i="6" s="1"/>
  <c r="F523" i="6" s="1"/>
  <c r="B524" i="6" l="1"/>
  <c r="C524" i="6" s="1"/>
  <c r="D524" i="6" l="1"/>
  <c r="F524" i="6" s="1"/>
  <c r="B525" i="6" l="1"/>
  <c r="C525" i="6" l="1"/>
  <c r="D525" i="6" s="1"/>
  <c r="F525" i="6" s="1"/>
  <c r="B526" i="6" l="1"/>
  <c r="C526" i="6" s="1"/>
  <c r="D526" i="6" l="1"/>
  <c r="F526" i="6" s="1"/>
  <c r="B527" i="6" l="1"/>
  <c r="C527" i="6" l="1"/>
  <c r="D527" i="6" s="1"/>
  <c r="F527" i="6" s="1"/>
  <c r="B528" i="6" l="1"/>
  <c r="C528" i="6" s="1"/>
  <c r="D528" i="6" l="1"/>
  <c r="F528" i="6" s="1"/>
  <c r="B529" i="6" l="1"/>
  <c r="C529" i="6" l="1"/>
  <c r="D529" i="6" s="1"/>
  <c r="F529" i="6" s="1"/>
  <c r="B530" i="6" l="1"/>
  <c r="C530" i="6" s="1"/>
  <c r="D530" i="6" l="1"/>
  <c r="F530" i="6" s="1"/>
  <c r="B531" i="6" l="1"/>
  <c r="C531" i="6" s="1"/>
  <c r="D531" i="6" l="1"/>
  <c r="F531" i="6" s="1"/>
  <c r="B532" i="6" l="1"/>
  <c r="C532" i="6" s="1"/>
  <c r="D532" i="6" l="1"/>
  <c r="F532" i="6" s="1"/>
  <c r="B533" i="6" l="1"/>
  <c r="C533" i="6" s="1"/>
  <c r="D533" i="6" l="1"/>
  <c r="F533" i="6" s="1"/>
  <c r="B534" i="6" l="1"/>
  <c r="C534" i="6" s="1"/>
  <c r="D534" i="6" l="1"/>
  <c r="F534" i="6" s="1"/>
  <c r="B535" i="6" l="1"/>
  <c r="C535" i="6" s="1"/>
  <c r="D535" i="6" l="1"/>
  <c r="F535" i="6" s="1"/>
  <c r="B536" i="6" l="1"/>
  <c r="C536" i="6" s="1"/>
  <c r="D536" i="6" l="1"/>
  <c r="F536" i="6" s="1"/>
  <c r="B537" i="6" l="1"/>
  <c r="C537" i="6" s="1"/>
  <c r="D537" i="6" l="1"/>
  <c r="F537" i="6" s="1"/>
  <c r="B538" i="6" l="1"/>
  <c r="C538" i="6" s="1"/>
  <c r="D538" i="6" l="1"/>
  <c r="F538" i="6" s="1"/>
  <c r="B539" i="6" l="1"/>
  <c r="C539" i="6" l="1"/>
  <c r="D539" i="6" s="1"/>
  <c r="F539" i="6" s="1"/>
  <c r="B540" i="6" l="1"/>
  <c r="C540" i="6" s="1"/>
  <c r="D540" i="6" l="1"/>
  <c r="F540" i="6" s="1"/>
  <c r="B541" i="6" l="1"/>
  <c r="C541" i="6" l="1"/>
  <c r="D541" i="6" s="1"/>
  <c r="F541" i="6" s="1"/>
  <c r="B542" i="6" l="1"/>
  <c r="C542" i="6" s="1"/>
  <c r="D542" i="6" l="1"/>
  <c r="F542" i="6" s="1"/>
  <c r="B543" i="6" l="1"/>
  <c r="C543" i="6" l="1"/>
  <c r="D543" i="6" s="1"/>
  <c r="F543" i="6" s="1"/>
  <c r="B544" i="6" l="1"/>
  <c r="C544" i="6" s="1"/>
  <c r="D544" i="6" l="1"/>
  <c r="F544" i="6" s="1"/>
  <c r="B545" i="6" l="1"/>
  <c r="C545" i="6" s="1"/>
  <c r="D545" i="6" l="1"/>
  <c r="F545" i="6" s="1"/>
  <c r="B546" i="6" l="1"/>
  <c r="C546" i="6" s="1"/>
  <c r="D546" i="6" l="1"/>
  <c r="F546" i="6" s="1"/>
  <c r="B547" i="6" l="1"/>
  <c r="C547" i="6" s="1"/>
  <c r="D547" i="6" l="1"/>
  <c r="F547" i="6" s="1"/>
  <c r="B548" i="6" l="1"/>
  <c r="C548" i="6" s="1"/>
  <c r="D548" i="6" l="1"/>
  <c r="F548" i="6" s="1"/>
  <c r="B549" i="6" l="1"/>
  <c r="C549" i="6" s="1"/>
  <c r="D549" i="6" l="1"/>
  <c r="F549" i="6" s="1"/>
  <c r="B550" i="6" l="1"/>
  <c r="C550" i="6" s="1"/>
  <c r="D550" i="6" l="1"/>
  <c r="F550" i="6" s="1"/>
  <c r="B551" i="6" l="1"/>
  <c r="C551" i="6" s="1"/>
  <c r="D551" i="6" s="1"/>
  <c r="F551" i="6" s="1"/>
  <c r="B552" i="6" l="1"/>
  <c r="C552" i="6" s="1"/>
  <c r="D552" i="6" l="1"/>
  <c r="F552" i="6" s="1"/>
  <c r="B553" i="6" l="1"/>
  <c r="C553" i="6" s="1"/>
  <c r="D553" i="6" l="1"/>
  <c r="F553" i="6" s="1"/>
  <c r="B554" i="6" l="1"/>
  <c r="C554" i="6" s="1"/>
  <c r="D554" i="6" l="1"/>
  <c r="F554" i="6" s="1"/>
  <c r="B555" i="6" l="1"/>
  <c r="C555" i="6" l="1"/>
  <c r="D555" i="6" s="1"/>
  <c r="F555" i="6" s="1"/>
  <c r="B556" i="6" l="1"/>
  <c r="C556" i="6" s="1"/>
  <c r="D556" i="6" l="1"/>
  <c r="F556" i="6" s="1"/>
  <c r="B557" i="6" l="1"/>
  <c r="C557" i="6" s="1"/>
  <c r="D557" i="6" l="1"/>
  <c r="F557" i="6" s="1"/>
  <c r="B558" i="6" l="1"/>
  <c r="C558" i="6" s="1"/>
  <c r="D558" i="6" s="1"/>
  <c r="F558" i="6" s="1"/>
  <c r="B559" i="6" l="1"/>
  <c r="C559" i="6" s="1"/>
  <c r="D559" i="6" l="1"/>
  <c r="F559" i="6" s="1"/>
  <c r="B560" i="6" l="1"/>
  <c r="C560" i="6" s="1"/>
  <c r="D560" i="6" l="1"/>
  <c r="F560" i="6" s="1"/>
  <c r="B561" i="6" l="1"/>
  <c r="C561" i="6" l="1"/>
  <c r="D561" i="6" s="1"/>
  <c r="F561" i="6" s="1"/>
  <c r="B562" i="6" l="1"/>
  <c r="C562" i="6" s="1"/>
  <c r="D562" i="6" l="1"/>
  <c r="F562" i="6" s="1"/>
  <c r="B563" i="6" l="1"/>
  <c r="C563" i="6" s="1"/>
  <c r="D563" i="6" l="1"/>
  <c r="F563" i="6" s="1"/>
  <c r="B564" i="6" l="1"/>
  <c r="C564" i="6" s="1"/>
  <c r="D564" i="6" l="1"/>
  <c r="F564" i="6" s="1"/>
  <c r="B565" i="6" l="1"/>
  <c r="C565" i="6" s="1"/>
  <c r="D565" i="6" l="1"/>
  <c r="F565" i="6" s="1"/>
  <c r="B566" i="6" l="1"/>
  <c r="C566" i="6" s="1"/>
  <c r="D566" i="6" l="1"/>
  <c r="F566" i="6" s="1"/>
  <c r="B567" i="6" l="1"/>
  <c r="C567" i="6" s="1"/>
  <c r="D567" i="6" l="1"/>
  <c r="F567" i="6" s="1"/>
  <c r="B568" i="6" l="1"/>
  <c r="C568" i="6" s="1"/>
  <c r="D568" i="6" s="1"/>
  <c r="F568" i="6" s="1"/>
  <c r="B569" i="6" l="1"/>
  <c r="C569" i="6" s="1"/>
  <c r="D569" i="6" l="1"/>
  <c r="F569" i="6" s="1"/>
  <c r="B570" i="6" l="1"/>
  <c r="C570" i="6" s="1"/>
  <c r="D570" i="6" l="1"/>
  <c r="F570" i="6" s="1"/>
  <c r="B571" i="6" l="1"/>
  <c r="C571" i="6" l="1"/>
  <c r="D571" i="6" s="1"/>
  <c r="F571" i="6" s="1"/>
  <c r="B572" i="6" l="1"/>
  <c r="C572" i="6" s="1"/>
  <c r="D572" i="6" l="1"/>
  <c r="F572" i="6" s="1"/>
  <c r="B573" i="6" l="1"/>
  <c r="C573" i="6" s="1"/>
  <c r="D573" i="6" l="1"/>
  <c r="F573" i="6" s="1"/>
  <c r="B574" i="6" l="1"/>
  <c r="C574" i="6" s="1"/>
  <c r="D574" i="6" l="1"/>
  <c r="F574" i="6" s="1"/>
  <c r="B575" i="6" l="1"/>
  <c r="C575" i="6" l="1"/>
  <c r="D575" i="6" s="1"/>
  <c r="F575" i="6" s="1"/>
  <c r="B576" i="6" l="1"/>
  <c r="C576" i="6" s="1"/>
  <c r="D576" i="6" l="1"/>
  <c r="F576" i="6" s="1"/>
  <c r="B577" i="6" l="1"/>
  <c r="C577" i="6" s="1"/>
  <c r="D577" i="6" l="1"/>
  <c r="F577" i="6" s="1"/>
  <c r="B578" i="6" l="1"/>
  <c r="C578" i="6" s="1"/>
  <c r="D578" i="6" l="1"/>
  <c r="F578" i="6" s="1"/>
  <c r="B579" i="6" l="1"/>
  <c r="C579" i="6" l="1"/>
  <c r="D579" i="6" s="1"/>
  <c r="F579" i="6" s="1"/>
  <c r="B580" i="6" l="1"/>
  <c r="C580" i="6" s="1"/>
  <c r="D580" i="6" l="1"/>
  <c r="F580" i="6" s="1"/>
  <c r="B581" i="6" l="1"/>
  <c r="C581" i="6" s="1"/>
  <c r="D581" i="6" l="1"/>
  <c r="F581" i="6" s="1"/>
  <c r="B582" i="6" l="1"/>
  <c r="C582" i="6" s="1"/>
  <c r="D582" i="6" l="1"/>
  <c r="F582" i="6" s="1"/>
  <c r="B583" i="6" l="1"/>
  <c r="C583" i="6" s="1"/>
  <c r="D583" i="6" l="1"/>
  <c r="F583" i="6" s="1"/>
  <c r="B584" i="6" l="1"/>
  <c r="C584" i="6" s="1"/>
  <c r="D584" i="6" l="1"/>
  <c r="F584" i="6" s="1"/>
  <c r="B585" i="6" l="1"/>
  <c r="C585" i="6" l="1"/>
  <c r="D585" i="6" s="1"/>
  <c r="F585" i="6" s="1"/>
  <c r="B586" i="6" l="1"/>
  <c r="C586" i="6" s="1"/>
  <c r="D586" i="6" l="1"/>
  <c r="F586" i="6" s="1"/>
  <c r="B587" i="6" l="1"/>
  <c r="C587" i="6" s="1"/>
  <c r="D587" i="6" l="1"/>
  <c r="F587" i="6" s="1"/>
  <c r="B588" i="6" l="1"/>
  <c r="C588" i="6" s="1"/>
  <c r="D588" i="6" s="1"/>
  <c r="F588" i="6" s="1"/>
  <c r="B589" i="6" l="1"/>
  <c r="C589" i="6" l="1"/>
  <c r="D589" i="6" s="1"/>
  <c r="F589" i="6" s="1"/>
  <c r="B590" i="6" l="1"/>
  <c r="C590" i="6" s="1"/>
  <c r="D590" i="6" l="1"/>
  <c r="F590" i="6" s="1"/>
  <c r="B591" i="6" l="1"/>
  <c r="C591" i="6" s="1"/>
  <c r="D591" i="6" l="1"/>
  <c r="F591" i="6" s="1"/>
  <c r="B592" i="6" l="1"/>
  <c r="C592" i="6" s="1"/>
  <c r="D592" i="6" l="1"/>
  <c r="F592" i="6" s="1"/>
  <c r="B593" i="6" l="1"/>
  <c r="C593" i="6" s="1"/>
  <c r="D593" i="6" l="1"/>
  <c r="F593" i="6" s="1"/>
  <c r="B594" i="6" l="1"/>
  <c r="C594" i="6" s="1"/>
  <c r="D594" i="6" l="1"/>
  <c r="F594" i="6" s="1"/>
  <c r="B595" i="6" l="1"/>
  <c r="C595" i="6" s="1"/>
  <c r="D595" i="6" s="1"/>
  <c r="F595" i="6" s="1"/>
  <c r="B596" i="6" l="1"/>
  <c r="C596" i="6" s="1"/>
  <c r="D596" i="6" s="1"/>
  <c r="F596" i="6" s="1"/>
  <c r="B597" i="6" l="1"/>
  <c r="C597" i="6" l="1"/>
  <c r="D597" i="6" s="1"/>
  <c r="F597" i="6" s="1"/>
  <c r="B598" i="6" l="1"/>
  <c r="C598" i="6" s="1"/>
  <c r="D598" i="6" l="1"/>
  <c r="F598" i="6" s="1"/>
  <c r="B599" i="6" l="1"/>
  <c r="C599" i="6" s="1"/>
  <c r="D599" i="6" l="1"/>
  <c r="F599" i="6" s="1"/>
  <c r="B600" i="6" l="1"/>
  <c r="C600" i="6" s="1"/>
  <c r="D600" i="6" l="1"/>
  <c r="F600" i="6" s="1"/>
  <c r="B601" i="6" l="1"/>
  <c r="C601" i="6" s="1"/>
  <c r="D601" i="6" l="1"/>
  <c r="F601" i="6" s="1"/>
  <c r="B602" i="6" l="1"/>
  <c r="C602" i="6" s="1"/>
  <c r="D602" i="6" l="1"/>
  <c r="F602" i="6" s="1"/>
  <c r="B603" i="6" l="1"/>
  <c r="C603" i="6" s="1"/>
  <c r="D603" i="6" l="1"/>
  <c r="F603" i="6" s="1"/>
  <c r="B604" i="6" l="1"/>
  <c r="C604" i="6" s="1"/>
  <c r="D604" i="6" l="1"/>
  <c r="F604" i="6" s="1"/>
  <c r="B605" i="6" l="1"/>
  <c r="C605" i="6" l="1"/>
  <c r="D605" i="6" s="1"/>
  <c r="F605" i="6" s="1"/>
  <c r="B606" i="6" l="1"/>
  <c r="C606" i="6" l="1"/>
  <c r="D606" i="6" s="1"/>
  <c r="F606" i="6" s="1"/>
</calcChain>
</file>

<file path=xl/sharedStrings.xml><?xml version="1.0" encoding="utf-8"?>
<sst xmlns="http://schemas.openxmlformats.org/spreadsheetml/2006/main" count="282" uniqueCount="210">
  <si>
    <t>Simulator for Openera</t>
  </si>
  <si>
    <t>Home Price</t>
  </si>
  <si>
    <t>Down Payment %</t>
  </si>
  <si>
    <t>Down payment amount</t>
  </si>
  <si>
    <t>Annual interest rate</t>
  </si>
  <si>
    <t>Loan tenure</t>
  </si>
  <si>
    <t>Monthly mortgage</t>
  </si>
  <si>
    <t>Loan Amount</t>
  </si>
  <si>
    <t>HOA Fees (Monthly)</t>
  </si>
  <si>
    <t>Annual property tax rate</t>
  </si>
  <si>
    <t>Annual Home Insurance</t>
  </si>
  <si>
    <t>Monthly Home Insurance</t>
  </si>
  <si>
    <t>Total Monthly Mortage</t>
  </si>
  <si>
    <t>Monthly Property tax</t>
  </si>
  <si>
    <t>Affordability</t>
  </si>
  <si>
    <t>Monthly Income</t>
  </si>
  <si>
    <t>Values</t>
  </si>
  <si>
    <t>Variables</t>
  </si>
  <si>
    <t>Add charts</t>
  </si>
  <si>
    <t>Add charts for quick insight:</t>
  </si>
  <si>
    <t>Line chart: Monthly payment vs. Interest rate</t>
  </si>
  <si>
    <t>Column chart: Compare total cost across scenarios</t>
  </si>
  <si>
    <t>Gauge chart (optional): “Affordability Index” as a % of monthly income</t>
  </si>
  <si>
    <t>Use conditional formatting (e.g. green/yellow/red) to show affordability ranges.</t>
  </si>
  <si>
    <t>&lt; 0.5</t>
  </si>
  <si>
    <t>Affordable</t>
  </si>
  <si>
    <t>&gt;0.5, &lt; 0.75</t>
  </si>
  <si>
    <t>&gt; 0.75</t>
  </si>
  <si>
    <t>Not affordable</t>
  </si>
  <si>
    <t>Slightly affordable</t>
  </si>
  <si>
    <t>Credit score</t>
  </si>
  <si>
    <t>Base rate</t>
  </si>
  <si>
    <t>Penalty factor</t>
  </si>
  <si>
    <t>Credit Score</t>
  </si>
  <si>
    <t>760–850</t>
  </si>
  <si>
    <t>740–759</t>
  </si>
  <si>
    <t>720–739</t>
  </si>
  <si>
    <t>700–719</t>
  </si>
  <si>
    <t>680–699</t>
  </si>
  <si>
    <t>660–679</t>
  </si>
  <si>
    <t>640–659</t>
  </si>
  <si>
    <t>620–639</t>
  </si>
  <si>
    <t>Rate adjustment</t>
  </si>
  <si>
    <t>Base rate = 6.5%</t>
  </si>
  <si>
    <t>Minimum credit score</t>
  </si>
  <si>
    <t>Interest rate</t>
  </si>
  <si>
    <t>State</t>
  </si>
  <si>
    <t>Homeowners Insurance</t>
  </si>
  <si>
    <t>$1,200–$1,800/year</t>
  </si>
  <si>
    <r>
      <t xml:space="preserve">Covers the </t>
    </r>
    <r>
      <rPr>
        <i/>
        <sz val="11"/>
        <color theme="1"/>
        <rFont val="Aptos Narrow"/>
        <family val="2"/>
        <scheme val="minor"/>
      </rPr>
      <t>entire home structure</t>
    </r>
    <r>
      <rPr>
        <sz val="11"/>
        <color theme="1"/>
        <rFont val="Aptos Narrow"/>
        <family val="2"/>
        <scheme val="minor"/>
      </rPr>
      <t xml:space="preserve"> and rebuilding costs</t>
    </r>
  </si>
  <si>
    <t>Renter’s Insurance</t>
  </si>
  <si>
    <t>$150–$300/year</t>
  </si>
  <si>
    <r>
      <t xml:space="preserve">Only covers </t>
    </r>
    <r>
      <rPr>
        <i/>
        <sz val="11"/>
        <color theme="1"/>
        <rFont val="Aptos Narrow"/>
        <family val="2"/>
        <scheme val="minor"/>
      </rPr>
      <t>personal property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liability</t>
    </r>
    <r>
      <rPr>
        <sz val="11"/>
        <color theme="1"/>
        <rFont val="Aptos Narrow"/>
        <family val="2"/>
        <scheme val="minor"/>
      </rPr>
      <t>, not the structure</t>
    </r>
  </si>
  <si>
    <t>Policy Type</t>
  </si>
  <si>
    <t>Typical Annual Premium</t>
  </si>
  <si>
    <t>Why It Costs This Much</t>
  </si>
  <si>
    <t>Years</t>
  </si>
  <si>
    <t>Downpayment %</t>
  </si>
  <si>
    <t>Effective Property Tax Rate (Owner-Occupied, 2023)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</si>
  <si>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</si>
  <si>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</si>
  <si>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</si>
  <si>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</si>
  <si>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</si>
  <si>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</si>
  <si>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</si>
  <si>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</si>
  <si>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</si>
  <si>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</si>
  <si>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</si>
  <si>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</si>
  <si>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</si>
  <si>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</si>
  <si>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</si>
  <si>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</si>
  <si>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</si>
  <si>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</si>
  <si>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</si>
  <si>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</si>
  <si>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</si>
  <si>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</si>
  <si>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</si>
  <si>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</si>
  <si>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</si>
  <si>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</si>
  <si>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</si>
  <si>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</si>
  <si>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</si>
  <si>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</si>
  <si>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</si>
  <si>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</si>
  <si>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</si>
  <si>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</si>
  <si>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</si>
  <si>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</si>
  <si>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</si>
  <si>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</si>
  <si>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</si>
  <si>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</si>
  <si>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</si>
  <si>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</si>
  <si>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</si>
  <si>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</si>
  <si>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</si>
  <si>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</si>
  <si>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</si>
  <si>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</si>
  <si>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</si>
  <si>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</si>
  <si>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</si>
  <si>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Affordability Index</t>
  </si>
  <si>
    <t>Average annual cost</t>
  </si>
  <si>
    <t>Average monthly cost</t>
  </si>
  <si>
    <t>National average</t>
  </si>
  <si>
    <t>Washington, D.C.</t>
  </si>
  <si>
    <t>Yes</t>
  </si>
  <si>
    <t>No</t>
  </si>
  <si>
    <t>Year</t>
  </si>
  <si>
    <t>Principal</t>
  </si>
  <si>
    <t>Total Loan Amount</t>
  </si>
  <si>
    <t>Tenure</t>
  </si>
  <si>
    <t>years</t>
  </si>
  <si>
    <t>Interest</t>
  </si>
  <si>
    <t>Loan amount</t>
  </si>
  <si>
    <t>Instalment amount</t>
  </si>
  <si>
    <t>Remaining Loan Amount</t>
  </si>
  <si>
    <t>Months</t>
  </si>
  <si>
    <t>months</t>
  </si>
  <si>
    <t>Select from list</t>
  </si>
  <si>
    <t>Is the home part of HOA?</t>
  </si>
  <si>
    <t>Enter value</t>
  </si>
  <si>
    <t>First month free for buyers and sellers</t>
  </si>
  <si>
    <t>Revenue Sources</t>
  </si>
  <si>
    <t>Subscriptions</t>
  </si>
  <si>
    <t>$10/month</t>
  </si>
  <si>
    <t>Amount</t>
  </si>
  <si>
    <t>Features</t>
  </si>
  <si>
    <t>Basic free property search</t>
  </si>
  <si>
    <t>Basic</t>
  </si>
  <si>
    <t>Premium</t>
  </si>
  <si>
    <t>$15/month</t>
  </si>
  <si>
    <t>Transparency score, Affordability and Neighbourhood history</t>
  </si>
  <si>
    <t>Pro</t>
  </si>
  <si>
    <t>$25/month</t>
  </si>
  <si>
    <t>Access to financial calculator on a single page to  calculate the mortgage amount per month</t>
  </si>
  <si>
    <t>Personalized financial roadmap, access to verified advisors, market risk alerts, refinance recommendations</t>
  </si>
  <si>
    <t>Referral fee</t>
  </si>
  <si>
    <t>$30/lead</t>
  </si>
  <si>
    <t>Home Insurance &amp; Mortgage lenders</t>
  </si>
  <si>
    <t xml:space="preserve">Agent subsriptions </t>
  </si>
  <si>
    <t>$150/year</t>
  </si>
  <si>
    <t>Home-owner companionship feature</t>
  </si>
  <si>
    <t>$4/month</t>
  </si>
  <si>
    <t>To help homeowners with easy maintenance through a network of trusted partners and affiliates.</t>
  </si>
  <si>
    <t xml:space="preserve">Agents receive a trust badge </t>
  </si>
  <si>
    <t>Data APIs</t>
  </si>
  <si>
    <t>Hosting, AWS cost</t>
  </si>
  <si>
    <t>Tools (Notion, Figma, domain, email)</t>
  </si>
  <si>
    <t>Marketing budget</t>
  </si>
  <si>
    <t>Contractors/Design/Development budget if needed</t>
  </si>
  <si>
    <t>Revenue</t>
  </si>
  <si>
    <t>Agent fee</t>
  </si>
  <si>
    <t>Home owner comp fee</t>
  </si>
  <si>
    <t>Assumptions:</t>
  </si>
  <si>
    <t>Users</t>
  </si>
  <si>
    <t>Conversion rate</t>
  </si>
  <si>
    <t>Total subscriptions</t>
  </si>
  <si>
    <t xml:space="preserve">Monthly revenue subscription </t>
  </si>
  <si>
    <t xml:space="preserve">Monthly revenue </t>
  </si>
  <si>
    <t>% of users that connect to affiliates/referral</t>
  </si>
  <si>
    <t>Total leads</t>
  </si>
  <si>
    <t>yearly</t>
  </si>
  <si>
    <t>Revenue per lead</t>
  </si>
  <si>
    <t>Number of agents signed up</t>
  </si>
  <si>
    <t xml:space="preserve">Based on initial launch </t>
  </si>
  <si>
    <t>Reach</t>
  </si>
  <si>
    <t>Willingness to pay</t>
  </si>
  <si>
    <t>Interested agents</t>
  </si>
  <si>
    <t>Total Onboarded agents</t>
  </si>
  <si>
    <t>Per agent fee</t>
  </si>
  <si>
    <t>/year</t>
  </si>
  <si>
    <t xml:space="preserve">Home owner comp fee </t>
  </si>
  <si>
    <t>Closed deals out of active users</t>
  </si>
  <si>
    <t>Total closings</t>
  </si>
  <si>
    <t>Per month fee</t>
  </si>
  <si>
    <t>$</t>
  </si>
  <si>
    <t>Total Costs per year</t>
  </si>
  <si>
    <t>Total revenue</t>
  </si>
  <si>
    <t>Initial launch in 1-2 states</t>
  </si>
  <si>
    <t>Bootstrapped project</t>
  </si>
  <si>
    <t>Return on Equity</t>
  </si>
  <si>
    <t>Profit per year</t>
  </si>
  <si>
    <t>Month</t>
  </si>
  <si>
    <t># of Subscribers</t>
  </si>
  <si>
    <t>Subscirption curve for year 1</t>
  </si>
  <si>
    <t xml:space="preserve">Fixed Costs/Investments </t>
  </si>
  <si>
    <t>CAC</t>
  </si>
  <si>
    <t>Breakeven subscriber months</t>
  </si>
  <si>
    <t>Additional subscribers required for breakeven for 12 months</t>
  </si>
  <si>
    <t>MLS costs</t>
  </si>
  <si>
    <t>Target Market</t>
  </si>
  <si>
    <t>TAM</t>
  </si>
  <si>
    <t>SAM</t>
  </si>
  <si>
    <t>SOM in year 1</t>
  </si>
  <si>
    <t>For 2 states initial launch</t>
  </si>
  <si>
    <t>Sensitivity Analysis</t>
  </si>
  <si>
    <t>Total costs</t>
  </si>
  <si>
    <t>Profits/loss</t>
  </si>
  <si>
    <t>Breakeven subs months</t>
  </si>
  <si>
    <t>Breakeven subsc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</si>
</sst>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9" fontId="0" fillId="0" borderId="0" xfId="0" applyNumberFormat="1"/>
    <xf numFmtId="0" fontId="0" fillId="0" borderId="0" xfId="0" applyAlignment="1">
      <alignment horizontal="left" vertical="center" indent="1"/>
    </xf>
    <xf numFmtId="9" fontId="0" fillId="0" borderId="0" xfId="2" applyFont="1"/>
    <xf numFmtId="164" fontId="0" fillId="0" borderId="0" xfId="2" applyNumberFormat="1" applyFont="1"/>
    <xf numFmtId="10" fontId="0" fillId="0" borderId="0" xfId="2" applyNumberFormat="1" applyFon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0" fillId="0" borderId="1" xfId="0" applyBorder="1"/>
    <xf numFmtId="9" fontId="0" fillId="0" borderId="1" xfId="2" applyFont="1" applyBorder="1"/>
    <xf numFmtId="10" fontId="0" fillId="0" borderId="1" xfId="2" applyNumberFormat="1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2" applyNumberFormat="1" applyFont="1" applyFill="1" applyBorder="1"/>
    <xf numFmtId="164" fontId="0" fillId="0" borderId="1" xfId="2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8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44" fontId="0" fillId="0" borderId="1" xfId="1" applyFont="1" applyBorder="1"/>
    <xf numFmtId="44" fontId="0" fillId="4" borderId="1" xfId="1" applyFont="1" applyFill="1" applyBorder="1"/>
    <xf numFmtId="165" fontId="0" fillId="0" borderId="1" xfId="1" applyNumberFormat="1" applyFont="1" applyBorder="1"/>
    <xf numFmtId="44" fontId="0" fillId="2" borderId="1" xfId="1" applyFont="1" applyFill="1" applyBorder="1"/>
    <xf numFmtId="0" fontId="0" fillId="4" borderId="1" xfId="0" applyFill="1" applyBorder="1" applyAlignment="1">
      <alignment horizontal="center"/>
    </xf>
    <xf numFmtId="8" fontId="0" fillId="0" borderId="1" xfId="1" applyNumberFormat="1" applyFont="1" applyBorder="1"/>
    <xf numFmtId="10" fontId="0" fillId="0" borderId="1" xfId="0" applyNumberFormat="1" applyBorder="1"/>
    <xf numFmtId="44" fontId="0" fillId="0" borderId="0" xfId="0" applyNumberFormat="1"/>
    <xf numFmtId="6" fontId="0" fillId="0" borderId="1" xfId="0" applyNumberFormat="1" applyBorder="1"/>
    <xf numFmtId="0" fontId="0" fillId="4" borderId="0" xfId="0" applyFill="1"/>
    <xf numFmtId="165" fontId="0" fillId="0" borderId="0" xfId="0" applyNumberFormat="1"/>
    <xf numFmtId="165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4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43" fontId="0" fillId="0" borderId="0" xfId="4" applyFont="1"/>
    <xf numFmtId="43" fontId="0" fillId="0" borderId="0" xfId="0" applyNumberFormat="1"/>
    <xf numFmtId="165" fontId="0" fillId="0" borderId="0" xfId="1" applyNumberFormat="1" applyFont="1"/>
    <xf numFmtId="6" fontId="0" fillId="0" borderId="0" xfId="0" applyNumberFormat="1"/>
    <xf numFmtId="1" fontId="0" fillId="0" borderId="0" xfId="0" applyNumberFormat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0" borderId="0" xfId="3" applyAlignment="1">
      <alignment vertical="center" wrapText="1"/>
    </xf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4">
    <dxf>
      <font>
        <color theme="0"/>
      </font>
    </dxf>
    <dxf>
      <fill>
        <patternFill>
          <fgColor rgb="FFE64242"/>
          <bgColor rgb="FFE52C23"/>
        </patternFill>
      </fill>
    </dxf>
    <dxf>
      <fill>
        <patternFill patternType="solid">
          <fgColor rgb="FFE0E020"/>
          <bgColor rgb="FFEEDE1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E52C23"/>
      <color rgb="FFEEDE12"/>
      <color rgb="FFE0E020"/>
      <color rgb="FFE6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model'!$L$18</c:f>
              <c:strCache>
                <c:ptCount val="1"/>
                <c:pt idx="0">
                  <c:v># of 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'Revenue model'!$K$19:$K$27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'Revenue model'!$L$19:$L$27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100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A-443B-A0AF-AD248C779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478303"/>
        <c:axId val="1391477823"/>
      </c:barChart>
      <c:lineChart>
        <c:grouping val="standard"/>
        <c:varyColors val="0"/>
        <c:ser>
          <c:idx val="1"/>
          <c:order val="1"/>
          <c:tx>
            <c:strRef>
              <c:f>'Revenue model'!$M$18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'Revenue model'!$K$19:$K$27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'Revenue model'!$M$19:$M$27</c:f>
              <c:numCache>
                <c:formatCode>_("$"* #,##0_);_("$"* \(#,##0\);_("$"* "-"??_);_(@_)</c:formatCode>
                <c:ptCount val="9"/>
                <c:pt idx="0">
                  <c:v>75</c:v>
                </c:pt>
                <c:pt idx="1">
                  <c:v>150</c:v>
                </c:pt>
                <c:pt idx="2">
                  <c:v>375</c:v>
                </c:pt>
                <c:pt idx="3">
                  <c:v>600</c:v>
                </c:pt>
                <c:pt idx="4">
                  <c:v>900</c:v>
                </c:pt>
                <c:pt idx="5">
                  <c:v>1200</c:v>
                </c:pt>
                <c:pt idx="6">
                  <c:v>1500</c:v>
                </c:pt>
                <c:pt idx="7">
                  <c:v>1500</c:v>
                </c:pt>
                <c:pt idx="8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A-443B-A0AF-AD248C779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235967"/>
        <c:axId val="1381236447"/>
      </c:lineChart>
      <c:catAx>
        <c:axId val="138123596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36447"/>
        <c:crosses val="autoZero"/>
        <c:auto val="1"/>
        <c:lblAlgn val="ctr"/>
        <c:lblOffset val="100"/>
        <c:noMultiLvlLbl val="0"/>
      </c:catAx>
      <c:valAx>
        <c:axId val="138123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$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35967"/>
        <c:crosses val="autoZero"/>
        <c:crossBetween val="between"/>
      </c:valAx>
      <c:valAx>
        <c:axId val="1391477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78303"/>
        <c:crosses val="max"/>
        <c:crossBetween val="between"/>
      </c:valAx>
      <c:catAx>
        <c:axId val="1391478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1477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406601</xdr:colOff>
      <xdr:row>5</xdr:row>
      <xdr:rowOff>177939</xdr:rowOff>
    </xdr:from>
    <xdr:to>
      <xdr:col>18</xdr:col>
      <xdr:colOff>545899</xdr:colOff>
      <xdr:row>20</xdr:row>
      <xdr:rowOff>125758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45402-6648-4A1E-9994-95EB7E17D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erdwallet.com/insurance/homeowners/illinois-home-insurance" TargetMode="External"/><Relationship Id="rId18" Type="http://schemas.openxmlformats.org/officeDocument/2006/relationships/hyperlink" Target="https://www.nerdwallet.com/insurance/homeowners/louisiana-home-insurance" TargetMode="External"/><Relationship Id="rId26" Type="http://schemas.openxmlformats.org/officeDocument/2006/relationships/hyperlink" Target="https://www.nerdwallet.com/insurance/homeowners/montana-home-insurance" TargetMode="External"/><Relationship Id="rId39" Type="http://schemas.openxmlformats.org/officeDocument/2006/relationships/hyperlink" Target="https://www.nerdwallet.com/insurance/homeowners/rhode-island-home-insurance" TargetMode="External"/><Relationship Id="rId21" Type="http://schemas.openxmlformats.org/officeDocument/2006/relationships/hyperlink" Target="https://www.nerdwallet.com/insurance/homeowners/massachusetts-home-insurance" TargetMode="External"/><Relationship Id="rId34" Type="http://schemas.openxmlformats.org/officeDocument/2006/relationships/hyperlink" Target="https://www.nerdwallet.com/insurance/homeowners/north-dakota-home-insurance" TargetMode="External"/><Relationship Id="rId42" Type="http://schemas.openxmlformats.org/officeDocument/2006/relationships/hyperlink" Target="https://www.nerdwallet.com/insurance/homeowners/tennessee-home-insurance" TargetMode="External"/><Relationship Id="rId47" Type="http://schemas.openxmlformats.org/officeDocument/2006/relationships/hyperlink" Target="https://www.nerdwallet.com/insurance/homeowners/washington-home-insurance" TargetMode="External"/><Relationship Id="rId50" Type="http://schemas.openxmlformats.org/officeDocument/2006/relationships/hyperlink" Target="https://www.nerdwallet.com/insurance/homeowners/wisconsin-home-insurance" TargetMode="External"/><Relationship Id="rId7" Type="http://schemas.openxmlformats.org/officeDocument/2006/relationships/hyperlink" Target="https://www.nerdwallet.com/insurance/homeowners/connecticut-home-insurance" TargetMode="External"/><Relationship Id="rId2" Type="http://schemas.openxmlformats.org/officeDocument/2006/relationships/hyperlink" Target="https://www.nerdwallet.com/insurance/homeowners/alaska-home-insurance" TargetMode="External"/><Relationship Id="rId16" Type="http://schemas.openxmlformats.org/officeDocument/2006/relationships/hyperlink" Target="https://www.nerdwallet.com/insurance/homeowners/kansas-home-insurance" TargetMode="External"/><Relationship Id="rId29" Type="http://schemas.openxmlformats.org/officeDocument/2006/relationships/hyperlink" Target="https://www.nerdwallet.com/insurance/homeowners/new-hampshire-home-insurance" TargetMode="External"/><Relationship Id="rId11" Type="http://schemas.openxmlformats.org/officeDocument/2006/relationships/hyperlink" Target="https://www.nerdwallet.com/insurance/homeowners/hawaii-home-insurance" TargetMode="External"/><Relationship Id="rId24" Type="http://schemas.openxmlformats.org/officeDocument/2006/relationships/hyperlink" Target="https://www.nerdwallet.com/insurance/homeowners/mississippi-home-insurance" TargetMode="External"/><Relationship Id="rId32" Type="http://schemas.openxmlformats.org/officeDocument/2006/relationships/hyperlink" Target="https://www.nerdwallet.com/insurance/homeowners/new-york-home-insurance" TargetMode="External"/><Relationship Id="rId37" Type="http://schemas.openxmlformats.org/officeDocument/2006/relationships/hyperlink" Target="https://www.nerdwallet.com/insurance/homeowners/oregon-home-insurance" TargetMode="External"/><Relationship Id="rId40" Type="http://schemas.openxmlformats.org/officeDocument/2006/relationships/hyperlink" Target="https://www.nerdwallet.com/insurance/homeowners/south-carolina-home-insurance" TargetMode="External"/><Relationship Id="rId45" Type="http://schemas.openxmlformats.org/officeDocument/2006/relationships/hyperlink" Target="https://www.nerdwallet.com/insurance/homeowners/vermont-home-insurance" TargetMode="External"/><Relationship Id="rId5" Type="http://schemas.openxmlformats.org/officeDocument/2006/relationships/hyperlink" Target="https://www.nerdwallet.com/insurance/homeowners/california-home-insurance" TargetMode="External"/><Relationship Id="rId15" Type="http://schemas.openxmlformats.org/officeDocument/2006/relationships/hyperlink" Target="https://www.nerdwallet.com/insurance/homeowners/iowa-home-insurance" TargetMode="External"/><Relationship Id="rId23" Type="http://schemas.openxmlformats.org/officeDocument/2006/relationships/hyperlink" Target="https://www.nerdwallet.com/insurance/homeowners/minnesota-home-insurance" TargetMode="External"/><Relationship Id="rId28" Type="http://schemas.openxmlformats.org/officeDocument/2006/relationships/hyperlink" Target="https://www.nerdwallet.com/insurance/homeowners/nevada-home-insurance" TargetMode="External"/><Relationship Id="rId36" Type="http://schemas.openxmlformats.org/officeDocument/2006/relationships/hyperlink" Target="https://www.nerdwallet.com/insurance/homeowners/oklahoma-home-insurance" TargetMode="External"/><Relationship Id="rId49" Type="http://schemas.openxmlformats.org/officeDocument/2006/relationships/hyperlink" Target="https://www.nerdwallet.com/insurance/homeowners/west-virginia-home-insurance" TargetMode="External"/><Relationship Id="rId10" Type="http://schemas.openxmlformats.org/officeDocument/2006/relationships/hyperlink" Target="https://www.nerdwallet.com/insurance/homeowners/georgia-home-insurance" TargetMode="External"/><Relationship Id="rId19" Type="http://schemas.openxmlformats.org/officeDocument/2006/relationships/hyperlink" Target="https://www.nerdwallet.com/insurance/homeowners/maine-home-insurance" TargetMode="External"/><Relationship Id="rId31" Type="http://schemas.openxmlformats.org/officeDocument/2006/relationships/hyperlink" Target="https://www.nerdwallet.com/insurance/homeowners/new-mexico-home-insurance" TargetMode="External"/><Relationship Id="rId44" Type="http://schemas.openxmlformats.org/officeDocument/2006/relationships/hyperlink" Target="https://www.nerdwallet.com/insurance/homeowners/utah-home-insurance" TargetMode="External"/><Relationship Id="rId4" Type="http://schemas.openxmlformats.org/officeDocument/2006/relationships/hyperlink" Target="https://www.nerdwallet.com/insurance/homeowners/arkansas-home-insurance" TargetMode="External"/><Relationship Id="rId9" Type="http://schemas.openxmlformats.org/officeDocument/2006/relationships/hyperlink" Target="https://www.nerdwallet.com/insurance/homeowners/florida-home-insurance" TargetMode="External"/><Relationship Id="rId14" Type="http://schemas.openxmlformats.org/officeDocument/2006/relationships/hyperlink" Target="https://www.nerdwallet.com/insurance/homeowners/indiana-home-insurance" TargetMode="External"/><Relationship Id="rId22" Type="http://schemas.openxmlformats.org/officeDocument/2006/relationships/hyperlink" Target="https://www.nerdwallet.com/insurance/homeowners/michigan-home-insurance" TargetMode="External"/><Relationship Id="rId27" Type="http://schemas.openxmlformats.org/officeDocument/2006/relationships/hyperlink" Target="https://www.nerdwallet.com/insurance/homeowners/nebraska-home-insurance" TargetMode="External"/><Relationship Id="rId30" Type="http://schemas.openxmlformats.org/officeDocument/2006/relationships/hyperlink" Target="https://www.nerdwallet.com/insurance/homeowners/new-jersey-home-insurance" TargetMode="External"/><Relationship Id="rId35" Type="http://schemas.openxmlformats.org/officeDocument/2006/relationships/hyperlink" Target="https://www.nerdwallet.com/insurance/homeowners/ohio-home-insurance" TargetMode="External"/><Relationship Id="rId43" Type="http://schemas.openxmlformats.org/officeDocument/2006/relationships/hyperlink" Target="https://www.nerdwallet.com/insurance/homeowners/texas-home-insurance" TargetMode="External"/><Relationship Id="rId48" Type="http://schemas.openxmlformats.org/officeDocument/2006/relationships/hyperlink" Target="https://www.nerdwallet.com/insurance/homeowners/washington-dc-home-insurance" TargetMode="External"/><Relationship Id="rId8" Type="http://schemas.openxmlformats.org/officeDocument/2006/relationships/hyperlink" Target="https://www.nerdwallet.com/insurance/homeowners/delaware-home-insurance" TargetMode="External"/><Relationship Id="rId51" Type="http://schemas.openxmlformats.org/officeDocument/2006/relationships/hyperlink" Target="https://www.nerdwallet.com/insurance/homeowners/wyoming-home-insurance" TargetMode="External"/><Relationship Id="rId3" Type="http://schemas.openxmlformats.org/officeDocument/2006/relationships/hyperlink" Target="https://www.nerdwallet.com/insurance/homeowners/arizona-home-insurance" TargetMode="External"/><Relationship Id="rId12" Type="http://schemas.openxmlformats.org/officeDocument/2006/relationships/hyperlink" Target="https://www.nerdwallet.com/insurance/homeowners/idaho-home-insurance" TargetMode="External"/><Relationship Id="rId17" Type="http://schemas.openxmlformats.org/officeDocument/2006/relationships/hyperlink" Target="https://www.nerdwallet.com/insurance/homeowners/kentucky-home-insurance" TargetMode="External"/><Relationship Id="rId25" Type="http://schemas.openxmlformats.org/officeDocument/2006/relationships/hyperlink" Target="https://www.nerdwallet.com/insurance/homeowners/missouri-home-insurance" TargetMode="External"/><Relationship Id="rId33" Type="http://schemas.openxmlformats.org/officeDocument/2006/relationships/hyperlink" Target="https://www.nerdwallet.com/insurance/homeowners/north-carolina-home-insurance" TargetMode="External"/><Relationship Id="rId38" Type="http://schemas.openxmlformats.org/officeDocument/2006/relationships/hyperlink" Target="https://www.nerdwallet.com/insurance/homeowners/pennsylvania-home-insurance" TargetMode="External"/><Relationship Id="rId46" Type="http://schemas.openxmlformats.org/officeDocument/2006/relationships/hyperlink" Target="https://www.nerdwallet.com/insurance/homeowners/virginia-home-insurance" TargetMode="External"/><Relationship Id="rId20" Type="http://schemas.openxmlformats.org/officeDocument/2006/relationships/hyperlink" Target="https://www.nerdwallet.com/insurance/homeowners/maryland-home-insurance" TargetMode="External"/><Relationship Id="rId41" Type="http://schemas.openxmlformats.org/officeDocument/2006/relationships/hyperlink" Target="https://www.nerdwallet.com/insurance/homeowners/south-dakota-home-insurance" TargetMode="External"/><Relationship Id="rId1" Type="http://schemas.openxmlformats.org/officeDocument/2006/relationships/hyperlink" Target="https://www.nerdwallet.com/insurance/homeowners/alabama-home-insurance" TargetMode="External"/><Relationship Id="rId6" Type="http://schemas.openxmlformats.org/officeDocument/2006/relationships/hyperlink" Target="https://www.nerdwallet.com/insurance/homeowners/colorado-home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F9CB-0CAF-42A1-9E07-F3B44B980A7E}">
  <dimension ref="A1:J23"/>
  <sheetViews>
    <sheetView tabSelected="1" workbookViewId="0">
      <selection activeCell="K8" sqref="K8"/>
    </sheetView>
  </sheetViews>
  <sheetFormatPr defaultRowHeight="14.5" x14ac:dyDescent="0.35"/>
  <cols>
    <col min="1" max="1" width="20.90625" bestFit="1" customWidth="1"/>
    <col min="2" max="2" width="19.453125" bestFit="1" customWidth="1"/>
    <col min="3" max="3" width="19.453125" customWidth="1"/>
    <col min="4" max="4" width="16.7265625" hidden="1" customWidth="1"/>
    <col min="5" max="5" width="17.6328125" hidden="1" customWidth="1"/>
    <col min="6" max="6" width="15.26953125" hidden="1" customWidth="1"/>
    <col min="7" max="7" width="15.1796875" hidden="1" customWidth="1"/>
    <col min="8" max="10" width="0" hidden="1" customWidth="1"/>
  </cols>
  <sheetData>
    <row r="1" spans="1:10" x14ac:dyDescent="0.35">
      <c r="A1" s="48" t="s">
        <v>0</v>
      </c>
      <c r="B1" s="48"/>
    </row>
    <row r="3" spans="1:10" x14ac:dyDescent="0.35">
      <c r="B3" s="5"/>
    </row>
    <row r="4" spans="1:10" x14ac:dyDescent="0.35">
      <c r="A4" s="27" t="s">
        <v>17</v>
      </c>
      <c r="B4" s="27" t="s">
        <v>16</v>
      </c>
      <c r="D4" s="1" t="s">
        <v>18</v>
      </c>
      <c r="I4" t="s">
        <v>115</v>
      </c>
      <c r="J4">
        <v>250</v>
      </c>
    </row>
    <row r="5" spans="1:10" x14ac:dyDescent="0.35">
      <c r="A5" s="9" t="s">
        <v>1</v>
      </c>
      <c r="B5" s="25"/>
      <c r="C5" t="s">
        <v>130</v>
      </c>
      <c r="D5" t="s">
        <v>19</v>
      </c>
      <c r="I5" t="s">
        <v>116</v>
      </c>
      <c r="J5">
        <v>0</v>
      </c>
    </row>
    <row r="6" spans="1:10" x14ac:dyDescent="0.35">
      <c r="A6" s="9" t="s">
        <v>2</v>
      </c>
      <c r="B6" s="10"/>
      <c r="C6" t="s">
        <v>128</v>
      </c>
      <c r="D6" s="2"/>
    </row>
    <row r="7" spans="1:10" x14ac:dyDescent="0.35">
      <c r="A7" s="9" t="s">
        <v>3</v>
      </c>
      <c r="B7" s="25">
        <f>B6*B5</f>
        <v>0</v>
      </c>
      <c r="D7" s="2" t="s">
        <v>20</v>
      </c>
    </row>
    <row r="8" spans="1:10" x14ac:dyDescent="0.35">
      <c r="A8" s="9" t="s">
        <v>7</v>
      </c>
      <c r="B8" s="25">
        <f>B5*(1-B6)</f>
        <v>0</v>
      </c>
      <c r="D8" s="2"/>
    </row>
    <row r="9" spans="1:10" x14ac:dyDescent="0.35">
      <c r="A9" s="9" t="s">
        <v>30</v>
      </c>
      <c r="B9" s="14" t="s">
        <v>36</v>
      </c>
      <c r="C9" s="5" t="s">
        <v>128</v>
      </c>
      <c r="D9" s="2" t="s">
        <v>21</v>
      </c>
    </row>
    <row r="10" spans="1:10" x14ac:dyDescent="0.35">
      <c r="A10" s="9" t="s">
        <v>4</v>
      </c>
      <c r="B10" s="11">
        <f>VLOOKUP(B9,'Credit scores &amp; Interest rates'!G3:H10,2,)</f>
        <v>6.7500000000000004E-2</v>
      </c>
      <c r="C10" s="5"/>
      <c r="D10" s="2"/>
    </row>
    <row r="11" spans="1:10" x14ac:dyDescent="0.35">
      <c r="A11" s="9" t="s">
        <v>5</v>
      </c>
      <c r="B11" s="9"/>
      <c r="C11" t="s">
        <v>128</v>
      </c>
      <c r="D11" s="2"/>
    </row>
    <row r="12" spans="1:10" x14ac:dyDescent="0.35">
      <c r="A12" s="22" t="s">
        <v>6</v>
      </c>
      <c r="B12" s="24" t="e">
        <f>PMT(B10/12,B11*12,-B8)</f>
        <v>#NUM!</v>
      </c>
      <c r="D12" s="2" t="s">
        <v>22</v>
      </c>
    </row>
    <row r="13" spans="1:10" x14ac:dyDescent="0.35">
      <c r="A13" s="9" t="s">
        <v>46</v>
      </c>
      <c r="B13" s="20"/>
      <c r="C13" t="s">
        <v>128</v>
      </c>
      <c r="D13" s="2"/>
    </row>
    <row r="14" spans="1:10" x14ac:dyDescent="0.35">
      <c r="A14" s="9" t="s">
        <v>9</v>
      </c>
      <c r="B14" s="16" t="e">
        <f>VLOOKUP(B13,'Tax rates'!A2:B52,2,FALSE)</f>
        <v>#N/A</v>
      </c>
    </row>
    <row r="15" spans="1:10" x14ac:dyDescent="0.35">
      <c r="A15" s="22" t="s">
        <v>13</v>
      </c>
      <c r="B15" s="24" t="e">
        <f>(B14/12)*B5</f>
        <v>#N/A</v>
      </c>
      <c r="D15" t="s">
        <v>23</v>
      </c>
    </row>
    <row r="16" spans="1:10" x14ac:dyDescent="0.35">
      <c r="A16" s="9" t="s">
        <v>10</v>
      </c>
      <c r="B16" s="25" t="e">
        <f>VLOOKUP($B$13,'Statewise Insurance'!$A$5:$C$106,2,FALSE)</f>
        <v>#N/A</v>
      </c>
    </row>
    <row r="17" spans="1:5" x14ac:dyDescent="0.35">
      <c r="A17" s="22" t="s">
        <v>11</v>
      </c>
      <c r="B17" s="24" t="e">
        <f>VLOOKUP($B$13,'Statewise Insurance'!$A$5:$C$106,3,FALSE)</f>
        <v>#N/A</v>
      </c>
    </row>
    <row r="18" spans="1:5" x14ac:dyDescent="0.35">
      <c r="A18" s="9" t="s">
        <v>129</v>
      </c>
      <c r="B18" s="14"/>
      <c r="C18" t="s">
        <v>128</v>
      </c>
    </row>
    <row r="19" spans="1:5" x14ac:dyDescent="0.35">
      <c r="A19" s="9" t="s">
        <v>8</v>
      </c>
      <c r="B19" s="25">
        <f>IF(B18="Yes", J4,J5)</f>
        <v>0</v>
      </c>
      <c r="D19" s="9" t="s">
        <v>110</v>
      </c>
      <c r="E19" s="9"/>
    </row>
    <row r="20" spans="1:5" x14ac:dyDescent="0.35">
      <c r="A20" s="12" t="s">
        <v>12</v>
      </c>
      <c r="B20" s="26" t="e">
        <f>B19+B17+B15+B12</f>
        <v>#N/A</v>
      </c>
      <c r="D20" s="21" t="s">
        <v>24</v>
      </c>
      <c r="E20" s="21" t="s">
        <v>25</v>
      </c>
    </row>
    <row r="21" spans="1:5" x14ac:dyDescent="0.35">
      <c r="D21" s="21" t="s">
        <v>26</v>
      </c>
      <c r="E21" s="21" t="s">
        <v>29</v>
      </c>
    </row>
    <row r="22" spans="1:5" x14ac:dyDescent="0.35">
      <c r="A22" s="9" t="s">
        <v>15</v>
      </c>
      <c r="B22" s="23"/>
      <c r="C22" t="s">
        <v>130</v>
      </c>
      <c r="D22" s="21" t="s">
        <v>27</v>
      </c>
      <c r="E22" s="21" t="s">
        <v>28</v>
      </c>
    </row>
    <row r="23" spans="1:5" x14ac:dyDescent="0.35">
      <c r="A23" s="12" t="s">
        <v>14</v>
      </c>
      <c r="B23" s="15" t="e">
        <f>B20/B22</f>
        <v>#N/A</v>
      </c>
    </row>
  </sheetData>
  <mergeCells count="1">
    <mergeCell ref="A1:B1"/>
  </mergeCells>
  <conditionalFormatting sqref="B23">
    <cfRule type="cellIs" dxfId="3" priority="1" operator="lessThan">
      <formula>0.5</formula>
    </cfRule>
    <cfRule type="cellIs" dxfId="2" priority="2" operator="between">
      <formula>0.5</formula>
      <formula>0.75</formula>
    </cfRule>
    <cfRule type="cellIs" dxfId="1" priority="3" operator="greaterThan">
      <formula>0.75</formula>
    </cfRule>
  </conditionalFormatting>
  <dataValidations count="1">
    <dataValidation type="list" allowBlank="1" showInputMessage="1" showErrorMessage="1" sqref="B18" xr:uid="{FFE88369-FFFE-4FB0-A8A5-49D916D40AF2}">
      <formula1>$I$4:$I$5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E74EDC-96E9-4FDA-99D8-FFC7BABBCA1A}">
          <x14:formula1>
            <xm:f>'Credit scores &amp; Interest rates'!$B$4:$B$11</xm:f>
          </x14:formula1>
          <xm:sqref>B9</xm:sqref>
        </x14:dataValidation>
        <x14:dataValidation type="list" allowBlank="1" showInputMessage="1" showErrorMessage="1" xr:uid="{347CCF63-6908-46BA-B401-36AC7D7B733D}">
          <x14:formula1>
            <xm:f>'Credit scores &amp; Interest rates'!$J$3:$J$11</xm:f>
          </x14:formula1>
          <xm:sqref>B11</xm:sqref>
        </x14:dataValidation>
        <x14:dataValidation type="list" allowBlank="1" showInputMessage="1" showErrorMessage="1" xr:uid="{80C77BB9-44FD-4149-B39B-D860C350EAF0}">
          <x14:formula1>
            <xm:f>'Credit scores &amp; Interest rates'!$L$3:$L$11</xm:f>
          </x14:formula1>
          <xm:sqref>B6</xm:sqref>
        </x14:dataValidation>
        <x14:dataValidation type="list" allowBlank="1" showInputMessage="1" showErrorMessage="1" xr:uid="{385F4AAC-7192-4C67-914F-94045044E64E}">
          <x14:formula1>
            <xm:f>'Tax rates'!$A$2:$A$52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15FB-9F24-4915-AAA2-868C0854235C}">
  <dimension ref="A1:N67"/>
  <sheetViews>
    <sheetView topLeftCell="A8" zoomScale="92" workbookViewId="0">
      <selection activeCell="C37" sqref="C37"/>
    </sheetView>
  </sheetViews>
  <sheetFormatPr defaultRowHeight="14.5" x14ac:dyDescent="0.35"/>
  <cols>
    <col min="2" max="2" width="41.54296875" customWidth="1"/>
    <col min="3" max="3" width="12.1796875" bestFit="1" customWidth="1"/>
    <col min="4" max="4" width="13.81640625" bestFit="1" customWidth="1"/>
    <col min="5" max="5" width="12.7265625" bestFit="1" customWidth="1"/>
    <col min="6" max="6" width="9.54296875" customWidth="1"/>
    <col min="7" max="7" width="36" customWidth="1"/>
    <col min="12" max="12" width="19.1796875" customWidth="1"/>
    <col min="13" max="13" width="12.6328125" customWidth="1"/>
    <col min="14" max="14" width="22.7265625" customWidth="1"/>
  </cols>
  <sheetData>
    <row r="1" spans="1:14" x14ac:dyDescent="0.35">
      <c r="B1" s="32" t="s">
        <v>131</v>
      </c>
      <c r="C1" s="32" t="s">
        <v>137</v>
      </c>
      <c r="D1" s="32"/>
      <c r="E1" s="32"/>
    </row>
    <row r="3" spans="1:14" x14ac:dyDescent="0.35">
      <c r="A3" s="13"/>
      <c r="B3" s="27" t="s">
        <v>132</v>
      </c>
      <c r="C3" s="27"/>
      <c r="D3" s="27" t="s">
        <v>135</v>
      </c>
      <c r="E3" s="45" t="s">
        <v>136</v>
      </c>
      <c r="F3" s="46"/>
      <c r="G3" s="46"/>
      <c r="H3" s="46"/>
      <c r="I3" s="46"/>
      <c r="J3" s="46"/>
      <c r="K3" s="46"/>
      <c r="L3" s="46"/>
      <c r="M3" s="46"/>
      <c r="N3" s="47"/>
    </row>
    <row r="4" spans="1:14" x14ac:dyDescent="0.35">
      <c r="A4" s="9">
        <v>1</v>
      </c>
      <c r="B4" s="9" t="s">
        <v>133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35">
      <c r="A5" s="9"/>
      <c r="B5" s="9" t="s">
        <v>138</v>
      </c>
      <c r="C5" s="9"/>
      <c r="D5" s="9" t="s">
        <v>134</v>
      </c>
      <c r="E5" s="9" t="s">
        <v>144</v>
      </c>
      <c r="F5" s="9"/>
      <c r="G5" s="9"/>
      <c r="H5" s="9"/>
      <c r="I5" s="9"/>
      <c r="J5" s="9"/>
      <c r="K5" s="9"/>
      <c r="L5" s="9"/>
      <c r="M5" s="9"/>
      <c r="N5" s="9"/>
    </row>
    <row r="6" spans="1:14" x14ac:dyDescent="0.35">
      <c r="A6" s="9"/>
      <c r="B6" s="9" t="s">
        <v>139</v>
      </c>
      <c r="C6" s="9"/>
      <c r="D6" s="9" t="s">
        <v>140</v>
      </c>
      <c r="E6" s="9" t="s">
        <v>141</v>
      </c>
      <c r="F6" s="9"/>
      <c r="G6" s="9"/>
      <c r="H6" s="9"/>
      <c r="I6" s="9"/>
      <c r="J6" s="9"/>
      <c r="K6" s="9"/>
      <c r="L6" s="9"/>
      <c r="M6" s="9"/>
      <c r="N6" s="9"/>
    </row>
    <row r="7" spans="1:14" x14ac:dyDescent="0.35">
      <c r="A7" s="9"/>
      <c r="B7" s="9" t="s">
        <v>142</v>
      </c>
      <c r="C7" s="9"/>
      <c r="D7" s="9" t="s">
        <v>143</v>
      </c>
      <c r="E7" s="9" t="s">
        <v>145</v>
      </c>
      <c r="F7" s="9"/>
      <c r="G7" s="9"/>
      <c r="H7" s="9"/>
      <c r="I7" s="9"/>
      <c r="J7" s="9"/>
      <c r="K7" s="9"/>
      <c r="L7" s="9"/>
      <c r="M7" s="9"/>
      <c r="N7" s="9"/>
    </row>
    <row r="8" spans="1:14" x14ac:dyDescent="0.35">
      <c r="A8" s="9">
        <v>2</v>
      </c>
      <c r="B8" s="9" t="s">
        <v>146</v>
      </c>
      <c r="C8" s="9"/>
      <c r="D8" s="9" t="s">
        <v>147</v>
      </c>
      <c r="E8" s="9" t="s">
        <v>148</v>
      </c>
      <c r="F8" s="9"/>
      <c r="G8" s="9"/>
      <c r="H8" s="9"/>
      <c r="I8" s="9"/>
      <c r="J8" s="9"/>
      <c r="K8" s="9"/>
      <c r="L8" s="9"/>
      <c r="M8" s="9"/>
      <c r="N8" s="9"/>
    </row>
    <row r="9" spans="1:14" x14ac:dyDescent="0.35">
      <c r="A9" s="9">
        <v>3</v>
      </c>
      <c r="B9" s="9" t="s">
        <v>149</v>
      </c>
      <c r="C9" s="9"/>
      <c r="D9" s="31" t="s">
        <v>150</v>
      </c>
      <c r="E9" s="9" t="s">
        <v>154</v>
      </c>
      <c r="F9" s="9"/>
      <c r="G9" s="9"/>
      <c r="H9" s="9"/>
      <c r="I9" s="9"/>
      <c r="J9" s="9"/>
      <c r="K9" s="9"/>
      <c r="L9" s="9"/>
      <c r="M9" s="9"/>
      <c r="N9" s="9"/>
    </row>
    <row r="10" spans="1:14" x14ac:dyDescent="0.35">
      <c r="A10" s="9">
        <v>4</v>
      </c>
      <c r="B10" s="9" t="s">
        <v>151</v>
      </c>
      <c r="C10" s="9"/>
      <c r="D10" s="9" t="s">
        <v>152</v>
      </c>
      <c r="E10" s="9" t="s">
        <v>153</v>
      </c>
      <c r="F10" s="9"/>
      <c r="G10" s="9"/>
      <c r="H10" s="9"/>
      <c r="I10" s="9"/>
      <c r="J10" s="9"/>
      <c r="K10" s="9"/>
      <c r="L10" s="9"/>
      <c r="M10" s="9"/>
      <c r="N10" s="9"/>
    </row>
    <row r="14" spans="1:14" x14ac:dyDescent="0.35">
      <c r="B14" s="9"/>
      <c r="C14" s="9"/>
      <c r="G14" s="9" t="s">
        <v>163</v>
      </c>
      <c r="H14" s="9"/>
      <c r="I14" s="9"/>
    </row>
    <row r="15" spans="1:14" x14ac:dyDescent="0.35">
      <c r="B15" s="9" t="s">
        <v>160</v>
      </c>
      <c r="C15" s="9" t="s">
        <v>185</v>
      </c>
      <c r="G15" s="9" t="s">
        <v>188</v>
      </c>
      <c r="H15" s="9"/>
      <c r="I15" s="9"/>
    </row>
    <row r="16" spans="1:14" x14ac:dyDescent="0.35">
      <c r="B16" s="9" t="s">
        <v>133</v>
      </c>
      <c r="C16" s="25">
        <f>M31</f>
        <v>18300</v>
      </c>
      <c r="G16" s="9"/>
      <c r="H16" s="9"/>
      <c r="I16" s="9"/>
      <c r="K16" s="9" t="s">
        <v>194</v>
      </c>
      <c r="L16" s="9"/>
      <c r="M16" s="9"/>
    </row>
    <row r="17" spans="2:13" x14ac:dyDescent="0.35">
      <c r="B17" s="9" t="s">
        <v>146</v>
      </c>
      <c r="C17" s="25">
        <f>H25*H26</f>
        <v>22500</v>
      </c>
      <c r="G17" s="9" t="s">
        <v>164</v>
      </c>
      <c r="H17" s="9">
        <v>15000</v>
      </c>
      <c r="I17" s="9" t="s">
        <v>171</v>
      </c>
      <c r="K17" s="9"/>
      <c r="L17" s="9"/>
      <c r="M17" s="9"/>
    </row>
    <row r="18" spans="2:13" x14ac:dyDescent="0.35">
      <c r="B18" s="9" t="s">
        <v>161</v>
      </c>
      <c r="C18" s="25">
        <f>H34*H35</f>
        <v>11250</v>
      </c>
      <c r="G18" s="9" t="s">
        <v>165</v>
      </c>
      <c r="H18" s="35">
        <v>0.02</v>
      </c>
      <c r="I18" s="9"/>
      <c r="K18" s="13" t="s">
        <v>192</v>
      </c>
      <c r="L18" s="13" t="s">
        <v>193</v>
      </c>
      <c r="M18" s="13" t="s">
        <v>160</v>
      </c>
    </row>
    <row r="19" spans="2:13" x14ac:dyDescent="0.35">
      <c r="B19" s="9" t="s">
        <v>162</v>
      </c>
      <c r="C19" s="25">
        <f>H40*H39*12</f>
        <v>5760</v>
      </c>
      <c r="G19" s="9" t="s">
        <v>166</v>
      </c>
      <c r="H19" s="9">
        <f>H17*H18</f>
        <v>300</v>
      </c>
      <c r="I19" s="9"/>
      <c r="K19" s="9">
        <v>1</v>
      </c>
      <c r="L19" s="9">
        <v>5</v>
      </c>
      <c r="M19" s="34">
        <f>L19*$H$20</f>
        <v>75</v>
      </c>
    </row>
    <row r="20" spans="2:13" x14ac:dyDescent="0.35">
      <c r="B20" s="9" t="s">
        <v>187</v>
      </c>
      <c r="C20" s="34">
        <f>SUM(C16:C19)</f>
        <v>57810</v>
      </c>
      <c r="G20" s="9" t="s">
        <v>167</v>
      </c>
      <c r="H20" s="25">
        <v>15</v>
      </c>
      <c r="I20" s="9"/>
      <c r="K20" s="9">
        <v>2</v>
      </c>
      <c r="L20" s="9">
        <v>10</v>
      </c>
      <c r="M20" s="34">
        <f t="shared" ref="M20:M27" si="0">L20*$H$20</f>
        <v>150</v>
      </c>
    </row>
    <row r="21" spans="2:13" x14ac:dyDescent="0.35">
      <c r="G21" s="9"/>
      <c r="H21" s="9"/>
      <c r="I21" s="9"/>
      <c r="K21" s="9">
        <v>3</v>
      </c>
      <c r="L21" s="9">
        <v>25</v>
      </c>
      <c r="M21" s="34">
        <f t="shared" si="0"/>
        <v>375</v>
      </c>
    </row>
    <row r="22" spans="2:13" x14ac:dyDescent="0.35">
      <c r="B22" s="9" t="s">
        <v>195</v>
      </c>
      <c r="C22" s="25"/>
      <c r="G22" s="9" t="s">
        <v>168</v>
      </c>
      <c r="H22" s="36">
        <f>H20*H19</f>
        <v>4500</v>
      </c>
      <c r="I22" s="9"/>
      <c r="K22" s="9">
        <v>4</v>
      </c>
      <c r="L22" s="9">
        <v>40</v>
      </c>
      <c r="M22" s="34">
        <f t="shared" si="0"/>
        <v>600</v>
      </c>
    </row>
    <row r="23" spans="2:13" x14ac:dyDescent="0.35">
      <c r="B23" s="9" t="s">
        <v>155</v>
      </c>
      <c r="C23" s="25">
        <f>500*12</f>
        <v>6000</v>
      </c>
      <c r="G23" s="9"/>
      <c r="H23" s="9"/>
      <c r="I23" s="9"/>
      <c r="K23" s="9">
        <v>5</v>
      </c>
      <c r="L23" s="9">
        <v>60</v>
      </c>
      <c r="M23" s="34">
        <f t="shared" si="0"/>
        <v>900</v>
      </c>
    </row>
    <row r="24" spans="2:13" x14ac:dyDescent="0.35">
      <c r="B24" s="9" t="s">
        <v>156</v>
      </c>
      <c r="C24" s="25">
        <f>200*12</f>
        <v>2400</v>
      </c>
      <c r="G24" s="9" t="s">
        <v>169</v>
      </c>
      <c r="H24" s="10">
        <f>5%</f>
        <v>0.05</v>
      </c>
      <c r="I24" s="9"/>
      <c r="K24" s="9">
        <v>6</v>
      </c>
      <c r="L24" s="9">
        <v>80</v>
      </c>
      <c r="M24" s="34">
        <f t="shared" si="0"/>
        <v>1200</v>
      </c>
    </row>
    <row r="25" spans="2:13" x14ac:dyDescent="0.35">
      <c r="B25" s="9" t="s">
        <v>157</v>
      </c>
      <c r="C25" s="25">
        <f>100*12</f>
        <v>1200</v>
      </c>
      <c r="G25" s="9" t="s">
        <v>170</v>
      </c>
      <c r="H25" s="9">
        <f>H24*H17</f>
        <v>750</v>
      </c>
      <c r="I25" s="9"/>
      <c r="K25" s="9">
        <v>7</v>
      </c>
      <c r="L25" s="9">
        <v>100</v>
      </c>
      <c r="M25" s="34">
        <f t="shared" si="0"/>
        <v>1500</v>
      </c>
    </row>
    <row r="26" spans="2:13" x14ac:dyDescent="0.35">
      <c r="B26" s="9" t="s">
        <v>158</v>
      </c>
      <c r="C26" s="25">
        <f>800*12</f>
        <v>9600</v>
      </c>
      <c r="D26" s="30"/>
      <c r="G26" s="9" t="s">
        <v>172</v>
      </c>
      <c r="H26" s="9">
        <v>30</v>
      </c>
      <c r="I26" s="9"/>
      <c r="K26" s="9">
        <v>8</v>
      </c>
      <c r="L26" s="9">
        <v>100</v>
      </c>
      <c r="M26" s="34">
        <f t="shared" si="0"/>
        <v>1500</v>
      </c>
    </row>
    <row r="27" spans="2:13" x14ac:dyDescent="0.35">
      <c r="B27" s="9" t="s">
        <v>159</v>
      </c>
      <c r="C27" s="25">
        <f>2500*12</f>
        <v>30000</v>
      </c>
      <c r="G27" s="9"/>
      <c r="H27" s="9"/>
      <c r="I27" s="9"/>
      <c r="K27" s="9">
        <v>9</v>
      </c>
      <c r="L27" s="9">
        <v>200</v>
      </c>
      <c r="M27" s="34">
        <f t="shared" si="0"/>
        <v>3000</v>
      </c>
    </row>
    <row r="28" spans="2:13" x14ac:dyDescent="0.35">
      <c r="B28" s="9" t="s">
        <v>199</v>
      </c>
      <c r="C28" s="25">
        <v>20000</v>
      </c>
      <c r="G28" s="9"/>
      <c r="H28" s="9"/>
      <c r="I28" s="9"/>
      <c r="K28" s="9">
        <v>10</v>
      </c>
      <c r="L28" s="9">
        <v>200</v>
      </c>
      <c r="M28" s="34">
        <f>L28*$H$20</f>
        <v>3000</v>
      </c>
    </row>
    <row r="29" spans="2:13" x14ac:dyDescent="0.35">
      <c r="B29" s="9"/>
      <c r="C29" s="25"/>
      <c r="G29" s="9" t="s">
        <v>173</v>
      </c>
      <c r="H29" s="9"/>
      <c r="I29" s="9"/>
      <c r="K29" s="9">
        <v>11</v>
      </c>
      <c r="L29" s="9">
        <v>200</v>
      </c>
      <c r="M29" s="34">
        <f>L29*$H$20</f>
        <v>3000</v>
      </c>
    </row>
    <row r="30" spans="2:13" x14ac:dyDescent="0.35">
      <c r="B30" s="9" t="s">
        <v>186</v>
      </c>
      <c r="C30" s="25">
        <f>SUM(C23:C28)</f>
        <v>69200</v>
      </c>
      <c r="G30" s="9" t="s">
        <v>174</v>
      </c>
      <c r="H30" s="9"/>
      <c r="I30" s="9"/>
      <c r="K30" s="9">
        <v>12</v>
      </c>
      <c r="L30" s="9">
        <v>200</v>
      </c>
      <c r="M30" s="34">
        <f>L30*$H$20</f>
        <v>3000</v>
      </c>
    </row>
    <row r="31" spans="2:13" x14ac:dyDescent="0.35">
      <c r="B31" s="9"/>
      <c r="C31" s="34">
        <f>SUM(C23:C27)</f>
        <v>49200</v>
      </c>
      <c r="G31" s="9" t="s">
        <v>175</v>
      </c>
      <c r="H31" s="9">
        <v>5000</v>
      </c>
      <c r="I31" s="9"/>
      <c r="M31" s="34">
        <f>SUM(M19:M30)</f>
        <v>18300</v>
      </c>
    </row>
    <row r="32" spans="2:13" x14ac:dyDescent="0.35">
      <c r="B32" s="9" t="s">
        <v>191</v>
      </c>
      <c r="C32" s="34">
        <f>C20-C30</f>
        <v>-11390</v>
      </c>
      <c r="G32" s="9" t="s">
        <v>177</v>
      </c>
      <c r="H32" s="35">
        <v>0.15</v>
      </c>
      <c r="I32" s="9"/>
      <c r="K32" s="9"/>
      <c r="L32" s="9"/>
    </row>
    <row r="33" spans="2:13" x14ac:dyDescent="0.35">
      <c r="C33" s="33">
        <f>C20-C31</f>
        <v>8610</v>
      </c>
      <c r="G33" s="9" t="s">
        <v>176</v>
      </c>
      <c r="H33" s="35">
        <v>0.1</v>
      </c>
      <c r="I33" s="9"/>
    </row>
    <row r="34" spans="2:13" x14ac:dyDescent="0.35">
      <c r="B34" s="9" t="s">
        <v>189</v>
      </c>
      <c r="C34" s="9">
        <v>35000</v>
      </c>
      <c r="G34" s="9" t="s">
        <v>178</v>
      </c>
      <c r="H34" s="9">
        <f>H31*H32*H33</f>
        <v>75</v>
      </c>
      <c r="I34" s="9"/>
    </row>
    <row r="35" spans="2:13" x14ac:dyDescent="0.35">
      <c r="B35" s="9" t="s">
        <v>190</v>
      </c>
      <c r="C35" s="10">
        <f>C32/C34</f>
        <v>-0.32542857142857146</v>
      </c>
      <c r="G35" s="9" t="s">
        <v>179</v>
      </c>
      <c r="H35" s="9">
        <v>150</v>
      </c>
      <c r="I35" s="9" t="s">
        <v>180</v>
      </c>
      <c r="L35" t="s">
        <v>205</v>
      </c>
    </row>
    <row r="36" spans="2:13" x14ac:dyDescent="0.35">
      <c r="G36" s="9"/>
      <c r="H36" s="9"/>
      <c r="I36" s="9"/>
      <c r="L36">
        <v>10000</v>
      </c>
    </row>
    <row r="37" spans="2:13" x14ac:dyDescent="0.35">
      <c r="B37" s="9" t="s">
        <v>196</v>
      </c>
      <c r="C37" s="37">
        <f>C26/H19</f>
        <v>32</v>
      </c>
      <c r="G37" s="9" t="s">
        <v>181</v>
      </c>
      <c r="H37" s="9"/>
      <c r="I37" s="9"/>
      <c r="L37" s="1">
        <v>0.01</v>
      </c>
    </row>
    <row r="38" spans="2:13" x14ac:dyDescent="0.35">
      <c r="G38" s="9" t="s">
        <v>182</v>
      </c>
      <c r="H38" s="9">
        <v>0.4</v>
      </c>
      <c r="I38" s="9"/>
      <c r="L38">
        <f>L37*L36</f>
        <v>100</v>
      </c>
    </row>
    <row r="39" spans="2:13" x14ac:dyDescent="0.35">
      <c r="B39" s="9" t="s">
        <v>197</v>
      </c>
      <c r="C39" s="36">
        <f>-C32/H20</f>
        <v>759.33333333333337</v>
      </c>
      <c r="D39" s="33"/>
      <c r="G39" s="9" t="s">
        <v>183</v>
      </c>
      <c r="H39" s="9">
        <f>H38*H19</f>
        <v>120</v>
      </c>
      <c r="I39" s="9"/>
      <c r="L39" s="33">
        <f>H20*L38</f>
        <v>1500</v>
      </c>
      <c r="M39">
        <v>6</v>
      </c>
    </row>
    <row r="40" spans="2:13" x14ac:dyDescent="0.35">
      <c r="B40" s="9" t="s">
        <v>198</v>
      </c>
      <c r="C40" s="38">
        <f>C39/12</f>
        <v>63.277777777777779</v>
      </c>
      <c r="G40" s="9" t="s">
        <v>184</v>
      </c>
      <c r="H40" s="31">
        <v>4</v>
      </c>
      <c r="I40" s="9"/>
      <c r="L40">
        <v>3300</v>
      </c>
    </row>
    <row r="41" spans="2:13" x14ac:dyDescent="0.35">
      <c r="L41" s="33">
        <f>L39*M39+L40</f>
        <v>12300</v>
      </c>
    </row>
    <row r="43" spans="2:13" x14ac:dyDescent="0.35">
      <c r="B43" t="s">
        <v>200</v>
      </c>
    </row>
    <row r="44" spans="2:13" x14ac:dyDescent="0.35">
      <c r="B44" t="s">
        <v>201</v>
      </c>
      <c r="C44" s="39">
        <v>50000000</v>
      </c>
      <c r="D44" s="40">
        <f>C44*30%</f>
        <v>15000000</v>
      </c>
      <c r="E44" s="41">
        <f>D44*30%</f>
        <v>4500000</v>
      </c>
      <c r="L44" s="1">
        <v>0.05</v>
      </c>
    </row>
    <row r="45" spans="2:13" x14ac:dyDescent="0.35">
      <c r="B45" t="s">
        <v>202</v>
      </c>
      <c r="C45">
        <v>600000</v>
      </c>
      <c r="D45" s="41">
        <f>E44*12%</f>
        <v>540000</v>
      </c>
      <c r="E45" s="41">
        <f>16%*E44</f>
        <v>720000</v>
      </c>
      <c r="F45" t="s">
        <v>204</v>
      </c>
      <c r="L45">
        <f>L44*L36</f>
        <v>500</v>
      </c>
    </row>
    <row r="46" spans="2:13" x14ac:dyDescent="0.35">
      <c r="B46" t="s">
        <v>203</v>
      </c>
      <c r="C46">
        <f>H17</f>
        <v>15000</v>
      </c>
      <c r="L46">
        <f>30</f>
        <v>30</v>
      </c>
    </row>
    <row r="47" spans="2:13" x14ac:dyDescent="0.35">
      <c r="L47" s="42">
        <f>L46*L45</f>
        <v>15000</v>
      </c>
    </row>
    <row r="49" spans="12:13" x14ac:dyDescent="0.35">
      <c r="L49">
        <v>5000</v>
      </c>
    </row>
    <row r="50" spans="12:13" x14ac:dyDescent="0.35">
      <c r="L50" s="1">
        <v>0.15</v>
      </c>
    </row>
    <row r="51" spans="12:13" x14ac:dyDescent="0.35">
      <c r="L51" s="1">
        <v>0.1</v>
      </c>
    </row>
    <row r="52" spans="12:13" x14ac:dyDescent="0.35">
      <c r="L52">
        <f>L49*L50*L51</f>
        <v>75</v>
      </c>
    </row>
    <row r="53" spans="12:13" x14ac:dyDescent="0.35">
      <c r="L53">
        <v>150</v>
      </c>
    </row>
    <row r="54" spans="12:13" x14ac:dyDescent="0.35">
      <c r="L54">
        <f>L53*L52</f>
        <v>11250</v>
      </c>
    </row>
    <row r="56" spans="12:13" x14ac:dyDescent="0.35">
      <c r="L56">
        <v>0.4</v>
      </c>
    </row>
    <row r="57" spans="12:13" x14ac:dyDescent="0.35">
      <c r="L57">
        <f>L56*L38</f>
        <v>40</v>
      </c>
    </row>
    <row r="58" spans="12:13" x14ac:dyDescent="0.35">
      <c r="L58" s="43">
        <v>4</v>
      </c>
    </row>
    <row r="59" spans="12:13" x14ac:dyDescent="0.35">
      <c r="L59" s="43">
        <f>L58*L57</f>
        <v>160</v>
      </c>
    </row>
    <row r="60" spans="12:13" x14ac:dyDescent="0.35">
      <c r="L60" t="s">
        <v>187</v>
      </c>
      <c r="M60" s="33">
        <f>L54+L47+L41+L59*12</f>
        <v>40470</v>
      </c>
    </row>
    <row r="61" spans="12:13" x14ac:dyDescent="0.35">
      <c r="L61" t="s">
        <v>206</v>
      </c>
      <c r="M61" s="33">
        <f>C31</f>
        <v>49200</v>
      </c>
    </row>
    <row r="63" spans="12:13" x14ac:dyDescent="0.35">
      <c r="L63" t="s">
        <v>207</v>
      </c>
      <c r="M63" s="33">
        <f>M60-M61</f>
        <v>-8730</v>
      </c>
    </row>
    <row r="65" spans="12:13" x14ac:dyDescent="0.35">
      <c r="L65" t="s">
        <v>196</v>
      </c>
      <c r="M65" s="33">
        <f>C26/L38</f>
        <v>96</v>
      </c>
    </row>
    <row r="66" spans="12:13" x14ac:dyDescent="0.35">
      <c r="L66" t="s">
        <v>208</v>
      </c>
      <c r="M66" s="44">
        <f>-M63/15</f>
        <v>582</v>
      </c>
    </row>
    <row r="67" spans="12:13" x14ac:dyDescent="0.35">
      <c r="L67" t="s">
        <v>209</v>
      </c>
      <c r="M67">
        <f>M66/12</f>
        <v>48.5</v>
      </c>
    </row>
  </sheetData>
  <mergeCells count="1">
    <mergeCell ref="E3:N3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5448-EE1E-4DD3-B71F-F82E3B12D2D6}">
  <dimension ref="B2:L14"/>
  <sheetViews>
    <sheetView workbookViewId="0">
      <selection activeCell="E7" sqref="E7"/>
    </sheetView>
  </sheetViews>
  <sheetFormatPr defaultRowHeight="14.5" x14ac:dyDescent="0.35"/>
  <cols>
    <col min="2" max="2" width="10.81640625" bestFit="1" customWidth="1"/>
    <col min="3" max="3" width="14.1796875" bestFit="1" customWidth="1"/>
    <col min="4" max="4" width="14.36328125" bestFit="1" customWidth="1"/>
    <col min="7" max="7" width="18.453125" bestFit="1" customWidth="1"/>
    <col min="8" max="8" width="10.7265625" bestFit="1" customWidth="1"/>
  </cols>
  <sheetData>
    <row r="2" spans="2:12" x14ac:dyDescent="0.35">
      <c r="G2" t="s">
        <v>44</v>
      </c>
      <c r="H2" t="s">
        <v>45</v>
      </c>
      <c r="J2" t="s">
        <v>56</v>
      </c>
      <c r="L2" t="s">
        <v>57</v>
      </c>
    </row>
    <row r="3" spans="2:12" x14ac:dyDescent="0.35">
      <c r="B3" t="s">
        <v>33</v>
      </c>
      <c r="C3" t="s">
        <v>42</v>
      </c>
      <c r="D3" t="s">
        <v>43</v>
      </c>
      <c r="G3" s="6" t="s">
        <v>34</v>
      </c>
      <c r="H3" s="8">
        <v>6.5000000000000002E-2</v>
      </c>
      <c r="J3">
        <v>0</v>
      </c>
      <c r="L3" s="3">
        <v>0.05</v>
      </c>
    </row>
    <row r="4" spans="2:12" x14ac:dyDescent="0.35">
      <c r="B4" s="6" t="s">
        <v>34</v>
      </c>
      <c r="C4" s="8">
        <v>0</v>
      </c>
      <c r="D4" s="8">
        <v>6.5000000000000002E-2</v>
      </c>
      <c r="G4" s="6" t="s">
        <v>35</v>
      </c>
      <c r="H4" s="8">
        <v>6.6250000000000003E-2</v>
      </c>
      <c r="J4">
        <v>5</v>
      </c>
      <c r="L4" s="3">
        <v>0.1</v>
      </c>
    </row>
    <row r="5" spans="2:12" x14ac:dyDescent="0.35">
      <c r="B5" s="6" t="s">
        <v>35</v>
      </c>
      <c r="C5" s="8">
        <v>1.25E-3</v>
      </c>
      <c r="D5" s="8">
        <v>6.6250000000000003E-2</v>
      </c>
      <c r="G5" s="6" t="s">
        <v>36</v>
      </c>
      <c r="H5" s="8">
        <v>6.7500000000000004E-2</v>
      </c>
      <c r="J5">
        <v>10</v>
      </c>
      <c r="L5" s="3">
        <v>0.15</v>
      </c>
    </row>
    <row r="6" spans="2:12" x14ac:dyDescent="0.35">
      <c r="B6" s="6" t="s">
        <v>36</v>
      </c>
      <c r="C6" s="8">
        <v>2.5000000000000001E-3</v>
      </c>
      <c r="D6" s="8">
        <v>6.7500000000000004E-2</v>
      </c>
      <c r="G6" s="6" t="s">
        <v>37</v>
      </c>
      <c r="H6" s="8">
        <v>6.8750000000000006E-2</v>
      </c>
      <c r="J6">
        <v>15</v>
      </c>
      <c r="L6" s="3">
        <v>0.2</v>
      </c>
    </row>
    <row r="7" spans="2:12" x14ac:dyDescent="0.35">
      <c r="B7" s="6" t="s">
        <v>37</v>
      </c>
      <c r="C7" s="8">
        <v>3.7499999999999999E-3</v>
      </c>
      <c r="D7" s="8">
        <v>6.8750000000000006E-2</v>
      </c>
      <c r="G7" s="6" t="s">
        <v>38</v>
      </c>
      <c r="H7" s="8">
        <v>7.1249999999999994E-2</v>
      </c>
      <c r="J7">
        <v>20</v>
      </c>
      <c r="L7" s="3">
        <v>0.25</v>
      </c>
    </row>
    <row r="8" spans="2:12" x14ac:dyDescent="0.35">
      <c r="B8" s="6" t="s">
        <v>38</v>
      </c>
      <c r="C8" s="8">
        <v>6.2500000000000003E-3</v>
      </c>
      <c r="D8" s="8">
        <v>7.1249999999999994E-2</v>
      </c>
      <c r="G8" s="6" t="s">
        <v>39</v>
      </c>
      <c r="H8" s="8">
        <v>7.3749999999999996E-2</v>
      </c>
      <c r="J8">
        <v>25</v>
      </c>
      <c r="L8" s="3">
        <v>0.3</v>
      </c>
    </row>
    <row r="9" spans="2:12" x14ac:dyDescent="0.35">
      <c r="B9" s="6" t="s">
        <v>39</v>
      </c>
      <c r="C9" s="8">
        <v>8.7500000000000008E-3</v>
      </c>
      <c r="D9" s="8">
        <v>7.3749999999999996E-2</v>
      </c>
      <c r="G9" s="6" t="s">
        <v>40</v>
      </c>
      <c r="H9" s="8">
        <v>7.6249999999999998E-2</v>
      </c>
      <c r="J9">
        <v>30</v>
      </c>
      <c r="L9" s="3">
        <v>0.35</v>
      </c>
    </row>
    <row r="10" spans="2:12" x14ac:dyDescent="0.35">
      <c r="B10" s="6" t="s">
        <v>40</v>
      </c>
      <c r="C10" s="8">
        <v>1.125E-2</v>
      </c>
      <c r="D10" s="8">
        <v>7.6249999999999998E-2</v>
      </c>
      <c r="G10" s="6" t="s">
        <v>41</v>
      </c>
      <c r="H10" s="8">
        <v>7.8750000000000001E-2</v>
      </c>
      <c r="J10">
        <v>35</v>
      </c>
      <c r="L10" s="3">
        <v>0.4</v>
      </c>
    </row>
    <row r="11" spans="2:12" x14ac:dyDescent="0.35">
      <c r="B11" s="6" t="s">
        <v>41</v>
      </c>
      <c r="C11" s="8">
        <v>1.375E-2</v>
      </c>
      <c r="D11" s="8">
        <v>7.8750000000000001E-2</v>
      </c>
      <c r="J11">
        <v>40</v>
      </c>
      <c r="L11" s="3">
        <v>0.45</v>
      </c>
    </row>
    <row r="13" spans="2:12" x14ac:dyDescent="0.35">
      <c r="B13" t="s">
        <v>31</v>
      </c>
      <c r="C13" s="4">
        <v>6.5000000000000002E-2</v>
      </c>
    </row>
    <row r="14" spans="2:12" x14ac:dyDescent="0.35">
      <c r="B14" t="s">
        <v>32</v>
      </c>
      <c r="C14" s="5">
        <v>2.5000000000000001E-3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8395-D3DF-4C82-9D20-CFFF93F11F24}">
  <dimension ref="A1:C108"/>
  <sheetViews>
    <sheetView workbookViewId="0">
      <selection activeCell="J2" sqref="J2"/>
    </sheetView>
  </sheetViews>
  <sheetFormatPr defaultRowHeight="14.5" x14ac:dyDescent="0.35"/>
  <cols>
    <col min="1" max="1" width="18.6328125" customWidth="1"/>
    <col min="2" max="2" width="15.54296875" customWidth="1"/>
    <col min="3" max="3" width="21.6328125" customWidth="1"/>
  </cols>
  <sheetData>
    <row r="1" spans="1:3" ht="29" customHeight="1" x14ac:dyDescent="0.35">
      <c r="A1" s="49" t="s">
        <v>46</v>
      </c>
      <c r="B1" s="49" t="s">
        <v>111</v>
      </c>
      <c r="C1" s="49" t="s">
        <v>112</v>
      </c>
    </row>
    <row r="2" spans="1:3" x14ac:dyDescent="0.35">
      <c r="A2" s="49"/>
      <c r="B2" s="49"/>
      <c r="C2" s="49"/>
    </row>
    <row r="3" spans="1:3" ht="14.5" customHeight="1" x14ac:dyDescent="0.35">
      <c r="A3" s="50" t="s">
        <v>113</v>
      </c>
      <c r="B3" s="51">
        <v>2110</v>
      </c>
      <c r="C3" s="51">
        <v>176</v>
      </c>
    </row>
    <row r="4" spans="1:3" x14ac:dyDescent="0.35">
      <c r="A4" s="50"/>
      <c r="B4" s="51"/>
      <c r="C4" s="51"/>
    </row>
    <row r="5" spans="1:3" x14ac:dyDescent="0.35">
      <c r="A5" s="52" t="s">
        <v>59</v>
      </c>
      <c r="B5" s="51">
        <v>3420</v>
      </c>
      <c r="C5" s="51">
        <v>285</v>
      </c>
    </row>
    <row r="6" spans="1:3" x14ac:dyDescent="0.35">
      <c r="A6" s="52"/>
      <c r="B6" s="51"/>
      <c r="C6" s="51"/>
    </row>
    <row r="7" spans="1:3" x14ac:dyDescent="0.35">
      <c r="A7" s="52" t="s">
        <v>60</v>
      </c>
      <c r="B7" s="51">
        <v>1035</v>
      </c>
      <c r="C7" s="51">
        <v>86</v>
      </c>
    </row>
    <row r="8" spans="1:3" x14ac:dyDescent="0.35">
      <c r="A8" s="52"/>
      <c r="B8" s="51"/>
      <c r="C8" s="51"/>
    </row>
    <row r="9" spans="1:3" x14ac:dyDescent="0.35">
      <c r="A9" s="52" t="s">
        <v>61</v>
      </c>
      <c r="B9" s="51">
        <v>2565</v>
      </c>
      <c r="C9" s="51">
        <v>214</v>
      </c>
    </row>
    <row r="10" spans="1:3" x14ac:dyDescent="0.35">
      <c r="A10" s="52"/>
      <c r="B10" s="51"/>
      <c r="C10" s="51"/>
    </row>
    <row r="11" spans="1:3" x14ac:dyDescent="0.35">
      <c r="A11" s="52" t="s">
        <v>62</v>
      </c>
      <c r="B11" s="51">
        <v>3215</v>
      </c>
      <c r="C11" s="51">
        <v>268</v>
      </c>
    </row>
    <row r="12" spans="1:3" x14ac:dyDescent="0.35">
      <c r="A12" s="52"/>
      <c r="B12" s="51"/>
      <c r="C12" s="51"/>
    </row>
    <row r="13" spans="1:3" x14ac:dyDescent="0.35">
      <c r="A13" s="52" t="s">
        <v>63</v>
      </c>
      <c r="B13" s="51">
        <v>1335</v>
      </c>
      <c r="C13" s="51">
        <v>111</v>
      </c>
    </row>
    <row r="14" spans="1:3" x14ac:dyDescent="0.35">
      <c r="A14" s="52"/>
      <c r="B14" s="51"/>
      <c r="C14" s="51"/>
    </row>
    <row r="15" spans="1:3" x14ac:dyDescent="0.35">
      <c r="A15" s="52" t="s">
        <v>64</v>
      </c>
      <c r="B15" s="51">
        <v>4175</v>
      </c>
      <c r="C15" s="51">
        <v>348</v>
      </c>
    </row>
    <row r="16" spans="1:3" x14ac:dyDescent="0.35">
      <c r="A16" s="52"/>
      <c r="B16" s="51"/>
      <c r="C16" s="51"/>
    </row>
    <row r="17" spans="1:3" ht="14.5" customHeight="1" x14ac:dyDescent="0.35">
      <c r="A17" s="52" t="s">
        <v>65</v>
      </c>
      <c r="B17" s="51">
        <v>1870</v>
      </c>
      <c r="C17" s="51">
        <v>156</v>
      </c>
    </row>
    <row r="18" spans="1:3" x14ac:dyDescent="0.35">
      <c r="A18" s="52"/>
      <c r="B18" s="51"/>
      <c r="C18" s="51"/>
    </row>
    <row r="19" spans="1:3" x14ac:dyDescent="0.35">
      <c r="A19" s="52" t="s">
        <v>66</v>
      </c>
      <c r="B19" s="51">
        <v>1025</v>
      </c>
      <c r="C19" s="51">
        <v>85</v>
      </c>
    </row>
    <row r="20" spans="1:3" x14ac:dyDescent="0.35">
      <c r="A20" s="52"/>
      <c r="B20" s="51"/>
      <c r="C20" s="51"/>
    </row>
    <row r="21" spans="1:3" x14ac:dyDescent="0.35">
      <c r="A21" s="52" t="s">
        <v>67</v>
      </c>
      <c r="B21" s="51">
        <v>2625</v>
      </c>
      <c r="C21" s="51">
        <v>219</v>
      </c>
    </row>
    <row r="22" spans="1:3" x14ac:dyDescent="0.35">
      <c r="A22" s="52"/>
      <c r="B22" s="51"/>
      <c r="C22" s="51"/>
    </row>
    <row r="23" spans="1:3" x14ac:dyDescent="0.35">
      <c r="A23" s="52" t="s">
        <v>68</v>
      </c>
      <c r="B23" s="51">
        <v>2435</v>
      </c>
      <c r="C23" s="51">
        <v>203</v>
      </c>
    </row>
    <row r="24" spans="1:3" x14ac:dyDescent="0.35">
      <c r="A24" s="52"/>
      <c r="B24" s="51"/>
      <c r="C24" s="51"/>
    </row>
    <row r="25" spans="1:3" x14ac:dyDescent="0.35">
      <c r="A25" s="52" t="s">
        <v>69</v>
      </c>
      <c r="B25" s="51">
        <v>610</v>
      </c>
      <c r="C25" s="51">
        <v>51</v>
      </c>
    </row>
    <row r="26" spans="1:3" x14ac:dyDescent="0.35">
      <c r="A26" s="52"/>
      <c r="B26" s="51"/>
      <c r="C26" s="51"/>
    </row>
    <row r="27" spans="1:3" x14ac:dyDescent="0.35">
      <c r="A27" s="52" t="s">
        <v>70</v>
      </c>
      <c r="B27" s="51">
        <v>1460</v>
      </c>
      <c r="C27" s="51">
        <v>122</v>
      </c>
    </row>
    <row r="28" spans="1:3" x14ac:dyDescent="0.35">
      <c r="A28" s="52"/>
      <c r="B28" s="51"/>
      <c r="C28" s="51"/>
    </row>
    <row r="29" spans="1:3" x14ac:dyDescent="0.35">
      <c r="A29" s="52" t="s">
        <v>71</v>
      </c>
      <c r="B29" s="51">
        <v>2420</v>
      </c>
      <c r="C29" s="51">
        <v>202</v>
      </c>
    </row>
    <row r="30" spans="1:3" x14ac:dyDescent="0.35">
      <c r="A30" s="52"/>
      <c r="B30" s="51"/>
      <c r="C30" s="51"/>
    </row>
    <row r="31" spans="1:3" x14ac:dyDescent="0.35">
      <c r="A31" s="52" t="s">
        <v>72</v>
      </c>
      <c r="B31" s="51">
        <v>2495</v>
      </c>
      <c r="C31" s="51">
        <v>208</v>
      </c>
    </row>
    <row r="32" spans="1:3" x14ac:dyDescent="0.35">
      <c r="A32" s="52"/>
      <c r="B32" s="51"/>
      <c r="C32" s="51"/>
    </row>
    <row r="33" spans="1:3" x14ac:dyDescent="0.35">
      <c r="A33" s="52" t="s">
        <v>73</v>
      </c>
      <c r="B33" s="51">
        <v>2505</v>
      </c>
      <c r="C33" s="51">
        <v>209</v>
      </c>
    </row>
    <row r="34" spans="1:3" x14ac:dyDescent="0.35">
      <c r="A34" s="52"/>
      <c r="B34" s="51"/>
      <c r="C34" s="51"/>
    </row>
    <row r="35" spans="1:3" x14ac:dyDescent="0.35">
      <c r="A35" s="52" t="s">
        <v>74</v>
      </c>
      <c r="B35" s="51">
        <v>3735</v>
      </c>
      <c r="C35" s="51">
        <v>311</v>
      </c>
    </row>
    <row r="36" spans="1:3" x14ac:dyDescent="0.35">
      <c r="A36" s="52"/>
      <c r="B36" s="51"/>
      <c r="C36" s="51"/>
    </row>
    <row r="37" spans="1:3" x14ac:dyDescent="0.35">
      <c r="A37" s="52" t="s">
        <v>75</v>
      </c>
      <c r="B37" s="51">
        <v>2510</v>
      </c>
      <c r="C37" s="51">
        <v>209</v>
      </c>
    </row>
    <row r="38" spans="1:3" x14ac:dyDescent="0.35">
      <c r="A38" s="52"/>
      <c r="B38" s="51"/>
      <c r="C38" s="51"/>
    </row>
    <row r="39" spans="1:3" x14ac:dyDescent="0.35">
      <c r="A39" s="52" t="s">
        <v>76</v>
      </c>
      <c r="B39" s="51">
        <v>2220</v>
      </c>
      <c r="C39" s="51">
        <v>185</v>
      </c>
    </row>
    <row r="40" spans="1:3" x14ac:dyDescent="0.35">
      <c r="A40" s="52"/>
      <c r="B40" s="51"/>
      <c r="C40" s="51"/>
    </row>
    <row r="41" spans="1:3" x14ac:dyDescent="0.35">
      <c r="A41" s="52" t="s">
        <v>77</v>
      </c>
      <c r="B41" s="51">
        <v>1180</v>
      </c>
      <c r="C41" s="51">
        <v>98</v>
      </c>
    </row>
    <row r="42" spans="1:3" x14ac:dyDescent="0.35">
      <c r="A42" s="52"/>
      <c r="B42" s="51"/>
      <c r="C42" s="51"/>
    </row>
    <row r="43" spans="1:3" x14ac:dyDescent="0.35">
      <c r="A43" s="52" t="s">
        <v>78</v>
      </c>
      <c r="B43" s="51">
        <v>1945</v>
      </c>
      <c r="C43" s="51">
        <v>162</v>
      </c>
    </row>
    <row r="44" spans="1:3" x14ac:dyDescent="0.35">
      <c r="A44" s="52"/>
      <c r="B44" s="51"/>
      <c r="C44" s="51"/>
    </row>
    <row r="45" spans="1:3" ht="14.5" customHeight="1" x14ac:dyDescent="0.35">
      <c r="A45" s="52" t="s">
        <v>79</v>
      </c>
      <c r="B45" s="51">
        <v>1595</v>
      </c>
      <c r="C45" s="51">
        <v>133</v>
      </c>
    </row>
    <row r="46" spans="1:3" x14ac:dyDescent="0.35">
      <c r="A46" s="52"/>
      <c r="B46" s="51"/>
      <c r="C46" s="51"/>
    </row>
    <row r="47" spans="1:3" x14ac:dyDescent="0.35">
      <c r="A47" s="52" t="s">
        <v>80</v>
      </c>
      <c r="B47" s="51">
        <v>2095</v>
      </c>
      <c r="C47" s="51">
        <v>175</v>
      </c>
    </row>
    <row r="48" spans="1:3" x14ac:dyDescent="0.35">
      <c r="A48" s="52"/>
      <c r="B48" s="51"/>
      <c r="C48" s="51"/>
    </row>
    <row r="49" spans="1:3" ht="14.5" customHeight="1" x14ac:dyDescent="0.35">
      <c r="A49" s="52" t="s">
        <v>81</v>
      </c>
      <c r="B49" s="51">
        <v>2920</v>
      </c>
      <c r="C49" s="51">
        <v>243</v>
      </c>
    </row>
    <row r="50" spans="1:3" x14ac:dyDescent="0.35">
      <c r="A50" s="52"/>
      <c r="B50" s="51"/>
      <c r="C50" s="51"/>
    </row>
    <row r="51" spans="1:3" ht="14.5" customHeight="1" x14ac:dyDescent="0.35">
      <c r="A51" s="52" t="s">
        <v>82</v>
      </c>
      <c r="B51" s="51">
        <v>3310</v>
      </c>
      <c r="C51" s="51">
        <v>276</v>
      </c>
    </row>
    <row r="52" spans="1:3" x14ac:dyDescent="0.35">
      <c r="A52" s="52"/>
      <c r="B52" s="51"/>
      <c r="C52" s="51"/>
    </row>
    <row r="53" spans="1:3" x14ac:dyDescent="0.35">
      <c r="A53" s="52" t="s">
        <v>83</v>
      </c>
      <c r="B53" s="51">
        <v>3290</v>
      </c>
      <c r="C53" s="51">
        <v>274</v>
      </c>
    </row>
    <row r="54" spans="1:3" x14ac:dyDescent="0.35">
      <c r="A54" s="52"/>
      <c r="B54" s="51"/>
      <c r="C54" s="51"/>
    </row>
    <row r="55" spans="1:3" x14ac:dyDescent="0.35">
      <c r="A55" s="52" t="s">
        <v>84</v>
      </c>
      <c r="B55" s="51">
        <v>2735</v>
      </c>
      <c r="C55" s="51">
        <v>228</v>
      </c>
    </row>
    <row r="56" spans="1:3" x14ac:dyDescent="0.35">
      <c r="A56" s="52"/>
      <c r="B56" s="51"/>
      <c r="C56" s="51"/>
    </row>
    <row r="57" spans="1:3" x14ac:dyDescent="0.35">
      <c r="A57" s="52" t="s">
        <v>85</v>
      </c>
      <c r="B57" s="51">
        <v>4505</v>
      </c>
      <c r="C57" s="51">
        <v>375</v>
      </c>
    </row>
    <row r="58" spans="1:3" x14ac:dyDescent="0.35">
      <c r="A58" s="52"/>
      <c r="B58" s="51"/>
      <c r="C58" s="51"/>
    </row>
    <row r="59" spans="1:3" x14ac:dyDescent="0.35">
      <c r="A59" s="52" t="s">
        <v>86</v>
      </c>
      <c r="B59" s="51">
        <v>1305</v>
      </c>
      <c r="C59" s="51">
        <v>109</v>
      </c>
    </row>
    <row r="60" spans="1:3" x14ac:dyDescent="0.35">
      <c r="A60" s="52"/>
      <c r="B60" s="51"/>
      <c r="C60" s="51"/>
    </row>
    <row r="61" spans="1:3" ht="29" customHeight="1" x14ac:dyDescent="0.35">
      <c r="A61" s="52" t="s">
        <v>87</v>
      </c>
      <c r="B61" s="51">
        <v>1185</v>
      </c>
      <c r="C61" s="51">
        <v>99</v>
      </c>
    </row>
    <row r="62" spans="1:3" x14ac:dyDescent="0.35">
      <c r="A62" s="52"/>
      <c r="B62" s="51"/>
      <c r="C62" s="51"/>
    </row>
    <row r="63" spans="1:3" ht="14.5" customHeight="1" x14ac:dyDescent="0.35">
      <c r="A63" s="52" t="s">
        <v>88</v>
      </c>
      <c r="B63" s="51">
        <v>1290</v>
      </c>
      <c r="C63" s="51">
        <v>108</v>
      </c>
    </row>
    <row r="64" spans="1:3" x14ac:dyDescent="0.35">
      <c r="A64" s="52"/>
      <c r="B64" s="51"/>
      <c r="C64" s="51"/>
    </row>
    <row r="65" spans="1:3" ht="14.5" customHeight="1" x14ac:dyDescent="0.35">
      <c r="A65" s="52" t="s">
        <v>89</v>
      </c>
      <c r="B65" s="51">
        <v>1730</v>
      </c>
      <c r="C65" s="51">
        <v>144</v>
      </c>
    </row>
    <row r="66" spans="1:3" x14ac:dyDescent="0.35">
      <c r="A66" s="52"/>
      <c r="B66" s="51"/>
      <c r="C66" s="51"/>
    </row>
    <row r="67" spans="1:3" x14ac:dyDescent="0.35">
      <c r="A67" s="52" t="s">
        <v>90</v>
      </c>
      <c r="B67" s="51">
        <v>1740</v>
      </c>
      <c r="C67" s="51">
        <v>145</v>
      </c>
    </row>
    <row r="68" spans="1:3" x14ac:dyDescent="0.35">
      <c r="A68" s="52"/>
      <c r="B68" s="51"/>
      <c r="C68" s="51"/>
    </row>
    <row r="69" spans="1:3" ht="14.5" customHeight="1" x14ac:dyDescent="0.35">
      <c r="A69" s="52" t="s">
        <v>91</v>
      </c>
      <c r="B69" s="51">
        <v>2490</v>
      </c>
      <c r="C69" s="51">
        <v>208</v>
      </c>
    </row>
    <row r="70" spans="1:3" x14ac:dyDescent="0.35">
      <c r="A70" s="52"/>
      <c r="B70" s="51"/>
      <c r="C70" s="51"/>
    </row>
    <row r="71" spans="1:3" ht="14.5" customHeight="1" x14ac:dyDescent="0.35">
      <c r="A71" s="52" t="s">
        <v>92</v>
      </c>
      <c r="B71" s="51">
        <v>2805</v>
      </c>
      <c r="C71" s="51">
        <v>234</v>
      </c>
    </row>
    <row r="72" spans="1:3" x14ac:dyDescent="0.35">
      <c r="A72" s="52"/>
      <c r="B72" s="51"/>
      <c r="C72" s="51"/>
    </row>
    <row r="73" spans="1:3" x14ac:dyDescent="0.35">
      <c r="A73" s="52" t="s">
        <v>93</v>
      </c>
      <c r="B73" s="51">
        <v>1590</v>
      </c>
      <c r="C73" s="51">
        <v>133</v>
      </c>
    </row>
    <row r="74" spans="1:3" x14ac:dyDescent="0.35">
      <c r="A74" s="52"/>
      <c r="B74" s="51"/>
      <c r="C74" s="51"/>
    </row>
    <row r="75" spans="1:3" ht="14.5" customHeight="1" x14ac:dyDescent="0.35">
      <c r="A75" s="52" t="s">
        <v>94</v>
      </c>
      <c r="B75" s="51">
        <v>6210</v>
      </c>
      <c r="C75" s="51">
        <v>518</v>
      </c>
    </row>
    <row r="76" spans="1:3" x14ac:dyDescent="0.35">
      <c r="A76" s="52"/>
      <c r="B76" s="51"/>
      <c r="C76" s="51"/>
    </row>
    <row r="77" spans="1:3" x14ac:dyDescent="0.35">
      <c r="A77" s="52" t="s">
        <v>95</v>
      </c>
      <c r="B77" s="51">
        <v>1305</v>
      </c>
      <c r="C77" s="51">
        <v>109</v>
      </c>
    </row>
    <row r="78" spans="1:3" x14ac:dyDescent="0.35">
      <c r="A78" s="52"/>
      <c r="B78" s="51"/>
      <c r="C78" s="51"/>
    </row>
    <row r="79" spans="1:3" ht="14.5" customHeight="1" x14ac:dyDescent="0.35">
      <c r="A79" s="52" t="s">
        <v>96</v>
      </c>
      <c r="B79" s="51">
        <v>1440</v>
      </c>
      <c r="C79" s="51">
        <v>120</v>
      </c>
    </row>
    <row r="80" spans="1:3" x14ac:dyDescent="0.35">
      <c r="A80" s="52"/>
      <c r="B80" s="51"/>
      <c r="C80" s="51"/>
    </row>
    <row r="81" spans="1:3" ht="14.5" customHeight="1" x14ac:dyDescent="0.35">
      <c r="A81" s="52" t="s">
        <v>97</v>
      </c>
      <c r="B81" s="51">
        <v>2080</v>
      </c>
      <c r="C81" s="51">
        <v>173</v>
      </c>
    </row>
    <row r="82" spans="1:3" x14ac:dyDescent="0.35">
      <c r="A82" s="52"/>
      <c r="B82" s="51"/>
      <c r="C82" s="51"/>
    </row>
    <row r="83" spans="1:3" ht="14.5" customHeight="1" x14ac:dyDescent="0.35">
      <c r="A83" s="52" t="s">
        <v>98</v>
      </c>
      <c r="B83" s="51">
        <v>2350</v>
      </c>
      <c r="C83" s="51">
        <v>196</v>
      </c>
    </row>
    <row r="84" spans="1:3" x14ac:dyDescent="0.35">
      <c r="A84" s="52"/>
      <c r="B84" s="51"/>
      <c r="C84" s="51"/>
    </row>
    <row r="85" spans="1:3" ht="14.5" customHeight="1" x14ac:dyDescent="0.35">
      <c r="A85" s="52" t="s">
        <v>99</v>
      </c>
      <c r="B85" s="51">
        <v>3345</v>
      </c>
      <c r="C85" s="51">
        <v>279</v>
      </c>
    </row>
    <row r="86" spans="1:3" x14ac:dyDescent="0.35">
      <c r="A86" s="52"/>
      <c r="B86" s="51"/>
      <c r="C86" s="51"/>
    </row>
    <row r="87" spans="1:3" ht="14.5" customHeight="1" x14ac:dyDescent="0.35">
      <c r="A87" s="52" t="s">
        <v>100</v>
      </c>
      <c r="B87" s="51">
        <v>2850</v>
      </c>
      <c r="C87" s="51">
        <v>238</v>
      </c>
    </row>
    <row r="88" spans="1:3" x14ac:dyDescent="0.35">
      <c r="A88" s="52"/>
      <c r="B88" s="51"/>
      <c r="C88" s="51"/>
    </row>
    <row r="89" spans="1:3" x14ac:dyDescent="0.35">
      <c r="A89" s="52" t="s">
        <v>101</v>
      </c>
      <c r="B89" s="51">
        <v>4585</v>
      </c>
      <c r="C89" s="51">
        <v>382</v>
      </c>
    </row>
    <row r="90" spans="1:3" x14ac:dyDescent="0.35">
      <c r="A90" s="52"/>
      <c r="B90" s="51"/>
      <c r="C90" s="51"/>
    </row>
    <row r="91" spans="1:3" x14ac:dyDescent="0.35">
      <c r="A91" s="52" t="s">
        <v>102</v>
      </c>
      <c r="B91" s="51">
        <v>1385</v>
      </c>
      <c r="C91" s="51">
        <v>115</v>
      </c>
    </row>
    <row r="92" spans="1:3" x14ac:dyDescent="0.35">
      <c r="A92" s="52"/>
      <c r="B92" s="51"/>
      <c r="C92" s="51"/>
    </row>
    <row r="93" spans="1:3" x14ac:dyDescent="0.35">
      <c r="A93" s="52" t="s">
        <v>103</v>
      </c>
      <c r="B93" s="51">
        <v>950</v>
      </c>
      <c r="C93" s="51">
        <v>79</v>
      </c>
    </row>
    <row r="94" spans="1:3" x14ac:dyDescent="0.35">
      <c r="A94" s="52"/>
      <c r="B94" s="51"/>
      <c r="C94" s="51"/>
    </row>
    <row r="95" spans="1:3" x14ac:dyDescent="0.35">
      <c r="A95" s="52" t="s">
        <v>104</v>
      </c>
      <c r="B95" s="51">
        <v>1705</v>
      </c>
      <c r="C95" s="51">
        <v>142</v>
      </c>
    </row>
    <row r="96" spans="1:3" x14ac:dyDescent="0.35">
      <c r="A96" s="52"/>
      <c r="B96" s="51"/>
      <c r="C96" s="51"/>
    </row>
    <row r="97" spans="1:3" ht="14.5" customHeight="1" x14ac:dyDescent="0.35">
      <c r="A97" s="52" t="s">
        <v>105</v>
      </c>
      <c r="B97" s="51">
        <v>1415</v>
      </c>
      <c r="C97" s="51">
        <v>118</v>
      </c>
    </row>
    <row r="98" spans="1:3" x14ac:dyDescent="0.35">
      <c r="A98" s="52"/>
      <c r="B98" s="51"/>
      <c r="C98" s="51"/>
    </row>
    <row r="99" spans="1:3" ht="14.5" customHeight="1" x14ac:dyDescent="0.35">
      <c r="A99" s="52" t="s">
        <v>114</v>
      </c>
      <c r="B99" s="51">
        <v>1295</v>
      </c>
      <c r="C99" s="51">
        <v>108</v>
      </c>
    </row>
    <row r="100" spans="1:3" x14ac:dyDescent="0.35">
      <c r="A100" s="52"/>
      <c r="B100" s="51"/>
      <c r="C100" s="51"/>
    </row>
    <row r="101" spans="1:3" ht="14.5" customHeight="1" x14ac:dyDescent="0.35">
      <c r="A101" s="52" t="s">
        <v>106</v>
      </c>
      <c r="B101" s="51">
        <v>1770</v>
      </c>
      <c r="C101" s="51">
        <v>148</v>
      </c>
    </row>
    <row r="102" spans="1:3" x14ac:dyDescent="0.35">
      <c r="A102" s="52"/>
      <c r="B102" s="51"/>
      <c r="C102" s="51"/>
    </row>
    <row r="103" spans="1:3" ht="14.5" customHeight="1" x14ac:dyDescent="0.35">
      <c r="A103" s="52" t="s">
        <v>107</v>
      </c>
      <c r="B103" s="51">
        <v>1515</v>
      </c>
      <c r="C103" s="51">
        <v>126</v>
      </c>
    </row>
    <row r="104" spans="1:3" x14ac:dyDescent="0.35">
      <c r="A104" s="52"/>
      <c r="B104" s="51"/>
      <c r="C104" s="51"/>
    </row>
    <row r="105" spans="1:3" x14ac:dyDescent="0.35">
      <c r="A105" s="52" t="s">
        <v>108</v>
      </c>
      <c r="B105" s="51">
        <v>1555</v>
      </c>
      <c r="C105" s="51">
        <v>130</v>
      </c>
    </row>
    <row r="106" spans="1:3" x14ac:dyDescent="0.35">
      <c r="A106" s="52"/>
      <c r="B106" s="51"/>
      <c r="C106" s="51"/>
    </row>
    <row r="107" spans="1:3" x14ac:dyDescent="0.35">
      <c r="A107" s="50"/>
    </row>
    <row r="108" spans="1:3" x14ac:dyDescent="0.35">
      <c r="A108" s="50"/>
    </row>
  </sheetData>
  <mergeCells count="160">
    <mergeCell ref="A105:A106"/>
    <mergeCell ref="B105:B106"/>
    <mergeCell ref="C105:C106"/>
    <mergeCell ref="A107:A108"/>
    <mergeCell ref="A101:A102"/>
    <mergeCell ref="B101:B102"/>
    <mergeCell ref="C101:C102"/>
    <mergeCell ref="A103:A104"/>
    <mergeCell ref="B103:B104"/>
    <mergeCell ref="C103:C104"/>
    <mergeCell ref="A97:A98"/>
    <mergeCell ref="B97:B98"/>
    <mergeCell ref="C97:C98"/>
    <mergeCell ref="A99:A100"/>
    <mergeCell ref="B99:B100"/>
    <mergeCell ref="C99:C100"/>
    <mergeCell ref="A93:A94"/>
    <mergeCell ref="B93:B94"/>
    <mergeCell ref="C93:C94"/>
    <mergeCell ref="A95:A96"/>
    <mergeCell ref="B95:B96"/>
    <mergeCell ref="C95:C96"/>
    <mergeCell ref="A89:A90"/>
    <mergeCell ref="B89:B90"/>
    <mergeCell ref="C89:C90"/>
    <mergeCell ref="A91:A92"/>
    <mergeCell ref="B91:B92"/>
    <mergeCell ref="C91:C92"/>
    <mergeCell ref="A85:A86"/>
    <mergeCell ref="B85:B86"/>
    <mergeCell ref="C85:C86"/>
    <mergeCell ref="A87:A88"/>
    <mergeCell ref="B87:B88"/>
    <mergeCell ref="C87:C88"/>
    <mergeCell ref="A81:A82"/>
    <mergeCell ref="B81:B82"/>
    <mergeCell ref="C81:C82"/>
    <mergeCell ref="A83:A84"/>
    <mergeCell ref="B83:B84"/>
    <mergeCell ref="C83:C84"/>
    <mergeCell ref="A77:A78"/>
    <mergeCell ref="B77:B78"/>
    <mergeCell ref="C77:C78"/>
    <mergeCell ref="A79:A80"/>
    <mergeCell ref="B79:B80"/>
    <mergeCell ref="C79:C80"/>
    <mergeCell ref="A73:A74"/>
    <mergeCell ref="B73:B74"/>
    <mergeCell ref="C73:C74"/>
    <mergeCell ref="A75:A76"/>
    <mergeCell ref="B75:B76"/>
    <mergeCell ref="C75:C76"/>
    <mergeCell ref="A69:A70"/>
    <mergeCell ref="B69:B70"/>
    <mergeCell ref="C69:C70"/>
    <mergeCell ref="A71:A72"/>
    <mergeCell ref="B71:B72"/>
    <mergeCell ref="C71:C72"/>
    <mergeCell ref="A65:A66"/>
    <mergeCell ref="B65:B66"/>
    <mergeCell ref="C65:C66"/>
    <mergeCell ref="A67:A68"/>
    <mergeCell ref="B67:B68"/>
    <mergeCell ref="C67:C68"/>
    <mergeCell ref="A61:A62"/>
    <mergeCell ref="B61:B62"/>
    <mergeCell ref="C61:C62"/>
    <mergeCell ref="A63:A64"/>
    <mergeCell ref="B63:B64"/>
    <mergeCell ref="C63:C64"/>
    <mergeCell ref="A57:A58"/>
    <mergeCell ref="B57:B58"/>
    <mergeCell ref="C57:C58"/>
    <mergeCell ref="A59:A60"/>
    <mergeCell ref="B59:B60"/>
    <mergeCell ref="C59:C60"/>
    <mergeCell ref="A53:A54"/>
    <mergeCell ref="B53:B54"/>
    <mergeCell ref="C53:C54"/>
    <mergeCell ref="A55:A56"/>
    <mergeCell ref="B55:B56"/>
    <mergeCell ref="C55:C56"/>
    <mergeCell ref="A49:A50"/>
    <mergeCell ref="B49:B50"/>
    <mergeCell ref="C49:C50"/>
    <mergeCell ref="A51:A52"/>
    <mergeCell ref="B51:B52"/>
    <mergeCell ref="C51:C52"/>
    <mergeCell ref="A45:A46"/>
    <mergeCell ref="B45:B46"/>
    <mergeCell ref="C45:C46"/>
    <mergeCell ref="A47:A48"/>
    <mergeCell ref="B47:B48"/>
    <mergeCell ref="C47:C48"/>
    <mergeCell ref="A41:A42"/>
    <mergeCell ref="B41:B42"/>
    <mergeCell ref="C41:C42"/>
    <mergeCell ref="A43:A44"/>
    <mergeCell ref="B43:B44"/>
    <mergeCell ref="C43:C44"/>
    <mergeCell ref="A37:A38"/>
    <mergeCell ref="B37:B38"/>
    <mergeCell ref="C37:C38"/>
    <mergeCell ref="A39:A40"/>
    <mergeCell ref="B39:B40"/>
    <mergeCell ref="C39:C40"/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  <mergeCell ref="A9:A10"/>
    <mergeCell ref="B9:B10"/>
    <mergeCell ref="C9:C10"/>
  </mergeCells>
  <hyperlinks>
    <hyperlink ref="A5" r:id="rId1" display="https://www.nerdwallet.com/insurance/homeowners/alabama-home-insurance" xr:uid="{347CA1C8-010A-4672-BE80-12EC3B025776}"/>
    <hyperlink ref="A7" r:id="rId2" display="https://www.nerdwallet.com/insurance/homeowners/alaska-home-insurance" xr:uid="{3B07E25E-9612-4506-82E5-77E839329069}"/>
    <hyperlink ref="A9" r:id="rId3" display="https://www.nerdwallet.com/insurance/homeowners/arizona-home-insurance" xr:uid="{9AE3F0A8-94FE-4046-9113-0F226BFDD97A}"/>
    <hyperlink ref="A11" r:id="rId4" display="https://www.nerdwallet.com/insurance/homeowners/arkansas-home-insurance" xr:uid="{6FC1B25F-ED74-4403-B29A-DD8909D8A3D9}"/>
    <hyperlink ref="A13" r:id="rId5" display="https://www.nerdwallet.com/insurance/homeowners/california-home-insurance" xr:uid="{E48B33CF-EAA1-4FC1-A640-1E5FBC971DF2}"/>
    <hyperlink ref="A15" r:id="rId6" display="https://www.nerdwallet.com/insurance/homeowners/colorado-home-insurance" xr:uid="{D49D2D85-1BC9-43C4-AE3D-43BB8B81A3B1}"/>
    <hyperlink ref="A17" r:id="rId7" display="https://www.nerdwallet.com/insurance/homeowners/connecticut-home-insurance" xr:uid="{774AE666-82CE-47AB-92E7-6929A9BB1D76}"/>
    <hyperlink ref="A19" r:id="rId8" display="https://www.nerdwallet.com/insurance/homeowners/delaware-home-insurance" xr:uid="{0F034DE0-4022-4BD6-9F32-1F2290E522F9}"/>
    <hyperlink ref="A21" r:id="rId9" display="https://www.nerdwallet.com/insurance/homeowners/florida-home-insurance" xr:uid="{AE7BAA58-A09A-428B-A04F-3B508FB733C5}"/>
    <hyperlink ref="A23" r:id="rId10" display="https://www.nerdwallet.com/insurance/homeowners/georgia-home-insurance" xr:uid="{3E71EDC7-6994-40AF-AC66-532487C139C4}"/>
    <hyperlink ref="A25" r:id="rId11" display="https://www.nerdwallet.com/insurance/homeowners/hawaii-home-insurance" xr:uid="{5137BE0A-91FE-4406-9CD5-8F11FCD9C34C}"/>
    <hyperlink ref="A27" r:id="rId12" display="https://www.nerdwallet.com/insurance/homeowners/idaho-home-insurance" xr:uid="{319A9D49-2C94-4767-AD5F-C6CBBE55CFA7}"/>
    <hyperlink ref="A29" r:id="rId13" display="https://www.nerdwallet.com/insurance/homeowners/illinois-home-insurance" xr:uid="{1500347B-4822-4BD0-82E6-50A9BFCF9336}"/>
    <hyperlink ref="A31" r:id="rId14" display="https://www.nerdwallet.com/insurance/homeowners/indiana-home-insurance" xr:uid="{8632C60A-EE4F-4EA3-AA7F-8CFD72644F8A}"/>
    <hyperlink ref="A33" r:id="rId15" display="https://www.nerdwallet.com/insurance/homeowners/iowa-home-insurance" xr:uid="{9F3ABA5F-960F-46F7-B7D8-78B5218C4036}"/>
    <hyperlink ref="A35" r:id="rId16" display="https://www.nerdwallet.com/insurance/homeowners/kansas-home-insurance" xr:uid="{67C73632-CF1C-4337-8F16-E52E35E7BD93}"/>
    <hyperlink ref="A37" r:id="rId17" display="https://www.nerdwallet.com/insurance/homeowners/kentucky-home-insurance" xr:uid="{3E0B329B-C4C3-4B80-87A4-FB104A8EB940}"/>
    <hyperlink ref="A39" r:id="rId18" display="https://www.nerdwallet.com/insurance/homeowners/louisiana-home-insurance" xr:uid="{EF5D08AD-4E79-4D9D-B86D-FF44DDFB3F91}"/>
    <hyperlink ref="A41" r:id="rId19" display="https://www.nerdwallet.com/insurance/homeowners/maine-home-insurance" xr:uid="{2CEC1DDA-00E5-41C5-9182-A95AE24ED846}"/>
    <hyperlink ref="A43" r:id="rId20" display="https://www.nerdwallet.com/insurance/homeowners/maryland-home-insurance" xr:uid="{671316F6-990B-4171-81D4-9DC740380168}"/>
    <hyperlink ref="A45" r:id="rId21" display="https://www.nerdwallet.com/insurance/homeowners/massachusetts-home-insurance" xr:uid="{6AD0F658-C94D-4CB0-BC48-DC34675775E3}"/>
    <hyperlink ref="A47" r:id="rId22" display="https://www.nerdwallet.com/insurance/homeowners/michigan-home-insurance" xr:uid="{811F5677-54E5-4779-895C-8E1EDB104FD6}"/>
    <hyperlink ref="A49" r:id="rId23" display="https://www.nerdwallet.com/insurance/homeowners/minnesota-home-insurance" xr:uid="{B388B102-68D0-4547-84B6-BFD9FA8EDC67}"/>
    <hyperlink ref="A51" r:id="rId24" display="https://www.nerdwallet.com/insurance/homeowners/mississippi-home-insurance" xr:uid="{AB56BA4E-CFF4-42BF-AF8B-FDD94442D539}"/>
    <hyperlink ref="A53" r:id="rId25" display="https://www.nerdwallet.com/insurance/homeowners/missouri-home-insurance" xr:uid="{E797AB45-8962-4774-96C0-5CEE9348FE86}"/>
    <hyperlink ref="A55" r:id="rId26" display="https://www.nerdwallet.com/insurance/homeowners/montana-home-insurance" xr:uid="{BCDCCA18-097D-4D58-9658-9616AE9258EE}"/>
    <hyperlink ref="A57" r:id="rId27" display="https://www.nerdwallet.com/insurance/homeowners/nebraska-home-insurance" xr:uid="{BE0A8048-D1A2-4BF2-BFC6-F34F497117D5}"/>
    <hyperlink ref="A59" r:id="rId28" display="https://www.nerdwallet.com/insurance/homeowners/nevada-home-insurance" xr:uid="{F7E5FD16-951E-44CE-8397-58E9397E591C}"/>
    <hyperlink ref="A61" r:id="rId29" display="https://www.nerdwallet.com/insurance/homeowners/new-hampshire-home-insurance" xr:uid="{0C443C57-1163-43BC-9A91-DBDEB5490EB9}"/>
    <hyperlink ref="A63" r:id="rId30" display="https://www.nerdwallet.com/insurance/homeowners/new-jersey-home-insurance" xr:uid="{06D53173-0F21-4CE0-A906-7FD4F82D4400}"/>
    <hyperlink ref="A65" r:id="rId31" display="https://www.nerdwallet.com/insurance/homeowners/new-mexico-home-insurance" xr:uid="{BC3EF44C-76A6-463E-A4E7-EEC5E7B4423E}"/>
    <hyperlink ref="A67" r:id="rId32" display="https://www.nerdwallet.com/insurance/homeowners/new-york-home-insurance" xr:uid="{D72CDB0B-AD48-4837-A2E6-23DE1EC01D96}"/>
    <hyperlink ref="A69" r:id="rId33" display="https://www.nerdwallet.com/insurance/homeowners/north-carolina-home-insurance" xr:uid="{F4452897-D375-481B-9796-F711236F8F7C}"/>
    <hyperlink ref="A71" r:id="rId34" display="https://www.nerdwallet.com/insurance/homeowners/north-dakota-home-insurance" xr:uid="{E0D6A4CD-8580-488A-B50E-C3771BC95685}"/>
    <hyperlink ref="A73" r:id="rId35" display="https://www.nerdwallet.com/insurance/homeowners/ohio-home-insurance" xr:uid="{4E038858-0B51-4411-A5C4-3C35054C0384}"/>
    <hyperlink ref="A75" r:id="rId36" display="https://www.nerdwallet.com/insurance/homeowners/oklahoma-home-insurance" xr:uid="{0E4507A8-6964-4675-8009-38AF7DEA2C90}"/>
    <hyperlink ref="A77" r:id="rId37" display="https://www.nerdwallet.com/insurance/homeowners/oregon-home-insurance" xr:uid="{6EE11295-2239-45D6-98C5-E569225BB8CB}"/>
    <hyperlink ref="A79" r:id="rId38" display="https://www.nerdwallet.com/insurance/homeowners/pennsylvania-home-insurance" xr:uid="{57F15465-050A-4022-A68A-093C78A5927C}"/>
    <hyperlink ref="A81" r:id="rId39" display="https://www.nerdwallet.com/insurance/homeowners/rhode-island-home-insurance" xr:uid="{7643CD50-49A7-4182-961A-91CD00F2D3A5}"/>
    <hyperlink ref="A83" r:id="rId40" display="https://www.nerdwallet.com/insurance/homeowners/south-carolina-home-insurance" xr:uid="{4EA0E329-4204-45D4-B860-600228B2E824}"/>
    <hyperlink ref="A85" r:id="rId41" display="https://www.nerdwallet.com/insurance/homeowners/south-dakota-home-insurance" xr:uid="{ACBE82AF-11AC-4306-B21F-C2CA1238A910}"/>
    <hyperlink ref="A87" r:id="rId42" display="https://www.nerdwallet.com/insurance/homeowners/tennessee-home-insurance" xr:uid="{21C7E154-164A-4F91-AC1E-69681C44D84C}"/>
    <hyperlink ref="A89" r:id="rId43" display="https://www.nerdwallet.com/insurance/homeowners/texas-home-insurance" xr:uid="{CC564221-9430-4310-B6BF-52443DCF0DA7}"/>
    <hyperlink ref="A91" r:id="rId44" display="https://www.nerdwallet.com/insurance/homeowners/utah-home-insurance" xr:uid="{6A0FE89A-0B75-4313-A681-5F49DFE6E91D}"/>
    <hyperlink ref="A93" r:id="rId45" display="https://www.nerdwallet.com/insurance/homeowners/vermont-home-insurance" xr:uid="{2EAEFD64-FD1C-4107-9877-1D3AC36D6CBF}"/>
    <hyperlink ref="A95" r:id="rId46" display="https://www.nerdwallet.com/insurance/homeowners/virginia-home-insurance" xr:uid="{2190FC1D-52F1-41D0-99D7-1872648A5950}"/>
    <hyperlink ref="A97" r:id="rId47" display="https://www.nerdwallet.com/insurance/homeowners/washington-home-insurance" xr:uid="{0B77B8AB-DDE4-4E91-BBA9-BF0BA0D41B7C}"/>
    <hyperlink ref="A99" r:id="rId48" display="https://www.nerdwallet.com/insurance/homeowners/washington-dc-home-insurance" xr:uid="{46A0596D-4A26-49ED-93A5-5DA24179FBA4}"/>
    <hyperlink ref="A101" r:id="rId49" display="https://www.nerdwallet.com/insurance/homeowners/west-virginia-home-insurance" xr:uid="{60DE740E-9440-46BE-B7E7-7F198C7D60F0}"/>
    <hyperlink ref="A103" r:id="rId50" display="https://www.nerdwallet.com/insurance/homeowners/wisconsin-home-insurance" xr:uid="{AC43810E-8099-45D5-9E58-17B49B1F24BA}"/>
    <hyperlink ref="A105" r:id="rId51" display="https://www.nerdwallet.com/insurance/homeowners/wyoming-home-insurance" xr:uid="{FBF41C05-6C42-4B47-9C6E-8AE2AA8037D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0265-AE73-4DA0-9866-54356A8D2C3A}">
  <dimension ref="C2:E4"/>
  <sheetViews>
    <sheetView workbookViewId="0">
      <selection activeCell="C1" sqref="C1:F6"/>
    </sheetView>
  </sheetViews>
  <sheetFormatPr defaultRowHeight="14.5" x14ac:dyDescent="0.35"/>
  <cols>
    <col min="3" max="3" width="22.54296875" customWidth="1"/>
    <col min="4" max="4" width="23.26953125" customWidth="1"/>
    <col min="5" max="5" width="33.6328125" customWidth="1"/>
  </cols>
  <sheetData>
    <row r="2" spans="3:5" x14ac:dyDescent="0.35">
      <c r="C2" s="18" t="s">
        <v>53</v>
      </c>
      <c r="D2" s="18" t="s">
        <v>54</v>
      </c>
      <c r="E2" s="18" t="s">
        <v>55</v>
      </c>
    </row>
    <row r="3" spans="3:5" ht="29" x14ac:dyDescent="0.35">
      <c r="C3" s="17" t="s">
        <v>47</v>
      </c>
      <c r="D3" s="17" t="s">
        <v>48</v>
      </c>
      <c r="E3" s="6" t="s">
        <v>49</v>
      </c>
    </row>
    <row r="4" spans="3:5" ht="29" x14ac:dyDescent="0.35">
      <c r="C4" s="17" t="s">
        <v>50</v>
      </c>
      <c r="D4" s="17" t="s">
        <v>51</v>
      </c>
      <c r="E4" s="6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F91C-D115-4DCC-A553-A9839C9F39B2}">
  <dimension ref="A1:B52"/>
  <sheetViews>
    <sheetView workbookViewId="0">
      <selection activeCell="E20" sqref="E20"/>
    </sheetView>
  </sheetViews>
  <sheetFormatPr defaultRowHeight="14.5" x14ac:dyDescent="0.35"/>
  <cols>
    <col min="2" max="2" width="44.90625" bestFit="1" customWidth="1"/>
  </cols>
  <sheetData>
    <row r="1" spans="1:2" x14ac:dyDescent="0.35">
      <c r="A1" s="19" t="s">
        <v>46</v>
      </c>
      <c r="B1" s="19" t="s">
        <v>58</v>
      </c>
    </row>
    <row r="2" spans="1:2" x14ac:dyDescent="0.35">
      <c r="A2" t="s">
        <v>59</v>
      </c>
      <c r="B2" s="7">
        <v>3.5999999999999999E-3</v>
      </c>
    </row>
    <row r="3" spans="1:2" x14ac:dyDescent="0.35">
      <c r="A3" t="s">
        <v>60</v>
      </c>
      <c r="B3" s="7">
        <v>9.1000000000000004E-3</v>
      </c>
    </row>
    <row r="4" spans="1:2" x14ac:dyDescent="0.35">
      <c r="A4" t="s">
        <v>61</v>
      </c>
      <c r="B4" s="7">
        <v>4.4000000000000003E-3</v>
      </c>
    </row>
    <row r="5" spans="1:2" x14ac:dyDescent="0.35">
      <c r="A5" t="s">
        <v>62</v>
      </c>
      <c r="B5" s="7">
        <v>5.3E-3</v>
      </c>
    </row>
    <row r="6" spans="1:2" x14ac:dyDescent="0.35">
      <c r="A6" t="s">
        <v>63</v>
      </c>
      <c r="B6" s="7">
        <v>6.9999999999999993E-3</v>
      </c>
    </row>
    <row r="7" spans="1:2" x14ac:dyDescent="0.35">
      <c r="A7" t="s">
        <v>64</v>
      </c>
      <c r="B7" s="7">
        <v>5.0000000000000001E-3</v>
      </c>
    </row>
    <row r="8" spans="1:2" x14ac:dyDescent="0.35">
      <c r="A8" t="s">
        <v>65</v>
      </c>
      <c r="B8" s="7">
        <v>1.4800000000000001E-2</v>
      </c>
    </row>
    <row r="9" spans="1:2" x14ac:dyDescent="0.35">
      <c r="A9" t="s">
        <v>66</v>
      </c>
      <c r="B9" s="7">
        <v>5.0000000000000001E-3</v>
      </c>
    </row>
    <row r="10" spans="1:2" x14ac:dyDescent="0.35">
      <c r="A10" t="s">
        <v>67</v>
      </c>
      <c r="B10" s="7">
        <v>7.4000000000000003E-3</v>
      </c>
    </row>
    <row r="11" spans="1:2" x14ac:dyDescent="0.35">
      <c r="A11" t="s">
        <v>68</v>
      </c>
      <c r="B11" s="7">
        <v>7.7000000000000002E-3</v>
      </c>
    </row>
    <row r="12" spans="1:2" x14ac:dyDescent="0.35">
      <c r="A12" t="s">
        <v>69</v>
      </c>
      <c r="B12" s="7">
        <v>3.2000000000000002E-3</v>
      </c>
    </row>
    <row r="13" spans="1:2" x14ac:dyDescent="0.35">
      <c r="A13" t="s">
        <v>70</v>
      </c>
      <c r="B13" s="7">
        <v>4.7999999999999996E-3</v>
      </c>
    </row>
    <row r="14" spans="1:2" x14ac:dyDescent="0.35">
      <c r="A14" t="s">
        <v>71</v>
      </c>
      <c r="B14" s="7">
        <v>1.83E-2</v>
      </c>
    </row>
    <row r="15" spans="1:2" x14ac:dyDescent="0.35">
      <c r="A15" t="s">
        <v>72</v>
      </c>
      <c r="B15" s="7">
        <v>7.7000000000000002E-3</v>
      </c>
    </row>
    <row r="16" spans="1:2" x14ac:dyDescent="0.35">
      <c r="A16" t="s">
        <v>73</v>
      </c>
      <c r="B16" s="7">
        <v>1.23E-2</v>
      </c>
    </row>
    <row r="17" spans="1:2" x14ac:dyDescent="0.35">
      <c r="A17" t="s">
        <v>74</v>
      </c>
      <c r="B17" s="7">
        <v>1.1900000000000001E-2</v>
      </c>
    </row>
    <row r="18" spans="1:2" x14ac:dyDescent="0.35">
      <c r="A18" t="s">
        <v>75</v>
      </c>
      <c r="B18" s="7">
        <v>7.3000000000000001E-3</v>
      </c>
    </row>
    <row r="19" spans="1:2" x14ac:dyDescent="0.35">
      <c r="A19" t="s">
        <v>76</v>
      </c>
      <c r="B19" s="7">
        <v>5.5000000000000014E-3</v>
      </c>
    </row>
    <row r="20" spans="1:2" x14ac:dyDescent="0.35">
      <c r="A20" t="s">
        <v>77</v>
      </c>
      <c r="B20" s="7">
        <v>9.3999999999999986E-3</v>
      </c>
    </row>
    <row r="21" spans="1:2" x14ac:dyDescent="0.35">
      <c r="A21" t="s">
        <v>78</v>
      </c>
      <c r="B21" s="7">
        <v>9.0000000000000011E-3</v>
      </c>
    </row>
    <row r="22" spans="1:2" x14ac:dyDescent="0.35">
      <c r="A22" t="s">
        <v>79</v>
      </c>
      <c r="B22" s="7">
        <v>9.7000000000000003E-3</v>
      </c>
    </row>
    <row r="23" spans="1:2" x14ac:dyDescent="0.35">
      <c r="A23" t="s">
        <v>80</v>
      </c>
      <c r="B23" s="7">
        <v>1.15E-2</v>
      </c>
    </row>
    <row r="24" spans="1:2" x14ac:dyDescent="0.35">
      <c r="A24" t="s">
        <v>81</v>
      </c>
      <c r="B24" s="7">
        <v>9.8999999999999991E-3</v>
      </c>
    </row>
    <row r="25" spans="1:2" x14ac:dyDescent="0.35">
      <c r="A25" t="s">
        <v>82</v>
      </c>
      <c r="B25" s="7">
        <v>5.7999999999999996E-3</v>
      </c>
    </row>
    <row r="26" spans="1:2" x14ac:dyDescent="0.35">
      <c r="A26" t="s">
        <v>83</v>
      </c>
      <c r="B26" s="7">
        <v>8.8000000000000005E-3</v>
      </c>
    </row>
    <row r="27" spans="1:2" x14ac:dyDescent="0.35">
      <c r="A27" t="s">
        <v>84</v>
      </c>
      <c r="B27" s="7">
        <v>6.0000000000000001E-3</v>
      </c>
    </row>
    <row r="28" spans="1:2" x14ac:dyDescent="0.35">
      <c r="A28" t="s">
        <v>85</v>
      </c>
      <c r="B28" s="7">
        <v>1.43E-2</v>
      </c>
    </row>
    <row r="29" spans="1:2" x14ac:dyDescent="0.35">
      <c r="A29" t="s">
        <v>86</v>
      </c>
      <c r="B29" s="7">
        <v>4.8999999999999998E-3</v>
      </c>
    </row>
    <row r="30" spans="1:2" x14ac:dyDescent="0.35">
      <c r="A30" t="s">
        <v>87</v>
      </c>
      <c r="B30" s="7">
        <v>1.41E-2</v>
      </c>
    </row>
    <row r="31" spans="1:2" x14ac:dyDescent="0.35">
      <c r="A31" t="s">
        <v>88</v>
      </c>
      <c r="B31" s="7">
        <v>1.77E-2</v>
      </c>
    </row>
    <row r="32" spans="1:2" x14ac:dyDescent="0.35">
      <c r="A32" t="s">
        <v>89</v>
      </c>
      <c r="B32" s="7">
        <v>6.1000000000000004E-3</v>
      </c>
    </row>
    <row r="33" spans="1:2" x14ac:dyDescent="0.35">
      <c r="A33" t="s">
        <v>90</v>
      </c>
      <c r="B33" s="7">
        <v>1.26E-2</v>
      </c>
    </row>
    <row r="34" spans="1:2" x14ac:dyDescent="0.35">
      <c r="A34" t="s">
        <v>91</v>
      </c>
      <c r="B34" s="7">
        <v>6.1999999999999998E-3</v>
      </c>
    </row>
    <row r="35" spans="1:2" x14ac:dyDescent="0.35">
      <c r="A35" t="s">
        <v>92</v>
      </c>
      <c r="B35" s="7">
        <v>9.3999999999999986E-3</v>
      </c>
    </row>
    <row r="36" spans="1:2" x14ac:dyDescent="0.35">
      <c r="A36" t="s">
        <v>93</v>
      </c>
      <c r="B36" s="7">
        <v>1.3100000000000001E-2</v>
      </c>
    </row>
    <row r="37" spans="1:2" x14ac:dyDescent="0.35">
      <c r="A37" t="s">
        <v>94</v>
      </c>
      <c r="B37" s="7">
        <v>7.7000000000000002E-3</v>
      </c>
    </row>
    <row r="38" spans="1:2" x14ac:dyDescent="0.35">
      <c r="A38" t="s">
        <v>95</v>
      </c>
      <c r="B38" s="7">
        <v>7.8000000000000014E-3</v>
      </c>
    </row>
    <row r="39" spans="1:2" x14ac:dyDescent="0.35">
      <c r="A39" t="s">
        <v>96</v>
      </c>
      <c r="B39" s="7">
        <v>1.1900000000000001E-2</v>
      </c>
    </row>
    <row r="40" spans="1:2" x14ac:dyDescent="0.35">
      <c r="A40" t="s">
        <v>97</v>
      </c>
      <c r="B40" s="7">
        <v>1.0500000000000001E-2</v>
      </c>
    </row>
    <row r="41" spans="1:2" x14ac:dyDescent="0.35">
      <c r="A41" t="s">
        <v>98</v>
      </c>
      <c r="B41" s="7">
        <v>4.6999999999999993E-3</v>
      </c>
    </row>
    <row r="42" spans="1:2" x14ac:dyDescent="0.35">
      <c r="A42" t="s">
        <v>99</v>
      </c>
      <c r="B42" s="7">
        <v>9.8999999999999991E-3</v>
      </c>
    </row>
    <row r="43" spans="1:2" x14ac:dyDescent="0.35">
      <c r="A43" t="s">
        <v>100</v>
      </c>
      <c r="B43" s="7">
        <v>4.8999999999999998E-3</v>
      </c>
    </row>
    <row r="44" spans="1:2" x14ac:dyDescent="0.35">
      <c r="A44" t="s">
        <v>101</v>
      </c>
      <c r="B44" s="7">
        <v>1.3599999999999999E-2</v>
      </c>
    </row>
    <row r="45" spans="1:2" x14ac:dyDescent="0.35">
      <c r="A45" t="s">
        <v>102</v>
      </c>
      <c r="B45" s="7">
        <v>4.6999999999999993E-3</v>
      </c>
    </row>
    <row r="46" spans="1:2" x14ac:dyDescent="0.35">
      <c r="A46" t="s">
        <v>103</v>
      </c>
      <c r="B46" s="7">
        <v>1.4200000000000001E-2</v>
      </c>
    </row>
    <row r="47" spans="1:2" x14ac:dyDescent="0.35">
      <c r="A47" t="s">
        <v>104</v>
      </c>
      <c r="B47" s="7">
        <v>7.7000000000000002E-3</v>
      </c>
    </row>
    <row r="48" spans="1:2" x14ac:dyDescent="0.35">
      <c r="A48" t="s">
        <v>105</v>
      </c>
      <c r="B48" s="7">
        <v>7.4999999999999997E-3</v>
      </c>
    </row>
    <row r="49" spans="1:2" x14ac:dyDescent="0.35">
      <c r="A49" t="s">
        <v>106</v>
      </c>
      <c r="B49" s="7">
        <v>4.7999999999999996E-3</v>
      </c>
    </row>
    <row r="50" spans="1:2" x14ac:dyDescent="0.35">
      <c r="A50" t="s">
        <v>107</v>
      </c>
      <c r="B50" s="7">
        <v>1.2500000000000001E-2</v>
      </c>
    </row>
    <row r="51" spans="1:2" x14ac:dyDescent="0.35">
      <c r="A51" t="s">
        <v>108</v>
      </c>
      <c r="B51" s="7">
        <v>5.5000000000000014E-3</v>
      </c>
    </row>
    <row r="52" spans="1:2" x14ac:dyDescent="0.35">
      <c r="A52" t="s">
        <v>109</v>
      </c>
      <c r="B52" s="7">
        <v>6.1000000000000004E-3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01C4-892D-4F75-AB6B-0E0186E45280}">
  <dimension ref="A1:H606"/>
  <sheetViews>
    <sheetView zoomScale="94" workbookViewId="0">
      <selection activeCell="G126" sqref="G126"/>
    </sheetView>
  </sheetViews>
  <sheetFormatPr defaultRowHeight="14.5" x14ac:dyDescent="0.35"/>
  <cols>
    <col min="2" max="2" width="16.90625" customWidth="1"/>
    <col min="3" max="3" width="16.453125" customWidth="1"/>
    <col min="4" max="5" width="16" bestFit="1" customWidth="1"/>
    <col min="6" max="6" width="20.36328125" bestFit="1" customWidth="1"/>
    <col min="8" max="8" width="10.81640625" bestFit="1" customWidth="1"/>
  </cols>
  <sheetData>
    <row r="1" spans="1:6" x14ac:dyDescent="0.35">
      <c r="C1" s="9" t="s">
        <v>119</v>
      </c>
      <c r="D1" s="9">
        <f>Simulator!B8</f>
        <v>0</v>
      </c>
      <c r="E1" s="9"/>
    </row>
    <row r="2" spans="1:6" x14ac:dyDescent="0.35">
      <c r="C2" s="9" t="s">
        <v>45</v>
      </c>
      <c r="D2" s="29">
        <f>Simulator!B10</f>
        <v>6.7500000000000004E-2</v>
      </c>
      <c r="E2" s="9"/>
    </row>
    <row r="3" spans="1:6" x14ac:dyDescent="0.35">
      <c r="C3" s="9" t="s">
        <v>120</v>
      </c>
      <c r="D3" s="9">
        <f>Simulator!B11</f>
        <v>0</v>
      </c>
      <c r="E3" s="9" t="s">
        <v>121</v>
      </c>
    </row>
    <row r="4" spans="1:6" x14ac:dyDescent="0.35">
      <c r="C4" s="9" t="s">
        <v>126</v>
      </c>
      <c r="D4" s="9">
        <f>12*D3</f>
        <v>0</v>
      </c>
      <c r="E4" s="9" t="s">
        <v>127</v>
      </c>
    </row>
    <row r="6" spans="1:6" x14ac:dyDescent="0.35">
      <c r="A6" s="13" t="s">
        <v>117</v>
      </c>
      <c r="B6" s="13" t="s">
        <v>123</v>
      </c>
      <c r="C6" s="13" t="s">
        <v>122</v>
      </c>
      <c r="D6" s="13" t="s">
        <v>118</v>
      </c>
      <c r="E6" s="13" t="s">
        <v>124</v>
      </c>
      <c r="F6" s="13" t="s">
        <v>125</v>
      </c>
    </row>
    <row r="7" spans="1:6" x14ac:dyDescent="0.35">
      <c r="A7" s="9">
        <f>1</f>
        <v>1</v>
      </c>
      <c r="B7" s="23">
        <f>D1</f>
        <v>0</v>
      </c>
      <c r="C7" s="23">
        <f>($D$2/12)*B7</f>
        <v>0</v>
      </c>
      <c r="D7" s="23" t="e">
        <f>E7-C7</f>
        <v>#NUM!</v>
      </c>
      <c r="E7" s="28" t="e">
        <f>PMT($D$2/12,$D$4,-$D$1,,)</f>
        <v>#NUM!</v>
      </c>
      <c r="F7" s="23" t="e">
        <f>B7-D7</f>
        <v>#NUM!</v>
      </c>
    </row>
    <row r="8" spans="1:6" x14ac:dyDescent="0.35">
      <c r="A8" s="9">
        <v>2</v>
      </c>
      <c r="B8" s="23" t="e">
        <f>F7</f>
        <v>#NUM!</v>
      </c>
      <c r="C8" s="23" t="e">
        <f>($D$2/12)*B8</f>
        <v>#NUM!</v>
      </c>
      <c r="D8" s="23" t="e">
        <f>E8-C8</f>
        <v>#NUM!</v>
      </c>
      <c r="E8" s="28" t="e">
        <f t="shared" ref="E8:E71" si="0">PMT($D$2/12,$D$4,-$D$1,,)</f>
        <v>#NUM!</v>
      </c>
      <c r="F8" s="23" t="e">
        <f t="shared" ref="F8:F71" si="1">B8-D8</f>
        <v>#NUM!</v>
      </c>
    </row>
    <row r="9" spans="1:6" x14ac:dyDescent="0.35">
      <c r="A9" s="9">
        <v>3</v>
      </c>
      <c r="B9" s="23" t="e">
        <f t="shared" ref="B9:B72" si="2">F8</f>
        <v>#NUM!</v>
      </c>
      <c r="C9" s="23" t="e">
        <f t="shared" ref="C9:C72" si="3">($D$2/12)*B9</f>
        <v>#NUM!</v>
      </c>
      <c r="D9" s="23" t="e">
        <f t="shared" ref="D9:D72" si="4">E9-C9</f>
        <v>#NUM!</v>
      </c>
      <c r="E9" s="28" t="e">
        <f t="shared" si="0"/>
        <v>#NUM!</v>
      </c>
      <c r="F9" s="23" t="e">
        <f t="shared" si="1"/>
        <v>#NUM!</v>
      </c>
    </row>
    <row r="10" spans="1:6" x14ac:dyDescent="0.35">
      <c r="A10" s="9">
        <v>4</v>
      </c>
      <c r="B10" s="23" t="e">
        <f t="shared" si="2"/>
        <v>#NUM!</v>
      </c>
      <c r="C10" s="23" t="e">
        <f t="shared" si="3"/>
        <v>#NUM!</v>
      </c>
      <c r="D10" s="23" t="e">
        <f t="shared" si="4"/>
        <v>#NUM!</v>
      </c>
      <c r="E10" s="28" t="e">
        <f t="shared" si="0"/>
        <v>#NUM!</v>
      </c>
      <c r="F10" s="23" t="e">
        <f t="shared" si="1"/>
        <v>#NUM!</v>
      </c>
    </row>
    <row r="11" spans="1:6" x14ac:dyDescent="0.35">
      <c r="A11" s="9">
        <v>5</v>
      </c>
      <c r="B11" s="23" t="e">
        <f t="shared" si="2"/>
        <v>#NUM!</v>
      </c>
      <c r="C11" s="23" t="e">
        <f t="shared" si="3"/>
        <v>#NUM!</v>
      </c>
      <c r="D11" s="23" t="e">
        <f t="shared" si="4"/>
        <v>#NUM!</v>
      </c>
      <c r="E11" s="28" t="e">
        <f t="shared" si="0"/>
        <v>#NUM!</v>
      </c>
      <c r="F11" s="23" t="e">
        <f t="shared" si="1"/>
        <v>#NUM!</v>
      </c>
    </row>
    <row r="12" spans="1:6" x14ac:dyDescent="0.35">
      <c r="A12" s="9">
        <v>6</v>
      </c>
      <c r="B12" s="23" t="e">
        <f t="shared" si="2"/>
        <v>#NUM!</v>
      </c>
      <c r="C12" s="23" t="e">
        <f t="shared" si="3"/>
        <v>#NUM!</v>
      </c>
      <c r="D12" s="23" t="e">
        <f t="shared" si="4"/>
        <v>#NUM!</v>
      </c>
      <c r="E12" s="28" t="e">
        <f t="shared" si="0"/>
        <v>#NUM!</v>
      </c>
      <c r="F12" s="23" t="e">
        <f t="shared" si="1"/>
        <v>#NUM!</v>
      </c>
    </row>
    <row r="13" spans="1:6" x14ac:dyDescent="0.35">
      <c r="A13" s="9">
        <v>7</v>
      </c>
      <c r="B13" s="23" t="e">
        <f t="shared" si="2"/>
        <v>#NUM!</v>
      </c>
      <c r="C13" s="23" t="e">
        <f t="shared" si="3"/>
        <v>#NUM!</v>
      </c>
      <c r="D13" s="23" t="e">
        <f t="shared" si="4"/>
        <v>#NUM!</v>
      </c>
      <c r="E13" s="28" t="e">
        <f t="shared" si="0"/>
        <v>#NUM!</v>
      </c>
      <c r="F13" s="23" t="e">
        <f t="shared" si="1"/>
        <v>#NUM!</v>
      </c>
    </row>
    <row r="14" spans="1:6" x14ac:dyDescent="0.35">
      <c r="A14" s="9">
        <v>8</v>
      </c>
      <c r="B14" s="23" t="e">
        <f t="shared" si="2"/>
        <v>#NUM!</v>
      </c>
      <c r="C14" s="23" t="e">
        <f t="shared" si="3"/>
        <v>#NUM!</v>
      </c>
      <c r="D14" s="23" t="e">
        <f t="shared" si="4"/>
        <v>#NUM!</v>
      </c>
      <c r="E14" s="28" t="e">
        <f t="shared" si="0"/>
        <v>#NUM!</v>
      </c>
      <c r="F14" s="23" t="e">
        <f t="shared" si="1"/>
        <v>#NUM!</v>
      </c>
    </row>
    <row r="15" spans="1:6" x14ac:dyDescent="0.35">
      <c r="A15" s="9">
        <v>9</v>
      </c>
      <c r="B15" s="23" t="e">
        <f t="shared" si="2"/>
        <v>#NUM!</v>
      </c>
      <c r="C15" s="23" t="e">
        <f t="shared" si="3"/>
        <v>#NUM!</v>
      </c>
      <c r="D15" s="23" t="e">
        <f t="shared" si="4"/>
        <v>#NUM!</v>
      </c>
      <c r="E15" s="28" t="e">
        <f t="shared" si="0"/>
        <v>#NUM!</v>
      </c>
      <c r="F15" s="23" t="e">
        <f t="shared" si="1"/>
        <v>#NUM!</v>
      </c>
    </row>
    <row r="16" spans="1:6" x14ac:dyDescent="0.35">
      <c r="A16" s="9">
        <v>10</v>
      </c>
      <c r="B16" s="23" t="e">
        <f t="shared" si="2"/>
        <v>#NUM!</v>
      </c>
      <c r="C16" s="23" t="e">
        <f t="shared" si="3"/>
        <v>#NUM!</v>
      </c>
      <c r="D16" s="23" t="e">
        <f t="shared" si="4"/>
        <v>#NUM!</v>
      </c>
      <c r="E16" s="28" t="e">
        <f t="shared" si="0"/>
        <v>#NUM!</v>
      </c>
      <c r="F16" s="23" t="e">
        <f t="shared" si="1"/>
        <v>#NUM!</v>
      </c>
    </row>
    <row r="17" spans="1:6" x14ac:dyDescent="0.35">
      <c r="A17" s="9">
        <v>11</v>
      </c>
      <c r="B17" s="23" t="e">
        <f t="shared" si="2"/>
        <v>#NUM!</v>
      </c>
      <c r="C17" s="23" t="e">
        <f t="shared" si="3"/>
        <v>#NUM!</v>
      </c>
      <c r="D17" s="23" t="e">
        <f t="shared" si="4"/>
        <v>#NUM!</v>
      </c>
      <c r="E17" s="28" t="e">
        <f t="shared" si="0"/>
        <v>#NUM!</v>
      </c>
      <c r="F17" s="23" t="e">
        <f t="shared" si="1"/>
        <v>#NUM!</v>
      </c>
    </row>
    <row r="18" spans="1:6" x14ac:dyDescent="0.35">
      <c r="A18" s="9">
        <v>12</v>
      </c>
      <c r="B18" s="23" t="e">
        <f t="shared" si="2"/>
        <v>#NUM!</v>
      </c>
      <c r="C18" s="23" t="e">
        <f t="shared" si="3"/>
        <v>#NUM!</v>
      </c>
      <c r="D18" s="23" t="e">
        <f t="shared" si="4"/>
        <v>#NUM!</v>
      </c>
      <c r="E18" s="28" t="e">
        <f t="shared" si="0"/>
        <v>#NUM!</v>
      </c>
      <c r="F18" s="23" t="e">
        <f t="shared" si="1"/>
        <v>#NUM!</v>
      </c>
    </row>
    <row r="19" spans="1:6" x14ac:dyDescent="0.35">
      <c r="A19" s="9">
        <v>13</v>
      </c>
      <c r="B19" s="23" t="e">
        <f t="shared" si="2"/>
        <v>#NUM!</v>
      </c>
      <c r="C19" s="23" t="e">
        <f t="shared" si="3"/>
        <v>#NUM!</v>
      </c>
      <c r="D19" s="23" t="e">
        <f t="shared" si="4"/>
        <v>#NUM!</v>
      </c>
      <c r="E19" s="28" t="e">
        <f t="shared" si="0"/>
        <v>#NUM!</v>
      </c>
      <c r="F19" s="23" t="e">
        <f t="shared" si="1"/>
        <v>#NUM!</v>
      </c>
    </row>
    <row r="20" spans="1:6" x14ac:dyDescent="0.35">
      <c r="A20" s="9">
        <v>14</v>
      </c>
      <c r="B20" s="23" t="e">
        <f t="shared" si="2"/>
        <v>#NUM!</v>
      </c>
      <c r="C20" s="23" t="e">
        <f t="shared" si="3"/>
        <v>#NUM!</v>
      </c>
      <c r="D20" s="23" t="e">
        <f t="shared" si="4"/>
        <v>#NUM!</v>
      </c>
      <c r="E20" s="28" t="e">
        <f t="shared" si="0"/>
        <v>#NUM!</v>
      </c>
      <c r="F20" s="23" t="e">
        <f t="shared" si="1"/>
        <v>#NUM!</v>
      </c>
    </row>
    <row r="21" spans="1:6" x14ac:dyDescent="0.35">
      <c r="A21" s="9">
        <v>15</v>
      </c>
      <c r="B21" s="23" t="e">
        <f t="shared" si="2"/>
        <v>#NUM!</v>
      </c>
      <c r="C21" s="23" t="e">
        <f t="shared" si="3"/>
        <v>#NUM!</v>
      </c>
      <c r="D21" s="23" t="e">
        <f t="shared" si="4"/>
        <v>#NUM!</v>
      </c>
      <c r="E21" s="28" t="e">
        <f t="shared" si="0"/>
        <v>#NUM!</v>
      </c>
      <c r="F21" s="23" t="e">
        <f t="shared" si="1"/>
        <v>#NUM!</v>
      </c>
    </row>
    <row r="22" spans="1:6" x14ac:dyDescent="0.35">
      <c r="A22" s="9">
        <v>16</v>
      </c>
      <c r="B22" s="23" t="e">
        <f t="shared" si="2"/>
        <v>#NUM!</v>
      </c>
      <c r="C22" s="23" t="e">
        <f t="shared" si="3"/>
        <v>#NUM!</v>
      </c>
      <c r="D22" s="23" t="e">
        <f t="shared" si="4"/>
        <v>#NUM!</v>
      </c>
      <c r="E22" s="28" t="e">
        <f t="shared" si="0"/>
        <v>#NUM!</v>
      </c>
      <c r="F22" s="23" t="e">
        <f t="shared" si="1"/>
        <v>#NUM!</v>
      </c>
    </row>
    <row r="23" spans="1:6" x14ac:dyDescent="0.35">
      <c r="A23" s="9">
        <v>17</v>
      </c>
      <c r="B23" s="23" t="e">
        <f t="shared" si="2"/>
        <v>#NUM!</v>
      </c>
      <c r="C23" s="23" t="e">
        <f t="shared" si="3"/>
        <v>#NUM!</v>
      </c>
      <c r="D23" s="23" t="e">
        <f t="shared" si="4"/>
        <v>#NUM!</v>
      </c>
      <c r="E23" s="28" t="e">
        <f t="shared" si="0"/>
        <v>#NUM!</v>
      </c>
      <c r="F23" s="23" t="e">
        <f t="shared" si="1"/>
        <v>#NUM!</v>
      </c>
    </row>
    <row r="24" spans="1:6" x14ac:dyDescent="0.35">
      <c r="A24" s="9">
        <v>18</v>
      </c>
      <c r="B24" s="23" t="e">
        <f t="shared" si="2"/>
        <v>#NUM!</v>
      </c>
      <c r="C24" s="23" t="e">
        <f t="shared" si="3"/>
        <v>#NUM!</v>
      </c>
      <c r="D24" s="23" t="e">
        <f t="shared" si="4"/>
        <v>#NUM!</v>
      </c>
      <c r="E24" s="28" t="e">
        <f t="shared" si="0"/>
        <v>#NUM!</v>
      </c>
      <c r="F24" s="23" t="e">
        <f t="shared" si="1"/>
        <v>#NUM!</v>
      </c>
    </row>
    <row r="25" spans="1:6" x14ac:dyDescent="0.35">
      <c r="A25" s="9">
        <v>19</v>
      </c>
      <c r="B25" s="23" t="e">
        <f t="shared" si="2"/>
        <v>#NUM!</v>
      </c>
      <c r="C25" s="23" t="e">
        <f t="shared" si="3"/>
        <v>#NUM!</v>
      </c>
      <c r="D25" s="23" t="e">
        <f t="shared" si="4"/>
        <v>#NUM!</v>
      </c>
      <c r="E25" s="28" t="e">
        <f t="shared" si="0"/>
        <v>#NUM!</v>
      </c>
      <c r="F25" s="23" t="e">
        <f t="shared" si="1"/>
        <v>#NUM!</v>
      </c>
    </row>
    <row r="26" spans="1:6" x14ac:dyDescent="0.35">
      <c r="A26" s="9">
        <v>20</v>
      </c>
      <c r="B26" s="23" t="e">
        <f t="shared" si="2"/>
        <v>#NUM!</v>
      </c>
      <c r="C26" s="23" t="e">
        <f t="shared" si="3"/>
        <v>#NUM!</v>
      </c>
      <c r="D26" s="23" t="e">
        <f t="shared" si="4"/>
        <v>#NUM!</v>
      </c>
      <c r="E26" s="28" t="e">
        <f t="shared" si="0"/>
        <v>#NUM!</v>
      </c>
      <c r="F26" s="23" t="e">
        <f t="shared" si="1"/>
        <v>#NUM!</v>
      </c>
    </row>
    <row r="27" spans="1:6" x14ac:dyDescent="0.35">
      <c r="A27" s="9">
        <v>21</v>
      </c>
      <c r="B27" s="23" t="e">
        <f t="shared" si="2"/>
        <v>#NUM!</v>
      </c>
      <c r="C27" s="23" t="e">
        <f t="shared" si="3"/>
        <v>#NUM!</v>
      </c>
      <c r="D27" s="23" t="e">
        <f t="shared" si="4"/>
        <v>#NUM!</v>
      </c>
      <c r="E27" s="28" t="e">
        <f t="shared" si="0"/>
        <v>#NUM!</v>
      </c>
      <c r="F27" s="23" t="e">
        <f t="shared" si="1"/>
        <v>#NUM!</v>
      </c>
    </row>
    <row r="28" spans="1:6" x14ac:dyDescent="0.35">
      <c r="A28" s="9">
        <v>22</v>
      </c>
      <c r="B28" s="23" t="e">
        <f t="shared" si="2"/>
        <v>#NUM!</v>
      </c>
      <c r="C28" s="23" t="e">
        <f t="shared" si="3"/>
        <v>#NUM!</v>
      </c>
      <c r="D28" s="23" t="e">
        <f t="shared" si="4"/>
        <v>#NUM!</v>
      </c>
      <c r="E28" s="28" t="e">
        <f t="shared" si="0"/>
        <v>#NUM!</v>
      </c>
      <c r="F28" s="23" t="e">
        <f t="shared" si="1"/>
        <v>#NUM!</v>
      </c>
    </row>
    <row r="29" spans="1:6" x14ac:dyDescent="0.35">
      <c r="A29" s="9">
        <v>23</v>
      </c>
      <c r="B29" s="23" t="e">
        <f t="shared" si="2"/>
        <v>#NUM!</v>
      </c>
      <c r="C29" s="23" t="e">
        <f t="shared" si="3"/>
        <v>#NUM!</v>
      </c>
      <c r="D29" s="23" t="e">
        <f t="shared" si="4"/>
        <v>#NUM!</v>
      </c>
      <c r="E29" s="28" t="e">
        <f t="shared" si="0"/>
        <v>#NUM!</v>
      </c>
      <c r="F29" s="23" t="e">
        <f t="shared" si="1"/>
        <v>#NUM!</v>
      </c>
    </row>
    <row r="30" spans="1:6" x14ac:dyDescent="0.35">
      <c r="A30" s="9">
        <v>24</v>
      </c>
      <c r="B30" s="23" t="e">
        <f t="shared" si="2"/>
        <v>#NUM!</v>
      </c>
      <c r="C30" s="23" t="e">
        <f t="shared" si="3"/>
        <v>#NUM!</v>
      </c>
      <c r="D30" s="23" t="e">
        <f t="shared" si="4"/>
        <v>#NUM!</v>
      </c>
      <c r="E30" s="28" t="e">
        <f t="shared" si="0"/>
        <v>#NUM!</v>
      </c>
      <c r="F30" s="23" t="e">
        <f t="shared" si="1"/>
        <v>#NUM!</v>
      </c>
    </row>
    <row r="31" spans="1:6" x14ac:dyDescent="0.35">
      <c r="A31" s="9">
        <v>25</v>
      </c>
      <c r="B31" s="23" t="e">
        <f t="shared" si="2"/>
        <v>#NUM!</v>
      </c>
      <c r="C31" s="23" t="e">
        <f t="shared" si="3"/>
        <v>#NUM!</v>
      </c>
      <c r="D31" s="23" t="e">
        <f t="shared" si="4"/>
        <v>#NUM!</v>
      </c>
      <c r="E31" s="28" t="e">
        <f t="shared" si="0"/>
        <v>#NUM!</v>
      </c>
      <c r="F31" s="23" t="e">
        <f t="shared" si="1"/>
        <v>#NUM!</v>
      </c>
    </row>
    <row r="32" spans="1:6" x14ac:dyDescent="0.35">
      <c r="A32" s="9">
        <v>26</v>
      </c>
      <c r="B32" s="23" t="e">
        <f t="shared" si="2"/>
        <v>#NUM!</v>
      </c>
      <c r="C32" s="23" t="e">
        <f t="shared" si="3"/>
        <v>#NUM!</v>
      </c>
      <c r="D32" s="23" t="e">
        <f t="shared" si="4"/>
        <v>#NUM!</v>
      </c>
      <c r="E32" s="28" t="e">
        <f t="shared" si="0"/>
        <v>#NUM!</v>
      </c>
      <c r="F32" s="23" t="e">
        <f t="shared" si="1"/>
        <v>#NUM!</v>
      </c>
    </row>
    <row r="33" spans="1:6" x14ac:dyDescent="0.35">
      <c r="A33" s="9">
        <v>27</v>
      </c>
      <c r="B33" s="23" t="e">
        <f t="shared" si="2"/>
        <v>#NUM!</v>
      </c>
      <c r="C33" s="23" t="e">
        <f t="shared" si="3"/>
        <v>#NUM!</v>
      </c>
      <c r="D33" s="23" t="e">
        <f t="shared" si="4"/>
        <v>#NUM!</v>
      </c>
      <c r="E33" s="28" t="e">
        <f t="shared" si="0"/>
        <v>#NUM!</v>
      </c>
      <c r="F33" s="23" t="e">
        <f t="shared" si="1"/>
        <v>#NUM!</v>
      </c>
    </row>
    <row r="34" spans="1:6" x14ac:dyDescent="0.35">
      <c r="A34" s="9">
        <v>28</v>
      </c>
      <c r="B34" s="23" t="e">
        <f t="shared" si="2"/>
        <v>#NUM!</v>
      </c>
      <c r="C34" s="23" t="e">
        <f t="shared" si="3"/>
        <v>#NUM!</v>
      </c>
      <c r="D34" s="23" t="e">
        <f t="shared" si="4"/>
        <v>#NUM!</v>
      </c>
      <c r="E34" s="28" t="e">
        <f t="shared" si="0"/>
        <v>#NUM!</v>
      </c>
      <c r="F34" s="23" t="e">
        <f t="shared" si="1"/>
        <v>#NUM!</v>
      </c>
    </row>
    <row r="35" spans="1:6" x14ac:dyDescent="0.35">
      <c r="A35" s="9">
        <v>29</v>
      </c>
      <c r="B35" s="23" t="e">
        <f t="shared" si="2"/>
        <v>#NUM!</v>
      </c>
      <c r="C35" s="23" t="e">
        <f t="shared" si="3"/>
        <v>#NUM!</v>
      </c>
      <c r="D35" s="23" t="e">
        <f t="shared" si="4"/>
        <v>#NUM!</v>
      </c>
      <c r="E35" s="28" t="e">
        <f t="shared" si="0"/>
        <v>#NUM!</v>
      </c>
      <c r="F35" s="23" t="e">
        <f t="shared" si="1"/>
        <v>#NUM!</v>
      </c>
    </row>
    <row r="36" spans="1:6" x14ac:dyDescent="0.35">
      <c r="A36" s="9">
        <v>30</v>
      </c>
      <c r="B36" s="23" t="e">
        <f t="shared" si="2"/>
        <v>#NUM!</v>
      </c>
      <c r="C36" s="23" t="e">
        <f t="shared" si="3"/>
        <v>#NUM!</v>
      </c>
      <c r="D36" s="23" t="e">
        <f t="shared" si="4"/>
        <v>#NUM!</v>
      </c>
      <c r="E36" s="28" t="e">
        <f t="shared" si="0"/>
        <v>#NUM!</v>
      </c>
      <c r="F36" s="23" t="e">
        <f t="shared" si="1"/>
        <v>#NUM!</v>
      </c>
    </row>
    <row r="37" spans="1:6" x14ac:dyDescent="0.35">
      <c r="A37" s="9">
        <v>31</v>
      </c>
      <c r="B37" s="23" t="e">
        <f t="shared" si="2"/>
        <v>#NUM!</v>
      </c>
      <c r="C37" s="23" t="e">
        <f t="shared" si="3"/>
        <v>#NUM!</v>
      </c>
      <c r="D37" s="23" t="e">
        <f t="shared" si="4"/>
        <v>#NUM!</v>
      </c>
      <c r="E37" s="28" t="e">
        <f t="shared" si="0"/>
        <v>#NUM!</v>
      </c>
      <c r="F37" s="23" t="e">
        <f t="shared" si="1"/>
        <v>#NUM!</v>
      </c>
    </row>
    <row r="38" spans="1:6" x14ac:dyDescent="0.35">
      <c r="A38" s="9">
        <v>32</v>
      </c>
      <c r="B38" s="23" t="e">
        <f t="shared" si="2"/>
        <v>#NUM!</v>
      </c>
      <c r="C38" s="23" t="e">
        <f t="shared" si="3"/>
        <v>#NUM!</v>
      </c>
      <c r="D38" s="23" t="e">
        <f t="shared" si="4"/>
        <v>#NUM!</v>
      </c>
      <c r="E38" s="28" t="e">
        <f t="shared" si="0"/>
        <v>#NUM!</v>
      </c>
      <c r="F38" s="23" t="e">
        <f t="shared" si="1"/>
        <v>#NUM!</v>
      </c>
    </row>
    <row r="39" spans="1:6" x14ac:dyDescent="0.35">
      <c r="A39" s="9">
        <v>33</v>
      </c>
      <c r="B39" s="23" t="e">
        <f t="shared" si="2"/>
        <v>#NUM!</v>
      </c>
      <c r="C39" s="23" t="e">
        <f t="shared" si="3"/>
        <v>#NUM!</v>
      </c>
      <c r="D39" s="23" t="e">
        <f t="shared" si="4"/>
        <v>#NUM!</v>
      </c>
      <c r="E39" s="28" t="e">
        <f t="shared" si="0"/>
        <v>#NUM!</v>
      </c>
      <c r="F39" s="23" t="e">
        <f t="shared" si="1"/>
        <v>#NUM!</v>
      </c>
    </row>
    <row r="40" spans="1:6" x14ac:dyDescent="0.35">
      <c r="A40" s="9">
        <v>34</v>
      </c>
      <c r="B40" s="23" t="e">
        <f t="shared" si="2"/>
        <v>#NUM!</v>
      </c>
      <c r="C40" s="23" t="e">
        <f t="shared" si="3"/>
        <v>#NUM!</v>
      </c>
      <c r="D40" s="23" t="e">
        <f t="shared" si="4"/>
        <v>#NUM!</v>
      </c>
      <c r="E40" s="28" t="e">
        <f t="shared" si="0"/>
        <v>#NUM!</v>
      </c>
      <c r="F40" s="23" t="e">
        <f t="shared" si="1"/>
        <v>#NUM!</v>
      </c>
    </row>
    <row r="41" spans="1:6" x14ac:dyDescent="0.35">
      <c r="A41" s="9">
        <v>35</v>
      </c>
      <c r="B41" s="23" t="e">
        <f t="shared" si="2"/>
        <v>#NUM!</v>
      </c>
      <c r="C41" s="23" t="e">
        <f t="shared" si="3"/>
        <v>#NUM!</v>
      </c>
      <c r="D41" s="23" t="e">
        <f t="shared" si="4"/>
        <v>#NUM!</v>
      </c>
      <c r="E41" s="28" t="e">
        <f t="shared" si="0"/>
        <v>#NUM!</v>
      </c>
      <c r="F41" s="23" t="e">
        <f t="shared" si="1"/>
        <v>#NUM!</v>
      </c>
    </row>
    <row r="42" spans="1:6" x14ac:dyDescent="0.35">
      <c r="A42" s="9">
        <v>36</v>
      </c>
      <c r="B42" s="23" t="e">
        <f t="shared" si="2"/>
        <v>#NUM!</v>
      </c>
      <c r="C42" s="23" t="e">
        <f t="shared" si="3"/>
        <v>#NUM!</v>
      </c>
      <c r="D42" s="23" t="e">
        <f t="shared" si="4"/>
        <v>#NUM!</v>
      </c>
      <c r="E42" s="28" t="e">
        <f t="shared" si="0"/>
        <v>#NUM!</v>
      </c>
      <c r="F42" s="23" t="e">
        <f t="shared" si="1"/>
        <v>#NUM!</v>
      </c>
    </row>
    <row r="43" spans="1:6" x14ac:dyDescent="0.35">
      <c r="A43" s="9">
        <v>37</v>
      </c>
      <c r="B43" s="23" t="e">
        <f t="shared" si="2"/>
        <v>#NUM!</v>
      </c>
      <c r="C43" s="23" t="e">
        <f t="shared" si="3"/>
        <v>#NUM!</v>
      </c>
      <c r="D43" s="23" t="e">
        <f t="shared" si="4"/>
        <v>#NUM!</v>
      </c>
      <c r="E43" s="28" t="e">
        <f t="shared" si="0"/>
        <v>#NUM!</v>
      </c>
      <c r="F43" s="23" t="e">
        <f t="shared" si="1"/>
        <v>#NUM!</v>
      </c>
    </row>
    <row r="44" spans="1:6" x14ac:dyDescent="0.35">
      <c r="A44" s="9">
        <v>38</v>
      </c>
      <c r="B44" s="23" t="e">
        <f t="shared" si="2"/>
        <v>#NUM!</v>
      </c>
      <c r="C44" s="23" t="e">
        <f t="shared" si="3"/>
        <v>#NUM!</v>
      </c>
      <c r="D44" s="23" t="e">
        <f t="shared" si="4"/>
        <v>#NUM!</v>
      </c>
      <c r="E44" s="28" t="e">
        <f t="shared" si="0"/>
        <v>#NUM!</v>
      </c>
      <c r="F44" s="23" t="e">
        <f t="shared" si="1"/>
        <v>#NUM!</v>
      </c>
    </row>
    <row r="45" spans="1:6" x14ac:dyDescent="0.35">
      <c r="A45" s="9">
        <v>39</v>
      </c>
      <c r="B45" s="23" t="e">
        <f t="shared" si="2"/>
        <v>#NUM!</v>
      </c>
      <c r="C45" s="23" t="e">
        <f t="shared" si="3"/>
        <v>#NUM!</v>
      </c>
      <c r="D45" s="23" t="e">
        <f t="shared" si="4"/>
        <v>#NUM!</v>
      </c>
      <c r="E45" s="28" t="e">
        <f t="shared" si="0"/>
        <v>#NUM!</v>
      </c>
      <c r="F45" s="23" t="e">
        <f t="shared" si="1"/>
        <v>#NUM!</v>
      </c>
    </row>
    <row r="46" spans="1:6" x14ac:dyDescent="0.35">
      <c r="A46" s="9">
        <v>40</v>
      </c>
      <c r="B46" s="23" t="e">
        <f t="shared" si="2"/>
        <v>#NUM!</v>
      </c>
      <c r="C46" s="23" t="e">
        <f t="shared" si="3"/>
        <v>#NUM!</v>
      </c>
      <c r="D46" s="23" t="e">
        <f t="shared" si="4"/>
        <v>#NUM!</v>
      </c>
      <c r="E46" s="28" t="e">
        <f t="shared" si="0"/>
        <v>#NUM!</v>
      </c>
      <c r="F46" s="23" t="e">
        <f t="shared" si="1"/>
        <v>#NUM!</v>
      </c>
    </row>
    <row r="47" spans="1:6" x14ac:dyDescent="0.35">
      <c r="A47" s="9">
        <v>41</v>
      </c>
      <c r="B47" s="23" t="e">
        <f t="shared" si="2"/>
        <v>#NUM!</v>
      </c>
      <c r="C47" s="23" t="e">
        <f t="shared" si="3"/>
        <v>#NUM!</v>
      </c>
      <c r="D47" s="23" t="e">
        <f t="shared" si="4"/>
        <v>#NUM!</v>
      </c>
      <c r="E47" s="28" t="e">
        <f t="shared" si="0"/>
        <v>#NUM!</v>
      </c>
      <c r="F47" s="23" t="e">
        <f t="shared" si="1"/>
        <v>#NUM!</v>
      </c>
    </row>
    <row r="48" spans="1:6" x14ac:dyDescent="0.35">
      <c r="A48" s="9">
        <v>42</v>
      </c>
      <c r="B48" s="23" t="e">
        <f t="shared" si="2"/>
        <v>#NUM!</v>
      </c>
      <c r="C48" s="23" t="e">
        <f t="shared" si="3"/>
        <v>#NUM!</v>
      </c>
      <c r="D48" s="23" t="e">
        <f t="shared" si="4"/>
        <v>#NUM!</v>
      </c>
      <c r="E48" s="28" t="e">
        <f t="shared" si="0"/>
        <v>#NUM!</v>
      </c>
      <c r="F48" s="23" t="e">
        <f t="shared" si="1"/>
        <v>#NUM!</v>
      </c>
    </row>
    <row r="49" spans="1:6" x14ac:dyDescent="0.35">
      <c r="A49" s="9">
        <v>43</v>
      </c>
      <c r="B49" s="23" t="e">
        <f t="shared" si="2"/>
        <v>#NUM!</v>
      </c>
      <c r="C49" s="23" t="e">
        <f t="shared" si="3"/>
        <v>#NUM!</v>
      </c>
      <c r="D49" s="23" t="e">
        <f t="shared" si="4"/>
        <v>#NUM!</v>
      </c>
      <c r="E49" s="28" t="e">
        <f t="shared" si="0"/>
        <v>#NUM!</v>
      </c>
      <c r="F49" s="23" t="e">
        <f t="shared" si="1"/>
        <v>#NUM!</v>
      </c>
    </row>
    <row r="50" spans="1:6" x14ac:dyDescent="0.35">
      <c r="A50" s="9">
        <v>44</v>
      </c>
      <c r="B50" s="23" t="e">
        <f t="shared" si="2"/>
        <v>#NUM!</v>
      </c>
      <c r="C50" s="23" t="e">
        <f t="shared" si="3"/>
        <v>#NUM!</v>
      </c>
      <c r="D50" s="23" t="e">
        <f t="shared" si="4"/>
        <v>#NUM!</v>
      </c>
      <c r="E50" s="28" t="e">
        <f t="shared" si="0"/>
        <v>#NUM!</v>
      </c>
      <c r="F50" s="23" t="e">
        <f t="shared" si="1"/>
        <v>#NUM!</v>
      </c>
    </row>
    <row r="51" spans="1:6" x14ac:dyDescent="0.35">
      <c r="A51" s="9">
        <v>45</v>
      </c>
      <c r="B51" s="23" t="e">
        <f t="shared" si="2"/>
        <v>#NUM!</v>
      </c>
      <c r="C51" s="23" t="e">
        <f t="shared" si="3"/>
        <v>#NUM!</v>
      </c>
      <c r="D51" s="23" t="e">
        <f t="shared" si="4"/>
        <v>#NUM!</v>
      </c>
      <c r="E51" s="28" t="e">
        <f t="shared" si="0"/>
        <v>#NUM!</v>
      </c>
      <c r="F51" s="23" t="e">
        <f t="shared" si="1"/>
        <v>#NUM!</v>
      </c>
    </row>
    <row r="52" spans="1:6" x14ac:dyDescent="0.35">
      <c r="A52" s="9">
        <v>46</v>
      </c>
      <c r="B52" s="23" t="e">
        <f t="shared" si="2"/>
        <v>#NUM!</v>
      </c>
      <c r="C52" s="23" t="e">
        <f t="shared" si="3"/>
        <v>#NUM!</v>
      </c>
      <c r="D52" s="23" t="e">
        <f t="shared" si="4"/>
        <v>#NUM!</v>
      </c>
      <c r="E52" s="28" t="e">
        <f t="shared" si="0"/>
        <v>#NUM!</v>
      </c>
      <c r="F52" s="23" t="e">
        <f t="shared" si="1"/>
        <v>#NUM!</v>
      </c>
    </row>
    <row r="53" spans="1:6" x14ac:dyDescent="0.35">
      <c r="A53" s="9">
        <v>47</v>
      </c>
      <c r="B53" s="23" t="e">
        <f t="shared" si="2"/>
        <v>#NUM!</v>
      </c>
      <c r="C53" s="23" t="e">
        <f t="shared" si="3"/>
        <v>#NUM!</v>
      </c>
      <c r="D53" s="23" t="e">
        <f t="shared" si="4"/>
        <v>#NUM!</v>
      </c>
      <c r="E53" s="28" t="e">
        <f t="shared" si="0"/>
        <v>#NUM!</v>
      </c>
      <c r="F53" s="23" t="e">
        <f t="shared" si="1"/>
        <v>#NUM!</v>
      </c>
    </row>
    <row r="54" spans="1:6" x14ac:dyDescent="0.35">
      <c r="A54" s="9">
        <v>48</v>
      </c>
      <c r="B54" s="23" t="e">
        <f t="shared" si="2"/>
        <v>#NUM!</v>
      </c>
      <c r="C54" s="23" t="e">
        <f t="shared" si="3"/>
        <v>#NUM!</v>
      </c>
      <c r="D54" s="23" t="e">
        <f t="shared" si="4"/>
        <v>#NUM!</v>
      </c>
      <c r="E54" s="28" t="e">
        <f t="shared" si="0"/>
        <v>#NUM!</v>
      </c>
      <c r="F54" s="23" t="e">
        <f t="shared" si="1"/>
        <v>#NUM!</v>
      </c>
    </row>
    <row r="55" spans="1:6" x14ac:dyDescent="0.35">
      <c r="A55" s="9">
        <v>49</v>
      </c>
      <c r="B55" s="23" t="e">
        <f t="shared" si="2"/>
        <v>#NUM!</v>
      </c>
      <c r="C55" s="23" t="e">
        <f t="shared" si="3"/>
        <v>#NUM!</v>
      </c>
      <c r="D55" s="23" t="e">
        <f t="shared" si="4"/>
        <v>#NUM!</v>
      </c>
      <c r="E55" s="28" t="e">
        <f t="shared" si="0"/>
        <v>#NUM!</v>
      </c>
      <c r="F55" s="23" t="e">
        <f t="shared" si="1"/>
        <v>#NUM!</v>
      </c>
    </row>
    <row r="56" spans="1:6" x14ac:dyDescent="0.35">
      <c r="A56" s="9">
        <v>50</v>
      </c>
      <c r="B56" s="23" t="e">
        <f t="shared" si="2"/>
        <v>#NUM!</v>
      </c>
      <c r="C56" s="23" t="e">
        <f t="shared" si="3"/>
        <v>#NUM!</v>
      </c>
      <c r="D56" s="23" t="e">
        <f t="shared" si="4"/>
        <v>#NUM!</v>
      </c>
      <c r="E56" s="28" t="e">
        <f t="shared" si="0"/>
        <v>#NUM!</v>
      </c>
      <c r="F56" s="23" t="e">
        <f t="shared" si="1"/>
        <v>#NUM!</v>
      </c>
    </row>
    <row r="57" spans="1:6" x14ac:dyDescent="0.35">
      <c r="A57" s="9">
        <v>51</v>
      </c>
      <c r="B57" s="23" t="e">
        <f t="shared" si="2"/>
        <v>#NUM!</v>
      </c>
      <c r="C57" s="23" t="e">
        <f t="shared" si="3"/>
        <v>#NUM!</v>
      </c>
      <c r="D57" s="23" t="e">
        <f t="shared" si="4"/>
        <v>#NUM!</v>
      </c>
      <c r="E57" s="28" t="e">
        <f t="shared" si="0"/>
        <v>#NUM!</v>
      </c>
      <c r="F57" s="23" t="e">
        <f t="shared" si="1"/>
        <v>#NUM!</v>
      </c>
    </row>
    <row r="58" spans="1:6" x14ac:dyDescent="0.35">
      <c r="A58" s="9">
        <v>52</v>
      </c>
      <c r="B58" s="23" t="e">
        <f t="shared" si="2"/>
        <v>#NUM!</v>
      </c>
      <c r="C58" s="23" t="e">
        <f t="shared" si="3"/>
        <v>#NUM!</v>
      </c>
      <c r="D58" s="23" t="e">
        <f t="shared" si="4"/>
        <v>#NUM!</v>
      </c>
      <c r="E58" s="28" t="e">
        <f t="shared" si="0"/>
        <v>#NUM!</v>
      </c>
      <c r="F58" s="23" t="e">
        <f t="shared" si="1"/>
        <v>#NUM!</v>
      </c>
    </row>
    <row r="59" spans="1:6" x14ac:dyDescent="0.35">
      <c r="A59" s="9">
        <v>53</v>
      </c>
      <c r="B59" s="23" t="e">
        <f t="shared" si="2"/>
        <v>#NUM!</v>
      </c>
      <c r="C59" s="23" t="e">
        <f t="shared" si="3"/>
        <v>#NUM!</v>
      </c>
      <c r="D59" s="23" t="e">
        <f t="shared" si="4"/>
        <v>#NUM!</v>
      </c>
      <c r="E59" s="28" t="e">
        <f t="shared" si="0"/>
        <v>#NUM!</v>
      </c>
      <c r="F59" s="23" t="e">
        <f t="shared" si="1"/>
        <v>#NUM!</v>
      </c>
    </row>
    <row r="60" spans="1:6" x14ac:dyDescent="0.35">
      <c r="A60" s="9">
        <v>54</v>
      </c>
      <c r="B60" s="23" t="e">
        <f t="shared" si="2"/>
        <v>#NUM!</v>
      </c>
      <c r="C60" s="23" t="e">
        <f t="shared" si="3"/>
        <v>#NUM!</v>
      </c>
      <c r="D60" s="23" t="e">
        <f t="shared" si="4"/>
        <v>#NUM!</v>
      </c>
      <c r="E60" s="28" t="e">
        <f t="shared" si="0"/>
        <v>#NUM!</v>
      </c>
      <c r="F60" s="23" t="e">
        <f t="shared" si="1"/>
        <v>#NUM!</v>
      </c>
    </row>
    <row r="61" spans="1:6" x14ac:dyDescent="0.35">
      <c r="A61" s="9">
        <v>55</v>
      </c>
      <c r="B61" s="23" t="e">
        <f t="shared" si="2"/>
        <v>#NUM!</v>
      </c>
      <c r="C61" s="23" t="e">
        <f t="shared" si="3"/>
        <v>#NUM!</v>
      </c>
      <c r="D61" s="23" t="e">
        <f t="shared" si="4"/>
        <v>#NUM!</v>
      </c>
      <c r="E61" s="28" t="e">
        <f t="shared" si="0"/>
        <v>#NUM!</v>
      </c>
      <c r="F61" s="23" t="e">
        <f t="shared" si="1"/>
        <v>#NUM!</v>
      </c>
    </row>
    <row r="62" spans="1:6" x14ac:dyDescent="0.35">
      <c r="A62" s="9">
        <v>56</v>
      </c>
      <c r="B62" s="23" t="e">
        <f t="shared" si="2"/>
        <v>#NUM!</v>
      </c>
      <c r="C62" s="23" t="e">
        <f t="shared" si="3"/>
        <v>#NUM!</v>
      </c>
      <c r="D62" s="23" t="e">
        <f t="shared" si="4"/>
        <v>#NUM!</v>
      </c>
      <c r="E62" s="28" t="e">
        <f t="shared" si="0"/>
        <v>#NUM!</v>
      </c>
      <c r="F62" s="23" t="e">
        <f t="shared" si="1"/>
        <v>#NUM!</v>
      </c>
    </row>
    <row r="63" spans="1:6" x14ac:dyDescent="0.35">
      <c r="A63" s="9">
        <v>57</v>
      </c>
      <c r="B63" s="23" t="e">
        <f t="shared" si="2"/>
        <v>#NUM!</v>
      </c>
      <c r="C63" s="23" t="e">
        <f t="shared" si="3"/>
        <v>#NUM!</v>
      </c>
      <c r="D63" s="23" t="e">
        <f t="shared" si="4"/>
        <v>#NUM!</v>
      </c>
      <c r="E63" s="28" t="e">
        <f t="shared" si="0"/>
        <v>#NUM!</v>
      </c>
      <c r="F63" s="23" t="e">
        <f t="shared" si="1"/>
        <v>#NUM!</v>
      </c>
    </row>
    <row r="64" spans="1:6" x14ac:dyDescent="0.35">
      <c r="A64" s="9">
        <v>58</v>
      </c>
      <c r="B64" s="23" t="e">
        <f t="shared" si="2"/>
        <v>#NUM!</v>
      </c>
      <c r="C64" s="23" t="e">
        <f t="shared" si="3"/>
        <v>#NUM!</v>
      </c>
      <c r="D64" s="23" t="e">
        <f t="shared" si="4"/>
        <v>#NUM!</v>
      </c>
      <c r="E64" s="28" t="e">
        <f t="shared" si="0"/>
        <v>#NUM!</v>
      </c>
      <c r="F64" s="23" t="e">
        <f t="shared" si="1"/>
        <v>#NUM!</v>
      </c>
    </row>
    <row r="65" spans="1:6" x14ac:dyDescent="0.35">
      <c r="A65" s="9">
        <v>59</v>
      </c>
      <c r="B65" s="23" t="e">
        <f t="shared" si="2"/>
        <v>#NUM!</v>
      </c>
      <c r="C65" s="23" t="e">
        <f t="shared" si="3"/>
        <v>#NUM!</v>
      </c>
      <c r="D65" s="23" t="e">
        <f t="shared" si="4"/>
        <v>#NUM!</v>
      </c>
      <c r="E65" s="28" t="e">
        <f t="shared" si="0"/>
        <v>#NUM!</v>
      </c>
      <c r="F65" s="23" t="e">
        <f t="shared" si="1"/>
        <v>#NUM!</v>
      </c>
    </row>
    <row r="66" spans="1:6" x14ac:dyDescent="0.35">
      <c r="A66" s="9">
        <v>60</v>
      </c>
      <c r="B66" s="23" t="e">
        <f t="shared" si="2"/>
        <v>#NUM!</v>
      </c>
      <c r="C66" s="23" t="e">
        <f t="shared" si="3"/>
        <v>#NUM!</v>
      </c>
      <c r="D66" s="23" t="e">
        <f t="shared" si="4"/>
        <v>#NUM!</v>
      </c>
      <c r="E66" s="28" t="e">
        <f t="shared" si="0"/>
        <v>#NUM!</v>
      </c>
      <c r="F66" s="23" t="e">
        <f t="shared" si="1"/>
        <v>#NUM!</v>
      </c>
    </row>
    <row r="67" spans="1:6" x14ac:dyDescent="0.35">
      <c r="A67" s="9">
        <v>61</v>
      </c>
      <c r="B67" s="23" t="e">
        <f t="shared" si="2"/>
        <v>#NUM!</v>
      </c>
      <c r="C67" s="23" t="e">
        <f t="shared" si="3"/>
        <v>#NUM!</v>
      </c>
      <c r="D67" s="23" t="e">
        <f t="shared" si="4"/>
        <v>#NUM!</v>
      </c>
      <c r="E67" s="28" t="e">
        <f t="shared" si="0"/>
        <v>#NUM!</v>
      </c>
      <c r="F67" s="23" t="e">
        <f t="shared" si="1"/>
        <v>#NUM!</v>
      </c>
    </row>
    <row r="68" spans="1:6" x14ac:dyDescent="0.35">
      <c r="A68" s="9">
        <v>62</v>
      </c>
      <c r="B68" s="23" t="e">
        <f t="shared" si="2"/>
        <v>#NUM!</v>
      </c>
      <c r="C68" s="23" t="e">
        <f t="shared" si="3"/>
        <v>#NUM!</v>
      </c>
      <c r="D68" s="23" t="e">
        <f t="shared" si="4"/>
        <v>#NUM!</v>
      </c>
      <c r="E68" s="28" t="e">
        <f t="shared" si="0"/>
        <v>#NUM!</v>
      </c>
      <c r="F68" s="23" t="e">
        <f t="shared" si="1"/>
        <v>#NUM!</v>
      </c>
    </row>
    <row r="69" spans="1:6" x14ac:dyDescent="0.35">
      <c r="A69" s="9">
        <v>63</v>
      </c>
      <c r="B69" s="23" t="e">
        <f t="shared" si="2"/>
        <v>#NUM!</v>
      </c>
      <c r="C69" s="23" t="e">
        <f t="shared" si="3"/>
        <v>#NUM!</v>
      </c>
      <c r="D69" s="23" t="e">
        <f t="shared" si="4"/>
        <v>#NUM!</v>
      </c>
      <c r="E69" s="28" t="e">
        <f t="shared" si="0"/>
        <v>#NUM!</v>
      </c>
      <c r="F69" s="23" t="e">
        <f t="shared" si="1"/>
        <v>#NUM!</v>
      </c>
    </row>
    <row r="70" spans="1:6" x14ac:dyDescent="0.35">
      <c r="A70" s="9">
        <v>64</v>
      </c>
      <c r="B70" s="23" t="e">
        <f t="shared" si="2"/>
        <v>#NUM!</v>
      </c>
      <c r="C70" s="23" t="e">
        <f t="shared" si="3"/>
        <v>#NUM!</v>
      </c>
      <c r="D70" s="23" t="e">
        <f t="shared" si="4"/>
        <v>#NUM!</v>
      </c>
      <c r="E70" s="28" t="e">
        <f t="shared" si="0"/>
        <v>#NUM!</v>
      </c>
      <c r="F70" s="23" t="e">
        <f t="shared" si="1"/>
        <v>#NUM!</v>
      </c>
    </row>
    <row r="71" spans="1:6" x14ac:dyDescent="0.35">
      <c r="A71" s="9">
        <v>65</v>
      </c>
      <c r="B71" s="23" t="e">
        <f t="shared" si="2"/>
        <v>#NUM!</v>
      </c>
      <c r="C71" s="23" t="e">
        <f t="shared" si="3"/>
        <v>#NUM!</v>
      </c>
      <c r="D71" s="23" t="e">
        <f t="shared" si="4"/>
        <v>#NUM!</v>
      </c>
      <c r="E71" s="28" t="e">
        <f t="shared" si="0"/>
        <v>#NUM!</v>
      </c>
      <c r="F71" s="23" t="e">
        <f t="shared" si="1"/>
        <v>#NUM!</v>
      </c>
    </row>
    <row r="72" spans="1:6" x14ac:dyDescent="0.35">
      <c r="A72" s="9">
        <v>66</v>
      </c>
      <c r="B72" s="23" t="e">
        <f t="shared" si="2"/>
        <v>#NUM!</v>
      </c>
      <c r="C72" s="23" t="e">
        <f t="shared" si="3"/>
        <v>#NUM!</v>
      </c>
      <c r="D72" s="23" t="e">
        <f t="shared" si="4"/>
        <v>#NUM!</v>
      </c>
      <c r="E72" s="28" t="e">
        <f t="shared" ref="E72:E135" si="5">PMT($D$2/12,$D$4,-$D$1,,)</f>
        <v>#NUM!</v>
      </c>
      <c r="F72" s="23" t="e">
        <f t="shared" ref="F72:F135" si="6">B72-D72</f>
        <v>#NUM!</v>
      </c>
    </row>
    <row r="73" spans="1:6" x14ac:dyDescent="0.35">
      <c r="A73" s="9">
        <v>67</v>
      </c>
      <c r="B73" s="23" t="e">
        <f t="shared" ref="B73:B136" si="7">F72</f>
        <v>#NUM!</v>
      </c>
      <c r="C73" s="23" t="e">
        <f t="shared" ref="C73:C136" si="8">($D$2/12)*B73</f>
        <v>#NUM!</v>
      </c>
      <c r="D73" s="23" t="e">
        <f t="shared" ref="D73:D136" si="9">E73-C73</f>
        <v>#NUM!</v>
      </c>
      <c r="E73" s="28" t="e">
        <f t="shared" si="5"/>
        <v>#NUM!</v>
      </c>
      <c r="F73" s="23" t="e">
        <f t="shared" si="6"/>
        <v>#NUM!</v>
      </c>
    </row>
    <row r="74" spans="1:6" x14ac:dyDescent="0.35">
      <c r="A74" s="9">
        <v>68</v>
      </c>
      <c r="B74" s="23" t="e">
        <f t="shared" si="7"/>
        <v>#NUM!</v>
      </c>
      <c r="C74" s="23" t="e">
        <f t="shared" si="8"/>
        <v>#NUM!</v>
      </c>
      <c r="D74" s="23" t="e">
        <f t="shared" si="9"/>
        <v>#NUM!</v>
      </c>
      <c r="E74" s="28" t="e">
        <f t="shared" si="5"/>
        <v>#NUM!</v>
      </c>
      <c r="F74" s="23" t="e">
        <f t="shared" si="6"/>
        <v>#NUM!</v>
      </c>
    </row>
    <row r="75" spans="1:6" x14ac:dyDescent="0.35">
      <c r="A75" s="9">
        <v>69</v>
      </c>
      <c r="B75" s="23" t="e">
        <f t="shared" si="7"/>
        <v>#NUM!</v>
      </c>
      <c r="C75" s="23" t="e">
        <f t="shared" si="8"/>
        <v>#NUM!</v>
      </c>
      <c r="D75" s="23" t="e">
        <f t="shared" si="9"/>
        <v>#NUM!</v>
      </c>
      <c r="E75" s="28" t="e">
        <f t="shared" si="5"/>
        <v>#NUM!</v>
      </c>
      <c r="F75" s="23" t="e">
        <f t="shared" si="6"/>
        <v>#NUM!</v>
      </c>
    </row>
    <row r="76" spans="1:6" x14ac:dyDescent="0.35">
      <c r="A76" s="9">
        <v>70</v>
      </c>
      <c r="B76" s="23" t="e">
        <f t="shared" si="7"/>
        <v>#NUM!</v>
      </c>
      <c r="C76" s="23" t="e">
        <f t="shared" si="8"/>
        <v>#NUM!</v>
      </c>
      <c r="D76" s="23" t="e">
        <f t="shared" si="9"/>
        <v>#NUM!</v>
      </c>
      <c r="E76" s="28" t="e">
        <f t="shared" si="5"/>
        <v>#NUM!</v>
      </c>
      <c r="F76" s="23" t="e">
        <f t="shared" si="6"/>
        <v>#NUM!</v>
      </c>
    </row>
    <row r="77" spans="1:6" x14ac:dyDescent="0.35">
      <c r="A77" s="9">
        <v>71</v>
      </c>
      <c r="B77" s="23" t="e">
        <f t="shared" si="7"/>
        <v>#NUM!</v>
      </c>
      <c r="C77" s="23" t="e">
        <f t="shared" si="8"/>
        <v>#NUM!</v>
      </c>
      <c r="D77" s="23" t="e">
        <f t="shared" si="9"/>
        <v>#NUM!</v>
      </c>
      <c r="E77" s="28" t="e">
        <f t="shared" si="5"/>
        <v>#NUM!</v>
      </c>
      <c r="F77" s="23" t="e">
        <f t="shared" si="6"/>
        <v>#NUM!</v>
      </c>
    </row>
    <row r="78" spans="1:6" x14ac:dyDescent="0.35">
      <c r="A78" s="9">
        <v>72</v>
      </c>
      <c r="B78" s="23" t="e">
        <f t="shared" si="7"/>
        <v>#NUM!</v>
      </c>
      <c r="C78" s="23" t="e">
        <f t="shared" si="8"/>
        <v>#NUM!</v>
      </c>
      <c r="D78" s="23" t="e">
        <f t="shared" si="9"/>
        <v>#NUM!</v>
      </c>
      <c r="E78" s="28" t="e">
        <f t="shared" si="5"/>
        <v>#NUM!</v>
      </c>
      <c r="F78" s="23" t="e">
        <f t="shared" si="6"/>
        <v>#NUM!</v>
      </c>
    </row>
    <row r="79" spans="1:6" x14ac:dyDescent="0.35">
      <c r="A79" s="9">
        <v>73</v>
      </c>
      <c r="B79" s="23" t="e">
        <f t="shared" si="7"/>
        <v>#NUM!</v>
      </c>
      <c r="C79" s="23" t="e">
        <f t="shared" si="8"/>
        <v>#NUM!</v>
      </c>
      <c r="D79" s="23" t="e">
        <f t="shared" si="9"/>
        <v>#NUM!</v>
      </c>
      <c r="E79" s="28" t="e">
        <f t="shared" si="5"/>
        <v>#NUM!</v>
      </c>
      <c r="F79" s="23" t="e">
        <f t="shared" si="6"/>
        <v>#NUM!</v>
      </c>
    </row>
    <row r="80" spans="1:6" x14ac:dyDescent="0.35">
      <c r="A80" s="9">
        <v>74</v>
      </c>
      <c r="B80" s="23" t="e">
        <f t="shared" si="7"/>
        <v>#NUM!</v>
      </c>
      <c r="C80" s="23" t="e">
        <f t="shared" si="8"/>
        <v>#NUM!</v>
      </c>
      <c r="D80" s="23" t="e">
        <f t="shared" si="9"/>
        <v>#NUM!</v>
      </c>
      <c r="E80" s="28" t="e">
        <f t="shared" si="5"/>
        <v>#NUM!</v>
      </c>
      <c r="F80" s="23" t="e">
        <f t="shared" si="6"/>
        <v>#NUM!</v>
      </c>
    </row>
    <row r="81" spans="1:6" x14ac:dyDescent="0.35">
      <c r="A81" s="9">
        <v>75</v>
      </c>
      <c r="B81" s="23" t="e">
        <f t="shared" si="7"/>
        <v>#NUM!</v>
      </c>
      <c r="C81" s="23" t="e">
        <f t="shared" si="8"/>
        <v>#NUM!</v>
      </c>
      <c r="D81" s="23" t="e">
        <f t="shared" si="9"/>
        <v>#NUM!</v>
      </c>
      <c r="E81" s="28" t="e">
        <f t="shared" si="5"/>
        <v>#NUM!</v>
      </c>
      <c r="F81" s="23" t="e">
        <f t="shared" si="6"/>
        <v>#NUM!</v>
      </c>
    </row>
    <row r="82" spans="1:6" x14ac:dyDescent="0.35">
      <c r="A82" s="9">
        <v>76</v>
      </c>
      <c r="B82" s="23" t="e">
        <f t="shared" si="7"/>
        <v>#NUM!</v>
      </c>
      <c r="C82" s="23" t="e">
        <f t="shared" si="8"/>
        <v>#NUM!</v>
      </c>
      <c r="D82" s="23" t="e">
        <f t="shared" si="9"/>
        <v>#NUM!</v>
      </c>
      <c r="E82" s="28" t="e">
        <f t="shared" si="5"/>
        <v>#NUM!</v>
      </c>
      <c r="F82" s="23" t="e">
        <f t="shared" si="6"/>
        <v>#NUM!</v>
      </c>
    </row>
    <row r="83" spans="1:6" x14ac:dyDescent="0.35">
      <c r="A83" s="9">
        <v>77</v>
      </c>
      <c r="B83" s="23" t="e">
        <f t="shared" si="7"/>
        <v>#NUM!</v>
      </c>
      <c r="C83" s="23" t="e">
        <f t="shared" si="8"/>
        <v>#NUM!</v>
      </c>
      <c r="D83" s="23" t="e">
        <f t="shared" si="9"/>
        <v>#NUM!</v>
      </c>
      <c r="E83" s="28" t="e">
        <f t="shared" si="5"/>
        <v>#NUM!</v>
      </c>
      <c r="F83" s="23" t="e">
        <f t="shared" si="6"/>
        <v>#NUM!</v>
      </c>
    </row>
    <row r="84" spans="1:6" x14ac:dyDescent="0.35">
      <c r="A84" s="9">
        <v>78</v>
      </c>
      <c r="B84" s="23" t="e">
        <f t="shared" si="7"/>
        <v>#NUM!</v>
      </c>
      <c r="C84" s="23" t="e">
        <f t="shared" si="8"/>
        <v>#NUM!</v>
      </c>
      <c r="D84" s="23" t="e">
        <f t="shared" si="9"/>
        <v>#NUM!</v>
      </c>
      <c r="E84" s="28" t="e">
        <f t="shared" si="5"/>
        <v>#NUM!</v>
      </c>
      <c r="F84" s="23" t="e">
        <f t="shared" si="6"/>
        <v>#NUM!</v>
      </c>
    </row>
    <row r="85" spans="1:6" x14ac:dyDescent="0.35">
      <c r="A85" s="9">
        <v>79</v>
      </c>
      <c r="B85" s="23" t="e">
        <f t="shared" si="7"/>
        <v>#NUM!</v>
      </c>
      <c r="C85" s="23" t="e">
        <f t="shared" si="8"/>
        <v>#NUM!</v>
      </c>
      <c r="D85" s="23" t="e">
        <f t="shared" si="9"/>
        <v>#NUM!</v>
      </c>
      <c r="E85" s="28" t="e">
        <f t="shared" si="5"/>
        <v>#NUM!</v>
      </c>
      <c r="F85" s="23" t="e">
        <f t="shared" si="6"/>
        <v>#NUM!</v>
      </c>
    </row>
    <row r="86" spans="1:6" x14ac:dyDescent="0.35">
      <c r="A86" s="9">
        <v>80</v>
      </c>
      <c r="B86" s="23" t="e">
        <f t="shared" si="7"/>
        <v>#NUM!</v>
      </c>
      <c r="C86" s="23" t="e">
        <f t="shared" si="8"/>
        <v>#NUM!</v>
      </c>
      <c r="D86" s="23" t="e">
        <f t="shared" si="9"/>
        <v>#NUM!</v>
      </c>
      <c r="E86" s="28" t="e">
        <f t="shared" si="5"/>
        <v>#NUM!</v>
      </c>
      <c r="F86" s="23" t="e">
        <f t="shared" si="6"/>
        <v>#NUM!</v>
      </c>
    </row>
    <row r="87" spans="1:6" x14ac:dyDescent="0.35">
      <c r="A87" s="9">
        <v>81</v>
      </c>
      <c r="B87" s="23" t="e">
        <f t="shared" si="7"/>
        <v>#NUM!</v>
      </c>
      <c r="C87" s="23" t="e">
        <f t="shared" si="8"/>
        <v>#NUM!</v>
      </c>
      <c r="D87" s="23" t="e">
        <f t="shared" si="9"/>
        <v>#NUM!</v>
      </c>
      <c r="E87" s="28" t="e">
        <f t="shared" si="5"/>
        <v>#NUM!</v>
      </c>
      <c r="F87" s="23" t="e">
        <f t="shared" si="6"/>
        <v>#NUM!</v>
      </c>
    </row>
    <row r="88" spans="1:6" x14ac:dyDescent="0.35">
      <c r="A88" s="9">
        <v>82</v>
      </c>
      <c r="B88" s="23" t="e">
        <f t="shared" si="7"/>
        <v>#NUM!</v>
      </c>
      <c r="C88" s="23" t="e">
        <f t="shared" si="8"/>
        <v>#NUM!</v>
      </c>
      <c r="D88" s="23" t="e">
        <f t="shared" si="9"/>
        <v>#NUM!</v>
      </c>
      <c r="E88" s="28" t="e">
        <f t="shared" si="5"/>
        <v>#NUM!</v>
      </c>
      <c r="F88" s="23" t="e">
        <f t="shared" si="6"/>
        <v>#NUM!</v>
      </c>
    </row>
    <row r="89" spans="1:6" x14ac:dyDescent="0.35">
      <c r="A89" s="9">
        <v>83</v>
      </c>
      <c r="B89" s="23" t="e">
        <f t="shared" si="7"/>
        <v>#NUM!</v>
      </c>
      <c r="C89" s="23" t="e">
        <f t="shared" si="8"/>
        <v>#NUM!</v>
      </c>
      <c r="D89" s="23" t="e">
        <f t="shared" si="9"/>
        <v>#NUM!</v>
      </c>
      <c r="E89" s="28" t="e">
        <f t="shared" si="5"/>
        <v>#NUM!</v>
      </c>
      <c r="F89" s="23" t="e">
        <f t="shared" si="6"/>
        <v>#NUM!</v>
      </c>
    </row>
    <row r="90" spans="1:6" x14ac:dyDescent="0.35">
      <c r="A90" s="9">
        <v>84</v>
      </c>
      <c r="B90" s="23" t="e">
        <f t="shared" si="7"/>
        <v>#NUM!</v>
      </c>
      <c r="C90" s="23" t="e">
        <f t="shared" si="8"/>
        <v>#NUM!</v>
      </c>
      <c r="D90" s="23" t="e">
        <f t="shared" si="9"/>
        <v>#NUM!</v>
      </c>
      <c r="E90" s="28" t="e">
        <f t="shared" si="5"/>
        <v>#NUM!</v>
      </c>
      <c r="F90" s="23" t="e">
        <f t="shared" si="6"/>
        <v>#NUM!</v>
      </c>
    </row>
    <row r="91" spans="1:6" x14ac:dyDescent="0.35">
      <c r="A91" s="9">
        <v>85</v>
      </c>
      <c r="B91" s="23" t="e">
        <f t="shared" si="7"/>
        <v>#NUM!</v>
      </c>
      <c r="C91" s="23" t="e">
        <f t="shared" si="8"/>
        <v>#NUM!</v>
      </c>
      <c r="D91" s="23" t="e">
        <f t="shared" si="9"/>
        <v>#NUM!</v>
      </c>
      <c r="E91" s="28" t="e">
        <f t="shared" si="5"/>
        <v>#NUM!</v>
      </c>
      <c r="F91" s="23" t="e">
        <f t="shared" si="6"/>
        <v>#NUM!</v>
      </c>
    </row>
    <row r="92" spans="1:6" x14ac:dyDescent="0.35">
      <c r="A92" s="9">
        <v>86</v>
      </c>
      <c r="B92" s="23" t="e">
        <f t="shared" si="7"/>
        <v>#NUM!</v>
      </c>
      <c r="C92" s="23" t="e">
        <f t="shared" si="8"/>
        <v>#NUM!</v>
      </c>
      <c r="D92" s="23" t="e">
        <f t="shared" si="9"/>
        <v>#NUM!</v>
      </c>
      <c r="E92" s="28" t="e">
        <f t="shared" si="5"/>
        <v>#NUM!</v>
      </c>
      <c r="F92" s="23" t="e">
        <f t="shared" si="6"/>
        <v>#NUM!</v>
      </c>
    </row>
    <row r="93" spans="1:6" x14ac:dyDescent="0.35">
      <c r="A93" s="9">
        <v>87</v>
      </c>
      <c r="B93" s="23" t="e">
        <f t="shared" si="7"/>
        <v>#NUM!</v>
      </c>
      <c r="C93" s="23" t="e">
        <f t="shared" si="8"/>
        <v>#NUM!</v>
      </c>
      <c r="D93" s="23" t="e">
        <f t="shared" si="9"/>
        <v>#NUM!</v>
      </c>
      <c r="E93" s="28" t="e">
        <f t="shared" si="5"/>
        <v>#NUM!</v>
      </c>
      <c r="F93" s="23" t="e">
        <f t="shared" si="6"/>
        <v>#NUM!</v>
      </c>
    </row>
    <row r="94" spans="1:6" x14ac:dyDescent="0.35">
      <c r="A94" s="9">
        <v>88</v>
      </c>
      <c r="B94" s="23" t="e">
        <f t="shared" si="7"/>
        <v>#NUM!</v>
      </c>
      <c r="C94" s="23" t="e">
        <f t="shared" si="8"/>
        <v>#NUM!</v>
      </c>
      <c r="D94" s="23" t="e">
        <f t="shared" si="9"/>
        <v>#NUM!</v>
      </c>
      <c r="E94" s="28" t="e">
        <f t="shared" si="5"/>
        <v>#NUM!</v>
      </c>
      <c r="F94" s="23" t="e">
        <f t="shared" si="6"/>
        <v>#NUM!</v>
      </c>
    </row>
    <row r="95" spans="1:6" x14ac:dyDescent="0.35">
      <c r="A95" s="9">
        <v>89</v>
      </c>
      <c r="B95" s="23" t="e">
        <f t="shared" si="7"/>
        <v>#NUM!</v>
      </c>
      <c r="C95" s="23" t="e">
        <f t="shared" si="8"/>
        <v>#NUM!</v>
      </c>
      <c r="D95" s="23" t="e">
        <f t="shared" si="9"/>
        <v>#NUM!</v>
      </c>
      <c r="E95" s="28" t="e">
        <f t="shared" si="5"/>
        <v>#NUM!</v>
      </c>
      <c r="F95" s="23" t="e">
        <f t="shared" si="6"/>
        <v>#NUM!</v>
      </c>
    </row>
    <row r="96" spans="1:6" x14ac:dyDescent="0.35">
      <c r="A96" s="9">
        <v>90</v>
      </c>
      <c r="B96" s="23" t="e">
        <f t="shared" si="7"/>
        <v>#NUM!</v>
      </c>
      <c r="C96" s="23" t="e">
        <f t="shared" si="8"/>
        <v>#NUM!</v>
      </c>
      <c r="D96" s="23" t="e">
        <f t="shared" si="9"/>
        <v>#NUM!</v>
      </c>
      <c r="E96" s="28" t="e">
        <f t="shared" si="5"/>
        <v>#NUM!</v>
      </c>
      <c r="F96" s="23" t="e">
        <f t="shared" si="6"/>
        <v>#NUM!</v>
      </c>
    </row>
    <row r="97" spans="1:6" x14ac:dyDescent="0.35">
      <c r="A97" s="9">
        <v>91</v>
      </c>
      <c r="B97" s="23" t="e">
        <f t="shared" si="7"/>
        <v>#NUM!</v>
      </c>
      <c r="C97" s="23" t="e">
        <f t="shared" si="8"/>
        <v>#NUM!</v>
      </c>
      <c r="D97" s="23" t="e">
        <f t="shared" si="9"/>
        <v>#NUM!</v>
      </c>
      <c r="E97" s="28" t="e">
        <f t="shared" si="5"/>
        <v>#NUM!</v>
      </c>
      <c r="F97" s="23" t="e">
        <f t="shared" si="6"/>
        <v>#NUM!</v>
      </c>
    </row>
    <row r="98" spans="1:6" x14ac:dyDescent="0.35">
      <c r="A98" s="9">
        <v>92</v>
      </c>
      <c r="B98" s="23" t="e">
        <f t="shared" si="7"/>
        <v>#NUM!</v>
      </c>
      <c r="C98" s="23" t="e">
        <f t="shared" si="8"/>
        <v>#NUM!</v>
      </c>
      <c r="D98" s="23" t="e">
        <f t="shared" si="9"/>
        <v>#NUM!</v>
      </c>
      <c r="E98" s="28" t="e">
        <f t="shared" si="5"/>
        <v>#NUM!</v>
      </c>
      <c r="F98" s="23" t="e">
        <f t="shared" si="6"/>
        <v>#NUM!</v>
      </c>
    </row>
    <row r="99" spans="1:6" x14ac:dyDescent="0.35">
      <c r="A99" s="9">
        <v>93</v>
      </c>
      <c r="B99" s="23" t="e">
        <f t="shared" si="7"/>
        <v>#NUM!</v>
      </c>
      <c r="C99" s="23" t="e">
        <f t="shared" si="8"/>
        <v>#NUM!</v>
      </c>
      <c r="D99" s="23" t="e">
        <f t="shared" si="9"/>
        <v>#NUM!</v>
      </c>
      <c r="E99" s="28" t="e">
        <f t="shared" si="5"/>
        <v>#NUM!</v>
      </c>
      <c r="F99" s="23" t="e">
        <f t="shared" si="6"/>
        <v>#NUM!</v>
      </c>
    </row>
    <row r="100" spans="1:6" x14ac:dyDescent="0.35">
      <c r="A100" s="9">
        <v>94</v>
      </c>
      <c r="B100" s="23" t="e">
        <f t="shared" si="7"/>
        <v>#NUM!</v>
      </c>
      <c r="C100" s="23" t="e">
        <f t="shared" si="8"/>
        <v>#NUM!</v>
      </c>
      <c r="D100" s="23" t="e">
        <f t="shared" si="9"/>
        <v>#NUM!</v>
      </c>
      <c r="E100" s="28" t="e">
        <f t="shared" si="5"/>
        <v>#NUM!</v>
      </c>
      <c r="F100" s="23" t="e">
        <f t="shared" si="6"/>
        <v>#NUM!</v>
      </c>
    </row>
    <row r="101" spans="1:6" x14ac:dyDescent="0.35">
      <c r="A101" s="9">
        <v>95</v>
      </c>
      <c r="B101" s="23" t="e">
        <f t="shared" si="7"/>
        <v>#NUM!</v>
      </c>
      <c r="C101" s="23" t="e">
        <f t="shared" si="8"/>
        <v>#NUM!</v>
      </c>
      <c r="D101" s="23" t="e">
        <f t="shared" si="9"/>
        <v>#NUM!</v>
      </c>
      <c r="E101" s="28" t="e">
        <f t="shared" si="5"/>
        <v>#NUM!</v>
      </c>
      <c r="F101" s="23" t="e">
        <f t="shared" si="6"/>
        <v>#NUM!</v>
      </c>
    </row>
    <row r="102" spans="1:6" x14ac:dyDescent="0.35">
      <c r="A102" s="9">
        <v>96</v>
      </c>
      <c r="B102" s="23" t="e">
        <f t="shared" si="7"/>
        <v>#NUM!</v>
      </c>
      <c r="C102" s="23" t="e">
        <f t="shared" si="8"/>
        <v>#NUM!</v>
      </c>
      <c r="D102" s="23" t="e">
        <f t="shared" si="9"/>
        <v>#NUM!</v>
      </c>
      <c r="E102" s="28" t="e">
        <f t="shared" si="5"/>
        <v>#NUM!</v>
      </c>
      <c r="F102" s="23" t="e">
        <f t="shared" si="6"/>
        <v>#NUM!</v>
      </c>
    </row>
    <row r="103" spans="1:6" x14ac:dyDescent="0.35">
      <c r="A103" s="9">
        <v>97</v>
      </c>
      <c r="B103" s="23" t="e">
        <f t="shared" si="7"/>
        <v>#NUM!</v>
      </c>
      <c r="C103" s="23" t="e">
        <f t="shared" si="8"/>
        <v>#NUM!</v>
      </c>
      <c r="D103" s="23" t="e">
        <f t="shared" si="9"/>
        <v>#NUM!</v>
      </c>
      <c r="E103" s="28" t="e">
        <f t="shared" si="5"/>
        <v>#NUM!</v>
      </c>
      <c r="F103" s="23" t="e">
        <f t="shared" si="6"/>
        <v>#NUM!</v>
      </c>
    </row>
    <row r="104" spans="1:6" x14ac:dyDescent="0.35">
      <c r="A104" s="9">
        <v>98</v>
      </c>
      <c r="B104" s="23" t="e">
        <f t="shared" si="7"/>
        <v>#NUM!</v>
      </c>
      <c r="C104" s="23" t="e">
        <f t="shared" si="8"/>
        <v>#NUM!</v>
      </c>
      <c r="D104" s="23" t="e">
        <f t="shared" si="9"/>
        <v>#NUM!</v>
      </c>
      <c r="E104" s="28" t="e">
        <f t="shared" si="5"/>
        <v>#NUM!</v>
      </c>
      <c r="F104" s="23" t="e">
        <f t="shared" si="6"/>
        <v>#NUM!</v>
      </c>
    </row>
    <row r="105" spans="1:6" x14ac:dyDescent="0.35">
      <c r="A105" s="9">
        <v>99</v>
      </c>
      <c r="B105" s="23" t="e">
        <f t="shared" si="7"/>
        <v>#NUM!</v>
      </c>
      <c r="C105" s="23" t="e">
        <f t="shared" si="8"/>
        <v>#NUM!</v>
      </c>
      <c r="D105" s="23" t="e">
        <f t="shared" si="9"/>
        <v>#NUM!</v>
      </c>
      <c r="E105" s="28" t="e">
        <f t="shared" si="5"/>
        <v>#NUM!</v>
      </c>
      <c r="F105" s="23" t="e">
        <f t="shared" si="6"/>
        <v>#NUM!</v>
      </c>
    </row>
    <row r="106" spans="1:6" x14ac:dyDescent="0.35">
      <c r="A106" s="9">
        <v>100</v>
      </c>
      <c r="B106" s="23" t="e">
        <f t="shared" si="7"/>
        <v>#NUM!</v>
      </c>
      <c r="C106" s="23" t="e">
        <f t="shared" si="8"/>
        <v>#NUM!</v>
      </c>
      <c r="D106" s="23" t="e">
        <f t="shared" si="9"/>
        <v>#NUM!</v>
      </c>
      <c r="E106" s="28" t="e">
        <f t="shared" si="5"/>
        <v>#NUM!</v>
      </c>
      <c r="F106" s="23" t="e">
        <f t="shared" si="6"/>
        <v>#NUM!</v>
      </c>
    </row>
    <row r="107" spans="1:6" x14ac:dyDescent="0.35">
      <c r="A107" s="9">
        <v>101</v>
      </c>
      <c r="B107" s="23" t="e">
        <f t="shared" si="7"/>
        <v>#NUM!</v>
      </c>
      <c r="C107" s="23" t="e">
        <f t="shared" si="8"/>
        <v>#NUM!</v>
      </c>
      <c r="D107" s="23" t="e">
        <f t="shared" si="9"/>
        <v>#NUM!</v>
      </c>
      <c r="E107" s="28" t="e">
        <f t="shared" si="5"/>
        <v>#NUM!</v>
      </c>
      <c r="F107" s="23" t="e">
        <f t="shared" si="6"/>
        <v>#NUM!</v>
      </c>
    </row>
    <row r="108" spans="1:6" x14ac:dyDescent="0.35">
      <c r="A108" s="9">
        <v>102</v>
      </c>
      <c r="B108" s="23" t="e">
        <f t="shared" si="7"/>
        <v>#NUM!</v>
      </c>
      <c r="C108" s="23" t="e">
        <f t="shared" si="8"/>
        <v>#NUM!</v>
      </c>
      <c r="D108" s="23" t="e">
        <f t="shared" si="9"/>
        <v>#NUM!</v>
      </c>
      <c r="E108" s="28" t="e">
        <f t="shared" si="5"/>
        <v>#NUM!</v>
      </c>
      <c r="F108" s="23" t="e">
        <f t="shared" si="6"/>
        <v>#NUM!</v>
      </c>
    </row>
    <row r="109" spans="1:6" x14ac:dyDescent="0.35">
      <c r="A109" s="9">
        <v>103</v>
      </c>
      <c r="B109" s="23" t="e">
        <f t="shared" si="7"/>
        <v>#NUM!</v>
      </c>
      <c r="C109" s="23" t="e">
        <f t="shared" si="8"/>
        <v>#NUM!</v>
      </c>
      <c r="D109" s="23" t="e">
        <f t="shared" si="9"/>
        <v>#NUM!</v>
      </c>
      <c r="E109" s="28" t="e">
        <f t="shared" si="5"/>
        <v>#NUM!</v>
      </c>
      <c r="F109" s="23" t="e">
        <f t="shared" si="6"/>
        <v>#NUM!</v>
      </c>
    </row>
    <row r="110" spans="1:6" x14ac:dyDescent="0.35">
      <c r="A110" s="9">
        <v>104</v>
      </c>
      <c r="B110" s="23" t="e">
        <f t="shared" si="7"/>
        <v>#NUM!</v>
      </c>
      <c r="C110" s="23" t="e">
        <f t="shared" si="8"/>
        <v>#NUM!</v>
      </c>
      <c r="D110" s="23" t="e">
        <f t="shared" si="9"/>
        <v>#NUM!</v>
      </c>
      <c r="E110" s="28" t="e">
        <f t="shared" si="5"/>
        <v>#NUM!</v>
      </c>
      <c r="F110" s="23" t="e">
        <f t="shared" si="6"/>
        <v>#NUM!</v>
      </c>
    </row>
    <row r="111" spans="1:6" x14ac:dyDescent="0.35">
      <c r="A111" s="9">
        <v>105</v>
      </c>
      <c r="B111" s="23" t="e">
        <f t="shared" si="7"/>
        <v>#NUM!</v>
      </c>
      <c r="C111" s="23" t="e">
        <f t="shared" si="8"/>
        <v>#NUM!</v>
      </c>
      <c r="D111" s="23" t="e">
        <f t="shared" si="9"/>
        <v>#NUM!</v>
      </c>
      <c r="E111" s="28" t="e">
        <f t="shared" si="5"/>
        <v>#NUM!</v>
      </c>
      <c r="F111" s="23" t="e">
        <f t="shared" si="6"/>
        <v>#NUM!</v>
      </c>
    </row>
    <row r="112" spans="1:6" x14ac:dyDescent="0.35">
      <c r="A112" s="9">
        <v>106</v>
      </c>
      <c r="B112" s="23" t="e">
        <f t="shared" si="7"/>
        <v>#NUM!</v>
      </c>
      <c r="C112" s="23" t="e">
        <f t="shared" si="8"/>
        <v>#NUM!</v>
      </c>
      <c r="D112" s="23" t="e">
        <f t="shared" si="9"/>
        <v>#NUM!</v>
      </c>
      <c r="E112" s="28" t="e">
        <f t="shared" si="5"/>
        <v>#NUM!</v>
      </c>
      <c r="F112" s="23" t="e">
        <f t="shared" si="6"/>
        <v>#NUM!</v>
      </c>
    </row>
    <row r="113" spans="1:6" x14ac:dyDescent="0.35">
      <c r="A113" s="9">
        <v>107</v>
      </c>
      <c r="B113" s="23" t="e">
        <f t="shared" si="7"/>
        <v>#NUM!</v>
      </c>
      <c r="C113" s="23" t="e">
        <f t="shared" si="8"/>
        <v>#NUM!</v>
      </c>
      <c r="D113" s="23" t="e">
        <f t="shared" si="9"/>
        <v>#NUM!</v>
      </c>
      <c r="E113" s="28" t="e">
        <f t="shared" si="5"/>
        <v>#NUM!</v>
      </c>
      <c r="F113" s="23" t="e">
        <f t="shared" si="6"/>
        <v>#NUM!</v>
      </c>
    </row>
    <row r="114" spans="1:6" x14ac:dyDescent="0.35">
      <c r="A114" s="9">
        <v>108</v>
      </c>
      <c r="B114" s="23" t="e">
        <f t="shared" si="7"/>
        <v>#NUM!</v>
      </c>
      <c r="C114" s="23" t="e">
        <f t="shared" si="8"/>
        <v>#NUM!</v>
      </c>
      <c r="D114" s="23" t="e">
        <f t="shared" si="9"/>
        <v>#NUM!</v>
      </c>
      <c r="E114" s="28" t="e">
        <f t="shared" si="5"/>
        <v>#NUM!</v>
      </c>
      <c r="F114" s="23" t="e">
        <f t="shared" si="6"/>
        <v>#NUM!</v>
      </c>
    </row>
    <row r="115" spans="1:6" x14ac:dyDescent="0.35">
      <c r="A115" s="9">
        <v>109</v>
      </c>
      <c r="B115" s="23" t="e">
        <f t="shared" si="7"/>
        <v>#NUM!</v>
      </c>
      <c r="C115" s="23" t="e">
        <f t="shared" si="8"/>
        <v>#NUM!</v>
      </c>
      <c r="D115" s="23" t="e">
        <f t="shared" si="9"/>
        <v>#NUM!</v>
      </c>
      <c r="E115" s="28" t="e">
        <f t="shared" si="5"/>
        <v>#NUM!</v>
      </c>
      <c r="F115" s="23" t="e">
        <f t="shared" si="6"/>
        <v>#NUM!</v>
      </c>
    </row>
    <row r="116" spans="1:6" x14ac:dyDescent="0.35">
      <c r="A116" s="9">
        <v>110</v>
      </c>
      <c r="B116" s="23" t="e">
        <f t="shared" si="7"/>
        <v>#NUM!</v>
      </c>
      <c r="C116" s="23" t="e">
        <f t="shared" si="8"/>
        <v>#NUM!</v>
      </c>
      <c r="D116" s="23" t="e">
        <f t="shared" si="9"/>
        <v>#NUM!</v>
      </c>
      <c r="E116" s="28" t="e">
        <f t="shared" si="5"/>
        <v>#NUM!</v>
      </c>
      <c r="F116" s="23" t="e">
        <f t="shared" si="6"/>
        <v>#NUM!</v>
      </c>
    </row>
    <row r="117" spans="1:6" x14ac:dyDescent="0.35">
      <c r="A117" s="9">
        <v>111</v>
      </c>
      <c r="B117" s="23" t="e">
        <f t="shared" si="7"/>
        <v>#NUM!</v>
      </c>
      <c r="C117" s="23" t="e">
        <f t="shared" si="8"/>
        <v>#NUM!</v>
      </c>
      <c r="D117" s="23" t="e">
        <f t="shared" si="9"/>
        <v>#NUM!</v>
      </c>
      <c r="E117" s="28" t="e">
        <f t="shared" si="5"/>
        <v>#NUM!</v>
      </c>
      <c r="F117" s="23" t="e">
        <f t="shared" si="6"/>
        <v>#NUM!</v>
      </c>
    </row>
    <row r="118" spans="1:6" x14ac:dyDescent="0.35">
      <c r="A118" s="9">
        <v>112</v>
      </c>
      <c r="B118" s="23" t="e">
        <f t="shared" si="7"/>
        <v>#NUM!</v>
      </c>
      <c r="C118" s="23" t="e">
        <f t="shared" si="8"/>
        <v>#NUM!</v>
      </c>
      <c r="D118" s="23" t="e">
        <f t="shared" si="9"/>
        <v>#NUM!</v>
      </c>
      <c r="E118" s="28" t="e">
        <f t="shared" si="5"/>
        <v>#NUM!</v>
      </c>
      <c r="F118" s="23" t="e">
        <f t="shared" si="6"/>
        <v>#NUM!</v>
      </c>
    </row>
    <row r="119" spans="1:6" x14ac:dyDescent="0.35">
      <c r="A119" s="9">
        <v>113</v>
      </c>
      <c r="B119" s="23" t="e">
        <f t="shared" si="7"/>
        <v>#NUM!</v>
      </c>
      <c r="C119" s="23" t="e">
        <f t="shared" si="8"/>
        <v>#NUM!</v>
      </c>
      <c r="D119" s="23" t="e">
        <f t="shared" si="9"/>
        <v>#NUM!</v>
      </c>
      <c r="E119" s="28" t="e">
        <f t="shared" si="5"/>
        <v>#NUM!</v>
      </c>
      <c r="F119" s="23" t="e">
        <f t="shared" si="6"/>
        <v>#NUM!</v>
      </c>
    </row>
    <row r="120" spans="1:6" x14ac:dyDescent="0.35">
      <c r="A120" s="9">
        <v>114</v>
      </c>
      <c r="B120" s="23" t="e">
        <f t="shared" si="7"/>
        <v>#NUM!</v>
      </c>
      <c r="C120" s="23" t="e">
        <f t="shared" si="8"/>
        <v>#NUM!</v>
      </c>
      <c r="D120" s="23" t="e">
        <f t="shared" si="9"/>
        <v>#NUM!</v>
      </c>
      <c r="E120" s="28" t="e">
        <f t="shared" si="5"/>
        <v>#NUM!</v>
      </c>
      <c r="F120" s="23" t="e">
        <f t="shared" si="6"/>
        <v>#NUM!</v>
      </c>
    </row>
    <row r="121" spans="1:6" x14ac:dyDescent="0.35">
      <c r="A121" s="9">
        <v>115</v>
      </c>
      <c r="B121" s="23" t="e">
        <f t="shared" si="7"/>
        <v>#NUM!</v>
      </c>
      <c r="C121" s="23" t="e">
        <f t="shared" si="8"/>
        <v>#NUM!</v>
      </c>
      <c r="D121" s="23" t="e">
        <f t="shared" si="9"/>
        <v>#NUM!</v>
      </c>
      <c r="E121" s="28" t="e">
        <f t="shared" si="5"/>
        <v>#NUM!</v>
      </c>
      <c r="F121" s="23" t="e">
        <f t="shared" si="6"/>
        <v>#NUM!</v>
      </c>
    </row>
    <row r="122" spans="1:6" x14ac:dyDescent="0.35">
      <c r="A122" s="9">
        <v>116</v>
      </c>
      <c r="B122" s="23" t="e">
        <f t="shared" si="7"/>
        <v>#NUM!</v>
      </c>
      <c r="C122" s="23" t="e">
        <f t="shared" si="8"/>
        <v>#NUM!</v>
      </c>
      <c r="D122" s="23" t="e">
        <f t="shared" si="9"/>
        <v>#NUM!</v>
      </c>
      <c r="E122" s="28" t="e">
        <f t="shared" si="5"/>
        <v>#NUM!</v>
      </c>
      <c r="F122" s="23" t="e">
        <f t="shared" si="6"/>
        <v>#NUM!</v>
      </c>
    </row>
    <row r="123" spans="1:6" x14ac:dyDescent="0.35">
      <c r="A123" s="9">
        <v>117</v>
      </c>
      <c r="B123" s="23" t="e">
        <f t="shared" si="7"/>
        <v>#NUM!</v>
      </c>
      <c r="C123" s="23" t="e">
        <f t="shared" si="8"/>
        <v>#NUM!</v>
      </c>
      <c r="D123" s="23" t="e">
        <f t="shared" si="9"/>
        <v>#NUM!</v>
      </c>
      <c r="E123" s="28" t="e">
        <f t="shared" si="5"/>
        <v>#NUM!</v>
      </c>
      <c r="F123" s="23" t="e">
        <f t="shared" si="6"/>
        <v>#NUM!</v>
      </c>
    </row>
    <row r="124" spans="1:6" x14ac:dyDescent="0.35">
      <c r="A124" s="9">
        <v>118</v>
      </c>
      <c r="B124" s="23" t="e">
        <f t="shared" si="7"/>
        <v>#NUM!</v>
      </c>
      <c r="C124" s="23" t="e">
        <f t="shared" si="8"/>
        <v>#NUM!</v>
      </c>
      <c r="D124" s="23" t="e">
        <f t="shared" si="9"/>
        <v>#NUM!</v>
      </c>
      <c r="E124" s="28" t="e">
        <f t="shared" si="5"/>
        <v>#NUM!</v>
      </c>
      <c r="F124" s="23" t="e">
        <f t="shared" si="6"/>
        <v>#NUM!</v>
      </c>
    </row>
    <row r="125" spans="1:6" x14ac:dyDescent="0.35">
      <c r="A125" s="9">
        <v>119</v>
      </c>
      <c r="B125" s="23" t="e">
        <f t="shared" si="7"/>
        <v>#NUM!</v>
      </c>
      <c r="C125" s="23" t="e">
        <f t="shared" si="8"/>
        <v>#NUM!</v>
      </c>
      <c r="D125" s="23" t="e">
        <f t="shared" si="9"/>
        <v>#NUM!</v>
      </c>
      <c r="E125" s="28" t="e">
        <f t="shared" si="5"/>
        <v>#NUM!</v>
      </c>
      <c r="F125" s="23" t="e">
        <f t="shared" si="6"/>
        <v>#NUM!</v>
      </c>
    </row>
    <row r="126" spans="1:6" x14ac:dyDescent="0.35">
      <c r="A126" s="9">
        <v>120</v>
      </c>
      <c r="B126" s="23" t="e">
        <f t="shared" si="7"/>
        <v>#NUM!</v>
      </c>
      <c r="C126" s="23" t="e">
        <f t="shared" si="8"/>
        <v>#NUM!</v>
      </c>
      <c r="D126" s="23" t="e">
        <f t="shared" si="9"/>
        <v>#NUM!</v>
      </c>
      <c r="E126" s="28" t="e">
        <f t="shared" si="5"/>
        <v>#NUM!</v>
      </c>
      <c r="F126" s="23" t="e">
        <f t="shared" si="6"/>
        <v>#NUM!</v>
      </c>
    </row>
    <row r="127" spans="1:6" x14ac:dyDescent="0.35">
      <c r="A127" s="9">
        <v>121</v>
      </c>
      <c r="B127" s="23" t="e">
        <f t="shared" si="7"/>
        <v>#NUM!</v>
      </c>
      <c r="C127" s="23" t="e">
        <f t="shared" si="8"/>
        <v>#NUM!</v>
      </c>
      <c r="D127" s="23" t="e">
        <f t="shared" si="9"/>
        <v>#NUM!</v>
      </c>
      <c r="E127" s="28" t="e">
        <f t="shared" si="5"/>
        <v>#NUM!</v>
      </c>
      <c r="F127" s="23" t="e">
        <f t="shared" si="6"/>
        <v>#NUM!</v>
      </c>
    </row>
    <row r="128" spans="1:6" x14ac:dyDescent="0.35">
      <c r="A128" s="9">
        <v>122</v>
      </c>
      <c r="B128" s="23" t="e">
        <f t="shared" si="7"/>
        <v>#NUM!</v>
      </c>
      <c r="C128" s="23" t="e">
        <f t="shared" si="8"/>
        <v>#NUM!</v>
      </c>
      <c r="D128" s="23" t="e">
        <f t="shared" si="9"/>
        <v>#NUM!</v>
      </c>
      <c r="E128" s="28" t="e">
        <f t="shared" si="5"/>
        <v>#NUM!</v>
      </c>
      <c r="F128" s="23" t="e">
        <f t="shared" si="6"/>
        <v>#NUM!</v>
      </c>
    </row>
    <row r="129" spans="1:6" x14ac:dyDescent="0.35">
      <c r="A129" s="9">
        <v>123</v>
      </c>
      <c r="B129" s="23" t="e">
        <f t="shared" si="7"/>
        <v>#NUM!</v>
      </c>
      <c r="C129" s="23" t="e">
        <f t="shared" si="8"/>
        <v>#NUM!</v>
      </c>
      <c r="D129" s="23" t="e">
        <f t="shared" si="9"/>
        <v>#NUM!</v>
      </c>
      <c r="E129" s="28" t="e">
        <f t="shared" si="5"/>
        <v>#NUM!</v>
      </c>
      <c r="F129" s="23" t="e">
        <f t="shared" si="6"/>
        <v>#NUM!</v>
      </c>
    </row>
    <row r="130" spans="1:6" x14ac:dyDescent="0.35">
      <c r="A130" s="9">
        <v>124</v>
      </c>
      <c r="B130" s="23" t="e">
        <f t="shared" si="7"/>
        <v>#NUM!</v>
      </c>
      <c r="C130" s="23" t="e">
        <f t="shared" si="8"/>
        <v>#NUM!</v>
      </c>
      <c r="D130" s="23" t="e">
        <f t="shared" si="9"/>
        <v>#NUM!</v>
      </c>
      <c r="E130" s="28" t="e">
        <f t="shared" si="5"/>
        <v>#NUM!</v>
      </c>
      <c r="F130" s="23" t="e">
        <f t="shared" si="6"/>
        <v>#NUM!</v>
      </c>
    </row>
    <row r="131" spans="1:6" x14ac:dyDescent="0.35">
      <c r="A131" s="9">
        <v>125</v>
      </c>
      <c r="B131" s="23" t="e">
        <f t="shared" si="7"/>
        <v>#NUM!</v>
      </c>
      <c r="C131" s="23" t="e">
        <f t="shared" si="8"/>
        <v>#NUM!</v>
      </c>
      <c r="D131" s="23" t="e">
        <f t="shared" si="9"/>
        <v>#NUM!</v>
      </c>
      <c r="E131" s="28" t="e">
        <f t="shared" si="5"/>
        <v>#NUM!</v>
      </c>
      <c r="F131" s="23" t="e">
        <f t="shared" si="6"/>
        <v>#NUM!</v>
      </c>
    </row>
    <row r="132" spans="1:6" x14ac:dyDescent="0.35">
      <c r="A132" s="9">
        <v>126</v>
      </c>
      <c r="B132" s="23" t="e">
        <f t="shared" si="7"/>
        <v>#NUM!</v>
      </c>
      <c r="C132" s="23" t="e">
        <f t="shared" si="8"/>
        <v>#NUM!</v>
      </c>
      <c r="D132" s="23" t="e">
        <f t="shared" si="9"/>
        <v>#NUM!</v>
      </c>
      <c r="E132" s="28" t="e">
        <f t="shared" si="5"/>
        <v>#NUM!</v>
      </c>
      <c r="F132" s="23" t="e">
        <f t="shared" si="6"/>
        <v>#NUM!</v>
      </c>
    </row>
    <row r="133" spans="1:6" x14ac:dyDescent="0.35">
      <c r="A133" s="9">
        <v>127</v>
      </c>
      <c r="B133" s="23" t="e">
        <f t="shared" si="7"/>
        <v>#NUM!</v>
      </c>
      <c r="C133" s="23" t="e">
        <f t="shared" si="8"/>
        <v>#NUM!</v>
      </c>
      <c r="D133" s="23" t="e">
        <f t="shared" si="9"/>
        <v>#NUM!</v>
      </c>
      <c r="E133" s="28" t="e">
        <f t="shared" si="5"/>
        <v>#NUM!</v>
      </c>
      <c r="F133" s="23" t="e">
        <f t="shared" si="6"/>
        <v>#NUM!</v>
      </c>
    </row>
    <row r="134" spans="1:6" x14ac:dyDescent="0.35">
      <c r="A134" s="9">
        <v>128</v>
      </c>
      <c r="B134" s="23" t="e">
        <f t="shared" si="7"/>
        <v>#NUM!</v>
      </c>
      <c r="C134" s="23" t="e">
        <f t="shared" si="8"/>
        <v>#NUM!</v>
      </c>
      <c r="D134" s="23" t="e">
        <f t="shared" si="9"/>
        <v>#NUM!</v>
      </c>
      <c r="E134" s="28" t="e">
        <f t="shared" si="5"/>
        <v>#NUM!</v>
      </c>
      <c r="F134" s="23" t="e">
        <f t="shared" si="6"/>
        <v>#NUM!</v>
      </c>
    </row>
    <row r="135" spans="1:6" x14ac:dyDescent="0.35">
      <c r="A135" s="9">
        <v>129</v>
      </c>
      <c r="B135" s="23" t="e">
        <f t="shared" si="7"/>
        <v>#NUM!</v>
      </c>
      <c r="C135" s="23" t="e">
        <f t="shared" si="8"/>
        <v>#NUM!</v>
      </c>
      <c r="D135" s="23" t="e">
        <f t="shared" si="9"/>
        <v>#NUM!</v>
      </c>
      <c r="E135" s="28" t="e">
        <f t="shared" si="5"/>
        <v>#NUM!</v>
      </c>
      <c r="F135" s="23" t="e">
        <f t="shared" si="6"/>
        <v>#NUM!</v>
      </c>
    </row>
    <row r="136" spans="1:6" x14ac:dyDescent="0.35">
      <c r="A136" s="9">
        <v>130</v>
      </c>
      <c r="B136" s="23" t="e">
        <f t="shared" si="7"/>
        <v>#NUM!</v>
      </c>
      <c r="C136" s="23" t="e">
        <f t="shared" si="8"/>
        <v>#NUM!</v>
      </c>
      <c r="D136" s="23" t="e">
        <f t="shared" si="9"/>
        <v>#NUM!</v>
      </c>
      <c r="E136" s="28" t="e">
        <f t="shared" ref="E136:E199" si="10">PMT($D$2/12,$D$4,-$D$1,,)</f>
        <v>#NUM!</v>
      </c>
      <c r="F136" s="23" t="e">
        <f t="shared" ref="F136:F199" si="11">B136-D136</f>
        <v>#NUM!</v>
      </c>
    </row>
    <row r="137" spans="1:6" x14ac:dyDescent="0.35">
      <c r="A137" s="9">
        <v>131</v>
      </c>
      <c r="B137" s="23" t="e">
        <f t="shared" ref="B137:B200" si="12">F136</f>
        <v>#NUM!</v>
      </c>
      <c r="C137" s="23" t="e">
        <f t="shared" ref="C137:C200" si="13">($D$2/12)*B137</f>
        <v>#NUM!</v>
      </c>
      <c r="D137" s="23" t="e">
        <f t="shared" ref="D137:D200" si="14">E137-C137</f>
        <v>#NUM!</v>
      </c>
      <c r="E137" s="28" t="e">
        <f t="shared" si="10"/>
        <v>#NUM!</v>
      </c>
      <c r="F137" s="23" t="e">
        <f t="shared" si="11"/>
        <v>#NUM!</v>
      </c>
    </row>
    <row r="138" spans="1:6" x14ac:dyDescent="0.35">
      <c r="A138" s="9">
        <v>132</v>
      </c>
      <c r="B138" s="23" t="e">
        <f t="shared" si="12"/>
        <v>#NUM!</v>
      </c>
      <c r="C138" s="23" t="e">
        <f t="shared" si="13"/>
        <v>#NUM!</v>
      </c>
      <c r="D138" s="23" t="e">
        <f t="shared" si="14"/>
        <v>#NUM!</v>
      </c>
      <c r="E138" s="28" t="e">
        <f t="shared" si="10"/>
        <v>#NUM!</v>
      </c>
      <c r="F138" s="23" t="e">
        <f t="shared" si="11"/>
        <v>#NUM!</v>
      </c>
    </row>
    <row r="139" spans="1:6" x14ac:dyDescent="0.35">
      <c r="A139" s="9">
        <v>133</v>
      </c>
      <c r="B139" s="23" t="e">
        <f t="shared" si="12"/>
        <v>#NUM!</v>
      </c>
      <c r="C139" s="23" t="e">
        <f t="shared" si="13"/>
        <v>#NUM!</v>
      </c>
      <c r="D139" s="23" t="e">
        <f t="shared" si="14"/>
        <v>#NUM!</v>
      </c>
      <c r="E139" s="28" t="e">
        <f t="shared" si="10"/>
        <v>#NUM!</v>
      </c>
      <c r="F139" s="23" t="e">
        <f t="shared" si="11"/>
        <v>#NUM!</v>
      </c>
    </row>
    <row r="140" spans="1:6" x14ac:dyDescent="0.35">
      <c r="A140" s="9">
        <v>134</v>
      </c>
      <c r="B140" s="23" t="e">
        <f t="shared" si="12"/>
        <v>#NUM!</v>
      </c>
      <c r="C140" s="23" t="e">
        <f t="shared" si="13"/>
        <v>#NUM!</v>
      </c>
      <c r="D140" s="23" t="e">
        <f t="shared" si="14"/>
        <v>#NUM!</v>
      </c>
      <c r="E140" s="28" t="e">
        <f t="shared" si="10"/>
        <v>#NUM!</v>
      </c>
      <c r="F140" s="23" t="e">
        <f t="shared" si="11"/>
        <v>#NUM!</v>
      </c>
    </row>
    <row r="141" spans="1:6" x14ac:dyDescent="0.35">
      <c r="A141" s="9">
        <v>135</v>
      </c>
      <c r="B141" s="23" t="e">
        <f t="shared" si="12"/>
        <v>#NUM!</v>
      </c>
      <c r="C141" s="23" t="e">
        <f t="shared" si="13"/>
        <v>#NUM!</v>
      </c>
      <c r="D141" s="23" t="e">
        <f t="shared" si="14"/>
        <v>#NUM!</v>
      </c>
      <c r="E141" s="28" t="e">
        <f t="shared" si="10"/>
        <v>#NUM!</v>
      </c>
      <c r="F141" s="23" t="e">
        <f t="shared" si="11"/>
        <v>#NUM!</v>
      </c>
    </row>
    <row r="142" spans="1:6" x14ac:dyDescent="0.35">
      <c r="A142" s="9">
        <v>136</v>
      </c>
      <c r="B142" s="23" t="e">
        <f t="shared" si="12"/>
        <v>#NUM!</v>
      </c>
      <c r="C142" s="23" t="e">
        <f t="shared" si="13"/>
        <v>#NUM!</v>
      </c>
      <c r="D142" s="23" t="e">
        <f t="shared" si="14"/>
        <v>#NUM!</v>
      </c>
      <c r="E142" s="28" t="e">
        <f t="shared" si="10"/>
        <v>#NUM!</v>
      </c>
      <c r="F142" s="23" t="e">
        <f t="shared" si="11"/>
        <v>#NUM!</v>
      </c>
    </row>
    <row r="143" spans="1:6" x14ac:dyDescent="0.35">
      <c r="A143" s="9">
        <v>137</v>
      </c>
      <c r="B143" s="23" t="e">
        <f t="shared" si="12"/>
        <v>#NUM!</v>
      </c>
      <c r="C143" s="23" t="e">
        <f t="shared" si="13"/>
        <v>#NUM!</v>
      </c>
      <c r="D143" s="23" t="e">
        <f t="shared" si="14"/>
        <v>#NUM!</v>
      </c>
      <c r="E143" s="28" t="e">
        <f t="shared" si="10"/>
        <v>#NUM!</v>
      </c>
      <c r="F143" s="23" t="e">
        <f t="shared" si="11"/>
        <v>#NUM!</v>
      </c>
    </row>
    <row r="144" spans="1:6" x14ac:dyDescent="0.35">
      <c r="A144" s="9">
        <v>138</v>
      </c>
      <c r="B144" s="23" t="e">
        <f t="shared" si="12"/>
        <v>#NUM!</v>
      </c>
      <c r="C144" s="23" t="e">
        <f t="shared" si="13"/>
        <v>#NUM!</v>
      </c>
      <c r="D144" s="23" t="e">
        <f t="shared" si="14"/>
        <v>#NUM!</v>
      </c>
      <c r="E144" s="28" t="e">
        <f t="shared" si="10"/>
        <v>#NUM!</v>
      </c>
      <c r="F144" s="23" t="e">
        <f t="shared" si="11"/>
        <v>#NUM!</v>
      </c>
    </row>
    <row r="145" spans="1:6" x14ac:dyDescent="0.35">
      <c r="A145" s="9">
        <v>139</v>
      </c>
      <c r="B145" s="23" t="e">
        <f t="shared" si="12"/>
        <v>#NUM!</v>
      </c>
      <c r="C145" s="23" t="e">
        <f t="shared" si="13"/>
        <v>#NUM!</v>
      </c>
      <c r="D145" s="23" t="e">
        <f t="shared" si="14"/>
        <v>#NUM!</v>
      </c>
      <c r="E145" s="28" t="e">
        <f t="shared" si="10"/>
        <v>#NUM!</v>
      </c>
      <c r="F145" s="23" t="e">
        <f t="shared" si="11"/>
        <v>#NUM!</v>
      </c>
    </row>
    <row r="146" spans="1:6" x14ac:dyDescent="0.35">
      <c r="A146" s="9">
        <v>140</v>
      </c>
      <c r="B146" s="23" t="e">
        <f t="shared" si="12"/>
        <v>#NUM!</v>
      </c>
      <c r="C146" s="23" t="e">
        <f t="shared" si="13"/>
        <v>#NUM!</v>
      </c>
      <c r="D146" s="23" t="e">
        <f t="shared" si="14"/>
        <v>#NUM!</v>
      </c>
      <c r="E146" s="28" t="e">
        <f t="shared" si="10"/>
        <v>#NUM!</v>
      </c>
      <c r="F146" s="23" t="e">
        <f t="shared" si="11"/>
        <v>#NUM!</v>
      </c>
    </row>
    <row r="147" spans="1:6" x14ac:dyDescent="0.35">
      <c r="A147" s="9">
        <v>141</v>
      </c>
      <c r="B147" s="23" t="e">
        <f t="shared" si="12"/>
        <v>#NUM!</v>
      </c>
      <c r="C147" s="23" t="e">
        <f t="shared" si="13"/>
        <v>#NUM!</v>
      </c>
      <c r="D147" s="23" t="e">
        <f t="shared" si="14"/>
        <v>#NUM!</v>
      </c>
      <c r="E147" s="28" t="e">
        <f t="shared" si="10"/>
        <v>#NUM!</v>
      </c>
      <c r="F147" s="23" t="e">
        <f t="shared" si="11"/>
        <v>#NUM!</v>
      </c>
    </row>
    <row r="148" spans="1:6" x14ac:dyDescent="0.35">
      <c r="A148" s="9">
        <v>142</v>
      </c>
      <c r="B148" s="23" t="e">
        <f t="shared" si="12"/>
        <v>#NUM!</v>
      </c>
      <c r="C148" s="23" t="e">
        <f t="shared" si="13"/>
        <v>#NUM!</v>
      </c>
      <c r="D148" s="23" t="e">
        <f t="shared" si="14"/>
        <v>#NUM!</v>
      </c>
      <c r="E148" s="28" t="e">
        <f t="shared" si="10"/>
        <v>#NUM!</v>
      </c>
      <c r="F148" s="23" t="e">
        <f t="shared" si="11"/>
        <v>#NUM!</v>
      </c>
    </row>
    <row r="149" spans="1:6" x14ac:dyDescent="0.35">
      <c r="A149" s="9">
        <v>143</v>
      </c>
      <c r="B149" s="23" t="e">
        <f t="shared" si="12"/>
        <v>#NUM!</v>
      </c>
      <c r="C149" s="23" t="e">
        <f t="shared" si="13"/>
        <v>#NUM!</v>
      </c>
      <c r="D149" s="23" t="e">
        <f t="shared" si="14"/>
        <v>#NUM!</v>
      </c>
      <c r="E149" s="28" t="e">
        <f t="shared" si="10"/>
        <v>#NUM!</v>
      </c>
      <c r="F149" s="23" t="e">
        <f t="shared" si="11"/>
        <v>#NUM!</v>
      </c>
    </row>
    <row r="150" spans="1:6" x14ac:dyDescent="0.35">
      <c r="A150" s="9">
        <v>144</v>
      </c>
      <c r="B150" s="23" t="e">
        <f t="shared" si="12"/>
        <v>#NUM!</v>
      </c>
      <c r="C150" s="23" t="e">
        <f t="shared" si="13"/>
        <v>#NUM!</v>
      </c>
      <c r="D150" s="23" t="e">
        <f t="shared" si="14"/>
        <v>#NUM!</v>
      </c>
      <c r="E150" s="28" t="e">
        <f t="shared" si="10"/>
        <v>#NUM!</v>
      </c>
      <c r="F150" s="23" t="e">
        <f t="shared" si="11"/>
        <v>#NUM!</v>
      </c>
    </row>
    <row r="151" spans="1:6" x14ac:dyDescent="0.35">
      <c r="A151" s="9">
        <v>145</v>
      </c>
      <c r="B151" s="23" t="e">
        <f t="shared" si="12"/>
        <v>#NUM!</v>
      </c>
      <c r="C151" s="23" t="e">
        <f t="shared" si="13"/>
        <v>#NUM!</v>
      </c>
      <c r="D151" s="23" t="e">
        <f t="shared" si="14"/>
        <v>#NUM!</v>
      </c>
      <c r="E151" s="28" t="e">
        <f t="shared" si="10"/>
        <v>#NUM!</v>
      </c>
      <c r="F151" s="23" t="e">
        <f t="shared" si="11"/>
        <v>#NUM!</v>
      </c>
    </row>
    <row r="152" spans="1:6" x14ac:dyDescent="0.35">
      <c r="A152" s="9">
        <v>146</v>
      </c>
      <c r="B152" s="23" t="e">
        <f t="shared" si="12"/>
        <v>#NUM!</v>
      </c>
      <c r="C152" s="23" t="e">
        <f t="shared" si="13"/>
        <v>#NUM!</v>
      </c>
      <c r="D152" s="23" t="e">
        <f t="shared" si="14"/>
        <v>#NUM!</v>
      </c>
      <c r="E152" s="28" t="e">
        <f t="shared" si="10"/>
        <v>#NUM!</v>
      </c>
      <c r="F152" s="23" t="e">
        <f t="shared" si="11"/>
        <v>#NUM!</v>
      </c>
    </row>
    <row r="153" spans="1:6" x14ac:dyDescent="0.35">
      <c r="A153" s="9">
        <v>147</v>
      </c>
      <c r="B153" s="23" t="e">
        <f t="shared" si="12"/>
        <v>#NUM!</v>
      </c>
      <c r="C153" s="23" t="e">
        <f t="shared" si="13"/>
        <v>#NUM!</v>
      </c>
      <c r="D153" s="23" t="e">
        <f t="shared" si="14"/>
        <v>#NUM!</v>
      </c>
      <c r="E153" s="28" t="e">
        <f t="shared" si="10"/>
        <v>#NUM!</v>
      </c>
      <c r="F153" s="23" t="e">
        <f t="shared" si="11"/>
        <v>#NUM!</v>
      </c>
    </row>
    <row r="154" spans="1:6" x14ac:dyDescent="0.35">
      <c r="A154" s="9">
        <v>148</v>
      </c>
      <c r="B154" s="23" t="e">
        <f t="shared" si="12"/>
        <v>#NUM!</v>
      </c>
      <c r="C154" s="23" t="e">
        <f t="shared" si="13"/>
        <v>#NUM!</v>
      </c>
      <c r="D154" s="23" t="e">
        <f t="shared" si="14"/>
        <v>#NUM!</v>
      </c>
      <c r="E154" s="28" t="e">
        <f t="shared" si="10"/>
        <v>#NUM!</v>
      </c>
      <c r="F154" s="23" t="e">
        <f t="shared" si="11"/>
        <v>#NUM!</v>
      </c>
    </row>
    <row r="155" spans="1:6" x14ac:dyDescent="0.35">
      <c r="A155" s="9">
        <v>149</v>
      </c>
      <c r="B155" s="23" t="e">
        <f t="shared" si="12"/>
        <v>#NUM!</v>
      </c>
      <c r="C155" s="23" t="e">
        <f t="shared" si="13"/>
        <v>#NUM!</v>
      </c>
      <c r="D155" s="23" t="e">
        <f t="shared" si="14"/>
        <v>#NUM!</v>
      </c>
      <c r="E155" s="28" t="e">
        <f t="shared" si="10"/>
        <v>#NUM!</v>
      </c>
      <c r="F155" s="23" t="e">
        <f t="shared" si="11"/>
        <v>#NUM!</v>
      </c>
    </row>
    <row r="156" spans="1:6" x14ac:dyDescent="0.35">
      <c r="A156" s="9">
        <v>150</v>
      </c>
      <c r="B156" s="23" t="e">
        <f t="shared" si="12"/>
        <v>#NUM!</v>
      </c>
      <c r="C156" s="23" t="e">
        <f t="shared" si="13"/>
        <v>#NUM!</v>
      </c>
      <c r="D156" s="23" t="e">
        <f t="shared" si="14"/>
        <v>#NUM!</v>
      </c>
      <c r="E156" s="28" t="e">
        <f t="shared" si="10"/>
        <v>#NUM!</v>
      </c>
      <c r="F156" s="23" t="e">
        <f t="shared" si="11"/>
        <v>#NUM!</v>
      </c>
    </row>
    <row r="157" spans="1:6" x14ac:dyDescent="0.35">
      <c r="A157" s="9">
        <v>151</v>
      </c>
      <c r="B157" s="23" t="e">
        <f t="shared" si="12"/>
        <v>#NUM!</v>
      </c>
      <c r="C157" s="23" t="e">
        <f t="shared" si="13"/>
        <v>#NUM!</v>
      </c>
      <c r="D157" s="23" t="e">
        <f t="shared" si="14"/>
        <v>#NUM!</v>
      </c>
      <c r="E157" s="28" t="e">
        <f t="shared" si="10"/>
        <v>#NUM!</v>
      </c>
      <c r="F157" s="23" t="e">
        <f t="shared" si="11"/>
        <v>#NUM!</v>
      </c>
    </row>
    <row r="158" spans="1:6" x14ac:dyDescent="0.35">
      <c r="A158" s="9">
        <v>152</v>
      </c>
      <c r="B158" s="23" t="e">
        <f t="shared" si="12"/>
        <v>#NUM!</v>
      </c>
      <c r="C158" s="23" t="e">
        <f t="shared" si="13"/>
        <v>#NUM!</v>
      </c>
      <c r="D158" s="23" t="e">
        <f t="shared" si="14"/>
        <v>#NUM!</v>
      </c>
      <c r="E158" s="28" t="e">
        <f t="shared" si="10"/>
        <v>#NUM!</v>
      </c>
      <c r="F158" s="23" t="e">
        <f t="shared" si="11"/>
        <v>#NUM!</v>
      </c>
    </row>
    <row r="159" spans="1:6" x14ac:dyDescent="0.35">
      <c r="A159" s="9">
        <v>153</v>
      </c>
      <c r="B159" s="23" t="e">
        <f t="shared" si="12"/>
        <v>#NUM!</v>
      </c>
      <c r="C159" s="23" t="e">
        <f t="shared" si="13"/>
        <v>#NUM!</v>
      </c>
      <c r="D159" s="23" t="e">
        <f t="shared" si="14"/>
        <v>#NUM!</v>
      </c>
      <c r="E159" s="28" t="e">
        <f t="shared" si="10"/>
        <v>#NUM!</v>
      </c>
      <c r="F159" s="23" t="e">
        <f t="shared" si="11"/>
        <v>#NUM!</v>
      </c>
    </row>
    <row r="160" spans="1:6" x14ac:dyDescent="0.35">
      <c r="A160" s="9">
        <v>154</v>
      </c>
      <c r="B160" s="23" t="e">
        <f t="shared" si="12"/>
        <v>#NUM!</v>
      </c>
      <c r="C160" s="23" t="e">
        <f t="shared" si="13"/>
        <v>#NUM!</v>
      </c>
      <c r="D160" s="23" t="e">
        <f t="shared" si="14"/>
        <v>#NUM!</v>
      </c>
      <c r="E160" s="28" t="e">
        <f t="shared" si="10"/>
        <v>#NUM!</v>
      </c>
      <c r="F160" s="23" t="e">
        <f t="shared" si="11"/>
        <v>#NUM!</v>
      </c>
    </row>
    <row r="161" spans="1:6" x14ac:dyDescent="0.35">
      <c r="A161" s="9">
        <v>155</v>
      </c>
      <c r="B161" s="23" t="e">
        <f t="shared" si="12"/>
        <v>#NUM!</v>
      </c>
      <c r="C161" s="23" t="e">
        <f t="shared" si="13"/>
        <v>#NUM!</v>
      </c>
      <c r="D161" s="23" t="e">
        <f t="shared" si="14"/>
        <v>#NUM!</v>
      </c>
      <c r="E161" s="28" t="e">
        <f t="shared" si="10"/>
        <v>#NUM!</v>
      </c>
      <c r="F161" s="23" t="e">
        <f t="shared" si="11"/>
        <v>#NUM!</v>
      </c>
    </row>
    <row r="162" spans="1:6" x14ac:dyDescent="0.35">
      <c r="A162" s="9">
        <v>156</v>
      </c>
      <c r="B162" s="23" t="e">
        <f t="shared" si="12"/>
        <v>#NUM!</v>
      </c>
      <c r="C162" s="23" t="e">
        <f t="shared" si="13"/>
        <v>#NUM!</v>
      </c>
      <c r="D162" s="23" t="e">
        <f t="shared" si="14"/>
        <v>#NUM!</v>
      </c>
      <c r="E162" s="28" t="e">
        <f t="shared" si="10"/>
        <v>#NUM!</v>
      </c>
      <c r="F162" s="23" t="e">
        <f t="shared" si="11"/>
        <v>#NUM!</v>
      </c>
    </row>
    <row r="163" spans="1:6" x14ac:dyDescent="0.35">
      <c r="A163" s="9">
        <v>157</v>
      </c>
      <c r="B163" s="23" t="e">
        <f t="shared" si="12"/>
        <v>#NUM!</v>
      </c>
      <c r="C163" s="23" t="e">
        <f t="shared" si="13"/>
        <v>#NUM!</v>
      </c>
      <c r="D163" s="23" t="e">
        <f t="shared" si="14"/>
        <v>#NUM!</v>
      </c>
      <c r="E163" s="28" t="e">
        <f t="shared" si="10"/>
        <v>#NUM!</v>
      </c>
      <c r="F163" s="23" t="e">
        <f t="shared" si="11"/>
        <v>#NUM!</v>
      </c>
    </row>
    <row r="164" spans="1:6" x14ac:dyDescent="0.35">
      <c r="A164" s="9">
        <v>158</v>
      </c>
      <c r="B164" s="23" t="e">
        <f t="shared" si="12"/>
        <v>#NUM!</v>
      </c>
      <c r="C164" s="23" t="e">
        <f t="shared" si="13"/>
        <v>#NUM!</v>
      </c>
      <c r="D164" s="23" t="e">
        <f t="shared" si="14"/>
        <v>#NUM!</v>
      </c>
      <c r="E164" s="28" t="e">
        <f t="shared" si="10"/>
        <v>#NUM!</v>
      </c>
      <c r="F164" s="23" t="e">
        <f t="shared" si="11"/>
        <v>#NUM!</v>
      </c>
    </row>
    <row r="165" spans="1:6" x14ac:dyDescent="0.35">
      <c r="A165" s="9">
        <v>159</v>
      </c>
      <c r="B165" s="23" t="e">
        <f t="shared" si="12"/>
        <v>#NUM!</v>
      </c>
      <c r="C165" s="23" t="e">
        <f t="shared" si="13"/>
        <v>#NUM!</v>
      </c>
      <c r="D165" s="23" t="e">
        <f t="shared" si="14"/>
        <v>#NUM!</v>
      </c>
      <c r="E165" s="28" t="e">
        <f t="shared" si="10"/>
        <v>#NUM!</v>
      </c>
      <c r="F165" s="23" t="e">
        <f t="shared" si="11"/>
        <v>#NUM!</v>
      </c>
    </row>
    <row r="166" spans="1:6" x14ac:dyDescent="0.35">
      <c r="A166" s="9">
        <v>160</v>
      </c>
      <c r="B166" s="23" t="e">
        <f t="shared" si="12"/>
        <v>#NUM!</v>
      </c>
      <c r="C166" s="23" t="e">
        <f t="shared" si="13"/>
        <v>#NUM!</v>
      </c>
      <c r="D166" s="23" t="e">
        <f t="shared" si="14"/>
        <v>#NUM!</v>
      </c>
      <c r="E166" s="28" t="e">
        <f t="shared" si="10"/>
        <v>#NUM!</v>
      </c>
      <c r="F166" s="23" t="e">
        <f t="shared" si="11"/>
        <v>#NUM!</v>
      </c>
    </row>
    <row r="167" spans="1:6" x14ac:dyDescent="0.35">
      <c r="A167" s="9">
        <v>161</v>
      </c>
      <c r="B167" s="23" t="e">
        <f t="shared" si="12"/>
        <v>#NUM!</v>
      </c>
      <c r="C167" s="23" t="e">
        <f t="shared" si="13"/>
        <v>#NUM!</v>
      </c>
      <c r="D167" s="23" t="e">
        <f t="shared" si="14"/>
        <v>#NUM!</v>
      </c>
      <c r="E167" s="28" t="e">
        <f t="shared" si="10"/>
        <v>#NUM!</v>
      </c>
      <c r="F167" s="23" t="e">
        <f t="shared" si="11"/>
        <v>#NUM!</v>
      </c>
    </row>
    <row r="168" spans="1:6" x14ac:dyDescent="0.35">
      <c r="A168" s="9">
        <v>162</v>
      </c>
      <c r="B168" s="23" t="e">
        <f t="shared" si="12"/>
        <v>#NUM!</v>
      </c>
      <c r="C168" s="23" t="e">
        <f t="shared" si="13"/>
        <v>#NUM!</v>
      </c>
      <c r="D168" s="23" t="e">
        <f t="shared" si="14"/>
        <v>#NUM!</v>
      </c>
      <c r="E168" s="28" t="e">
        <f t="shared" si="10"/>
        <v>#NUM!</v>
      </c>
      <c r="F168" s="23" t="e">
        <f t="shared" si="11"/>
        <v>#NUM!</v>
      </c>
    </row>
    <row r="169" spans="1:6" x14ac:dyDescent="0.35">
      <c r="A169" s="9">
        <v>163</v>
      </c>
      <c r="B169" s="23" t="e">
        <f t="shared" si="12"/>
        <v>#NUM!</v>
      </c>
      <c r="C169" s="23" t="e">
        <f t="shared" si="13"/>
        <v>#NUM!</v>
      </c>
      <c r="D169" s="23" t="e">
        <f t="shared" si="14"/>
        <v>#NUM!</v>
      </c>
      <c r="E169" s="28" t="e">
        <f t="shared" si="10"/>
        <v>#NUM!</v>
      </c>
      <c r="F169" s="23" t="e">
        <f t="shared" si="11"/>
        <v>#NUM!</v>
      </c>
    </row>
    <row r="170" spans="1:6" x14ac:dyDescent="0.35">
      <c r="A170" s="9">
        <v>164</v>
      </c>
      <c r="B170" s="23" t="e">
        <f t="shared" si="12"/>
        <v>#NUM!</v>
      </c>
      <c r="C170" s="23" t="e">
        <f t="shared" si="13"/>
        <v>#NUM!</v>
      </c>
      <c r="D170" s="23" t="e">
        <f t="shared" si="14"/>
        <v>#NUM!</v>
      </c>
      <c r="E170" s="28" t="e">
        <f t="shared" si="10"/>
        <v>#NUM!</v>
      </c>
      <c r="F170" s="23" t="e">
        <f t="shared" si="11"/>
        <v>#NUM!</v>
      </c>
    </row>
    <row r="171" spans="1:6" x14ac:dyDescent="0.35">
      <c r="A171" s="9">
        <v>165</v>
      </c>
      <c r="B171" s="23" t="e">
        <f t="shared" si="12"/>
        <v>#NUM!</v>
      </c>
      <c r="C171" s="23" t="e">
        <f t="shared" si="13"/>
        <v>#NUM!</v>
      </c>
      <c r="D171" s="23" t="e">
        <f t="shared" si="14"/>
        <v>#NUM!</v>
      </c>
      <c r="E171" s="28" t="e">
        <f t="shared" si="10"/>
        <v>#NUM!</v>
      </c>
      <c r="F171" s="23" t="e">
        <f t="shared" si="11"/>
        <v>#NUM!</v>
      </c>
    </row>
    <row r="172" spans="1:6" x14ac:dyDescent="0.35">
      <c r="A172" s="9">
        <v>166</v>
      </c>
      <c r="B172" s="23" t="e">
        <f t="shared" si="12"/>
        <v>#NUM!</v>
      </c>
      <c r="C172" s="23" t="e">
        <f t="shared" si="13"/>
        <v>#NUM!</v>
      </c>
      <c r="D172" s="23" t="e">
        <f t="shared" si="14"/>
        <v>#NUM!</v>
      </c>
      <c r="E172" s="28" t="e">
        <f t="shared" si="10"/>
        <v>#NUM!</v>
      </c>
      <c r="F172" s="23" t="e">
        <f t="shared" si="11"/>
        <v>#NUM!</v>
      </c>
    </row>
    <row r="173" spans="1:6" x14ac:dyDescent="0.35">
      <c r="A173" s="9">
        <v>167</v>
      </c>
      <c r="B173" s="23" t="e">
        <f t="shared" si="12"/>
        <v>#NUM!</v>
      </c>
      <c r="C173" s="23" t="e">
        <f t="shared" si="13"/>
        <v>#NUM!</v>
      </c>
      <c r="D173" s="23" t="e">
        <f t="shared" si="14"/>
        <v>#NUM!</v>
      </c>
      <c r="E173" s="28" t="e">
        <f t="shared" si="10"/>
        <v>#NUM!</v>
      </c>
      <c r="F173" s="23" t="e">
        <f t="shared" si="11"/>
        <v>#NUM!</v>
      </c>
    </row>
    <row r="174" spans="1:6" x14ac:dyDescent="0.35">
      <c r="A174" s="9">
        <v>168</v>
      </c>
      <c r="B174" s="23" t="e">
        <f t="shared" si="12"/>
        <v>#NUM!</v>
      </c>
      <c r="C174" s="23" t="e">
        <f t="shared" si="13"/>
        <v>#NUM!</v>
      </c>
      <c r="D174" s="23" t="e">
        <f t="shared" si="14"/>
        <v>#NUM!</v>
      </c>
      <c r="E174" s="28" t="e">
        <f t="shared" si="10"/>
        <v>#NUM!</v>
      </c>
      <c r="F174" s="23" t="e">
        <f t="shared" si="11"/>
        <v>#NUM!</v>
      </c>
    </row>
    <row r="175" spans="1:6" x14ac:dyDescent="0.35">
      <c r="A175" s="9">
        <v>169</v>
      </c>
      <c r="B175" s="23" t="e">
        <f t="shared" si="12"/>
        <v>#NUM!</v>
      </c>
      <c r="C175" s="23" t="e">
        <f t="shared" si="13"/>
        <v>#NUM!</v>
      </c>
      <c r="D175" s="23" t="e">
        <f t="shared" si="14"/>
        <v>#NUM!</v>
      </c>
      <c r="E175" s="28" t="e">
        <f t="shared" si="10"/>
        <v>#NUM!</v>
      </c>
      <c r="F175" s="23" t="e">
        <f t="shared" si="11"/>
        <v>#NUM!</v>
      </c>
    </row>
    <row r="176" spans="1:6" x14ac:dyDescent="0.35">
      <c r="A176" s="9">
        <v>170</v>
      </c>
      <c r="B176" s="23" t="e">
        <f t="shared" si="12"/>
        <v>#NUM!</v>
      </c>
      <c r="C176" s="23" t="e">
        <f t="shared" si="13"/>
        <v>#NUM!</v>
      </c>
      <c r="D176" s="23" t="e">
        <f t="shared" si="14"/>
        <v>#NUM!</v>
      </c>
      <c r="E176" s="28" t="e">
        <f t="shared" si="10"/>
        <v>#NUM!</v>
      </c>
      <c r="F176" s="23" t="e">
        <f t="shared" si="11"/>
        <v>#NUM!</v>
      </c>
    </row>
    <row r="177" spans="1:6" x14ac:dyDescent="0.35">
      <c r="A177" s="9">
        <v>171</v>
      </c>
      <c r="B177" s="23" t="e">
        <f t="shared" si="12"/>
        <v>#NUM!</v>
      </c>
      <c r="C177" s="23" t="e">
        <f t="shared" si="13"/>
        <v>#NUM!</v>
      </c>
      <c r="D177" s="23" t="e">
        <f t="shared" si="14"/>
        <v>#NUM!</v>
      </c>
      <c r="E177" s="28" t="e">
        <f t="shared" si="10"/>
        <v>#NUM!</v>
      </c>
      <c r="F177" s="23" t="e">
        <f t="shared" si="11"/>
        <v>#NUM!</v>
      </c>
    </row>
    <row r="178" spans="1:6" x14ac:dyDescent="0.35">
      <c r="A178" s="9">
        <v>172</v>
      </c>
      <c r="B178" s="23" t="e">
        <f t="shared" si="12"/>
        <v>#NUM!</v>
      </c>
      <c r="C178" s="23" t="e">
        <f t="shared" si="13"/>
        <v>#NUM!</v>
      </c>
      <c r="D178" s="23" t="e">
        <f t="shared" si="14"/>
        <v>#NUM!</v>
      </c>
      <c r="E178" s="28" t="e">
        <f t="shared" si="10"/>
        <v>#NUM!</v>
      </c>
      <c r="F178" s="23" t="e">
        <f t="shared" si="11"/>
        <v>#NUM!</v>
      </c>
    </row>
    <row r="179" spans="1:6" x14ac:dyDescent="0.35">
      <c r="A179" s="9">
        <v>173</v>
      </c>
      <c r="B179" s="23" t="e">
        <f t="shared" si="12"/>
        <v>#NUM!</v>
      </c>
      <c r="C179" s="23" t="e">
        <f t="shared" si="13"/>
        <v>#NUM!</v>
      </c>
      <c r="D179" s="23" t="e">
        <f t="shared" si="14"/>
        <v>#NUM!</v>
      </c>
      <c r="E179" s="28" t="e">
        <f t="shared" si="10"/>
        <v>#NUM!</v>
      </c>
      <c r="F179" s="23" t="e">
        <f t="shared" si="11"/>
        <v>#NUM!</v>
      </c>
    </row>
    <row r="180" spans="1:6" x14ac:dyDescent="0.35">
      <c r="A180" s="9">
        <v>174</v>
      </c>
      <c r="B180" s="23" t="e">
        <f t="shared" si="12"/>
        <v>#NUM!</v>
      </c>
      <c r="C180" s="23" t="e">
        <f t="shared" si="13"/>
        <v>#NUM!</v>
      </c>
      <c r="D180" s="23" t="e">
        <f t="shared" si="14"/>
        <v>#NUM!</v>
      </c>
      <c r="E180" s="28" t="e">
        <f t="shared" si="10"/>
        <v>#NUM!</v>
      </c>
      <c r="F180" s="23" t="e">
        <f t="shared" si="11"/>
        <v>#NUM!</v>
      </c>
    </row>
    <row r="181" spans="1:6" x14ac:dyDescent="0.35">
      <c r="A181" s="9">
        <v>175</v>
      </c>
      <c r="B181" s="23" t="e">
        <f t="shared" si="12"/>
        <v>#NUM!</v>
      </c>
      <c r="C181" s="23" t="e">
        <f t="shared" si="13"/>
        <v>#NUM!</v>
      </c>
      <c r="D181" s="23" t="e">
        <f t="shared" si="14"/>
        <v>#NUM!</v>
      </c>
      <c r="E181" s="28" t="e">
        <f t="shared" si="10"/>
        <v>#NUM!</v>
      </c>
      <c r="F181" s="23" t="e">
        <f t="shared" si="11"/>
        <v>#NUM!</v>
      </c>
    </row>
    <row r="182" spans="1:6" x14ac:dyDescent="0.35">
      <c r="A182" s="9">
        <v>176</v>
      </c>
      <c r="B182" s="23" t="e">
        <f t="shared" si="12"/>
        <v>#NUM!</v>
      </c>
      <c r="C182" s="23" t="e">
        <f t="shared" si="13"/>
        <v>#NUM!</v>
      </c>
      <c r="D182" s="23" t="e">
        <f t="shared" si="14"/>
        <v>#NUM!</v>
      </c>
      <c r="E182" s="28" t="e">
        <f t="shared" si="10"/>
        <v>#NUM!</v>
      </c>
      <c r="F182" s="23" t="e">
        <f t="shared" si="11"/>
        <v>#NUM!</v>
      </c>
    </row>
    <row r="183" spans="1:6" x14ac:dyDescent="0.35">
      <c r="A183" s="9">
        <v>177</v>
      </c>
      <c r="B183" s="23" t="e">
        <f t="shared" si="12"/>
        <v>#NUM!</v>
      </c>
      <c r="C183" s="23" t="e">
        <f t="shared" si="13"/>
        <v>#NUM!</v>
      </c>
      <c r="D183" s="23" t="e">
        <f t="shared" si="14"/>
        <v>#NUM!</v>
      </c>
      <c r="E183" s="28" t="e">
        <f t="shared" si="10"/>
        <v>#NUM!</v>
      </c>
      <c r="F183" s="23" t="e">
        <f t="shared" si="11"/>
        <v>#NUM!</v>
      </c>
    </row>
    <row r="184" spans="1:6" x14ac:dyDescent="0.35">
      <c r="A184" s="9">
        <v>178</v>
      </c>
      <c r="B184" s="23" t="e">
        <f t="shared" si="12"/>
        <v>#NUM!</v>
      </c>
      <c r="C184" s="23" t="e">
        <f t="shared" si="13"/>
        <v>#NUM!</v>
      </c>
      <c r="D184" s="23" t="e">
        <f t="shared" si="14"/>
        <v>#NUM!</v>
      </c>
      <c r="E184" s="28" t="e">
        <f t="shared" si="10"/>
        <v>#NUM!</v>
      </c>
      <c r="F184" s="23" t="e">
        <f t="shared" si="11"/>
        <v>#NUM!</v>
      </c>
    </row>
    <row r="185" spans="1:6" x14ac:dyDescent="0.35">
      <c r="A185" s="9">
        <v>179</v>
      </c>
      <c r="B185" s="23" t="e">
        <f t="shared" si="12"/>
        <v>#NUM!</v>
      </c>
      <c r="C185" s="23" t="e">
        <f t="shared" si="13"/>
        <v>#NUM!</v>
      </c>
      <c r="D185" s="23" t="e">
        <f t="shared" si="14"/>
        <v>#NUM!</v>
      </c>
      <c r="E185" s="28" t="e">
        <f t="shared" si="10"/>
        <v>#NUM!</v>
      </c>
      <c r="F185" s="23" t="e">
        <f t="shared" si="11"/>
        <v>#NUM!</v>
      </c>
    </row>
    <row r="186" spans="1:6" x14ac:dyDescent="0.35">
      <c r="A186" s="9">
        <v>180</v>
      </c>
      <c r="B186" s="23" t="e">
        <f t="shared" si="12"/>
        <v>#NUM!</v>
      </c>
      <c r="C186" s="23" t="e">
        <f t="shared" si="13"/>
        <v>#NUM!</v>
      </c>
      <c r="D186" s="23" t="e">
        <f t="shared" si="14"/>
        <v>#NUM!</v>
      </c>
      <c r="E186" s="28" t="e">
        <f t="shared" si="10"/>
        <v>#NUM!</v>
      </c>
      <c r="F186" s="23" t="e">
        <f t="shared" si="11"/>
        <v>#NUM!</v>
      </c>
    </row>
    <row r="187" spans="1:6" x14ac:dyDescent="0.35">
      <c r="A187" s="9">
        <v>181</v>
      </c>
      <c r="B187" s="23" t="e">
        <f t="shared" si="12"/>
        <v>#NUM!</v>
      </c>
      <c r="C187" s="23" t="e">
        <f t="shared" si="13"/>
        <v>#NUM!</v>
      </c>
      <c r="D187" s="23" t="e">
        <f t="shared" si="14"/>
        <v>#NUM!</v>
      </c>
      <c r="E187" s="28" t="e">
        <f t="shared" si="10"/>
        <v>#NUM!</v>
      </c>
      <c r="F187" s="23" t="e">
        <f t="shared" si="11"/>
        <v>#NUM!</v>
      </c>
    </row>
    <row r="188" spans="1:6" x14ac:dyDescent="0.35">
      <c r="A188" s="9">
        <v>182</v>
      </c>
      <c r="B188" s="23" t="e">
        <f t="shared" si="12"/>
        <v>#NUM!</v>
      </c>
      <c r="C188" s="23" t="e">
        <f t="shared" si="13"/>
        <v>#NUM!</v>
      </c>
      <c r="D188" s="23" t="e">
        <f t="shared" si="14"/>
        <v>#NUM!</v>
      </c>
      <c r="E188" s="28" t="e">
        <f t="shared" si="10"/>
        <v>#NUM!</v>
      </c>
      <c r="F188" s="23" t="e">
        <f t="shared" si="11"/>
        <v>#NUM!</v>
      </c>
    </row>
    <row r="189" spans="1:6" x14ac:dyDescent="0.35">
      <c r="A189" s="9">
        <v>183</v>
      </c>
      <c r="B189" s="23" t="e">
        <f t="shared" si="12"/>
        <v>#NUM!</v>
      </c>
      <c r="C189" s="23" t="e">
        <f t="shared" si="13"/>
        <v>#NUM!</v>
      </c>
      <c r="D189" s="23" t="e">
        <f t="shared" si="14"/>
        <v>#NUM!</v>
      </c>
      <c r="E189" s="28" t="e">
        <f t="shared" si="10"/>
        <v>#NUM!</v>
      </c>
      <c r="F189" s="23" t="e">
        <f t="shared" si="11"/>
        <v>#NUM!</v>
      </c>
    </row>
    <row r="190" spans="1:6" x14ac:dyDescent="0.35">
      <c r="A190" s="9">
        <v>184</v>
      </c>
      <c r="B190" s="23" t="e">
        <f t="shared" si="12"/>
        <v>#NUM!</v>
      </c>
      <c r="C190" s="23" t="e">
        <f t="shared" si="13"/>
        <v>#NUM!</v>
      </c>
      <c r="D190" s="23" t="e">
        <f t="shared" si="14"/>
        <v>#NUM!</v>
      </c>
      <c r="E190" s="28" t="e">
        <f t="shared" si="10"/>
        <v>#NUM!</v>
      </c>
      <c r="F190" s="23" t="e">
        <f t="shared" si="11"/>
        <v>#NUM!</v>
      </c>
    </row>
    <row r="191" spans="1:6" x14ac:dyDescent="0.35">
      <c r="A191" s="9">
        <v>185</v>
      </c>
      <c r="B191" s="23" t="e">
        <f t="shared" si="12"/>
        <v>#NUM!</v>
      </c>
      <c r="C191" s="23" t="e">
        <f t="shared" si="13"/>
        <v>#NUM!</v>
      </c>
      <c r="D191" s="23" t="e">
        <f t="shared" si="14"/>
        <v>#NUM!</v>
      </c>
      <c r="E191" s="28" t="e">
        <f t="shared" si="10"/>
        <v>#NUM!</v>
      </c>
      <c r="F191" s="23" t="e">
        <f t="shared" si="11"/>
        <v>#NUM!</v>
      </c>
    </row>
    <row r="192" spans="1:6" x14ac:dyDescent="0.35">
      <c r="A192" s="9">
        <v>186</v>
      </c>
      <c r="B192" s="23" t="e">
        <f t="shared" si="12"/>
        <v>#NUM!</v>
      </c>
      <c r="C192" s="23" t="e">
        <f t="shared" si="13"/>
        <v>#NUM!</v>
      </c>
      <c r="D192" s="23" t="e">
        <f t="shared" si="14"/>
        <v>#NUM!</v>
      </c>
      <c r="E192" s="28" t="e">
        <f t="shared" si="10"/>
        <v>#NUM!</v>
      </c>
      <c r="F192" s="23" t="e">
        <f t="shared" si="11"/>
        <v>#NUM!</v>
      </c>
    </row>
    <row r="193" spans="1:6" x14ac:dyDescent="0.35">
      <c r="A193" s="9">
        <v>187</v>
      </c>
      <c r="B193" s="23" t="e">
        <f t="shared" si="12"/>
        <v>#NUM!</v>
      </c>
      <c r="C193" s="23" t="e">
        <f t="shared" si="13"/>
        <v>#NUM!</v>
      </c>
      <c r="D193" s="23" t="e">
        <f t="shared" si="14"/>
        <v>#NUM!</v>
      </c>
      <c r="E193" s="28" t="e">
        <f t="shared" si="10"/>
        <v>#NUM!</v>
      </c>
      <c r="F193" s="23" t="e">
        <f t="shared" si="11"/>
        <v>#NUM!</v>
      </c>
    </row>
    <row r="194" spans="1:6" x14ac:dyDescent="0.35">
      <c r="A194" s="9">
        <v>188</v>
      </c>
      <c r="B194" s="23" t="e">
        <f t="shared" si="12"/>
        <v>#NUM!</v>
      </c>
      <c r="C194" s="23" t="e">
        <f t="shared" si="13"/>
        <v>#NUM!</v>
      </c>
      <c r="D194" s="23" t="e">
        <f t="shared" si="14"/>
        <v>#NUM!</v>
      </c>
      <c r="E194" s="28" t="e">
        <f t="shared" si="10"/>
        <v>#NUM!</v>
      </c>
      <c r="F194" s="23" t="e">
        <f t="shared" si="11"/>
        <v>#NUM!</v>
      </c>
    </row>
    <row r="195" spans="1:6" x14ac:dyDescent="0.35">
      <c r="A195" s="9">
        <v>189</v>
      </c>
      <c r="B195" s="23" t="e">
        <f t="shared" si="12"/>
        <v>#NUM!</v>
      </c>
      <c r="C195" s="23" t="e">
        <f t="shared" si="13"/>
        <v>#NUM!</v>
      </c>
      <c r="D195" s="23" t="e">
        <f t="shared" si="14"/>
        <v>#NUM!</v>
      </c>
      <c r="E195" s="28" t="e">
        <f t="shared" si="10"/>
        <v>#NUM!</v>
      </c>
      <c r="F195" s="23" t="e">
        <f t="shared" si="11"/>
        <v>#NUM!</v>
      </c>
    </row>
    <row r="196" spans="1:6" x14ac:dyDescent="0.35">
      <c r="A196" s="9">
        <v>190</v>
      </c>
      <c r="B196" s="23" t="e">
        <f t="shared" si="12"/>
        <v>#NUM!</v>
      </c>
      <c r="C196" s="23" t="e">
        <f t="shared" si="13"/>
        <v>#NUM!</v>
      </c>
      <c r="D196" s="23" t="e">
        <f t="shared" si="14"/>
        <v>#NUM!</v>
      </c>
      <c r="E196" s="28" t="e">
        <f t="shared" si="10"/>
        <v>#NUM!</v>
      </c>
      <c r="F196" s="23" t="e">
        <f t="shared" si="11"/>
        <v>#NUM!</v>
      </c>
    </row>
    <row r="197" spans="1:6" x14ac:dyDescent="0.35">
      <c r="A197" s="9">
        <v>191</v>
      </c>
      <c r="B197" s="23" t="e">
        <f t="shared" si="12"/>
        <v>#NUM!</v>
      </c>
      <c r="C197" s="23" t="e">
        <f t="shared" si="13"/>
        <v>#NUM!</v>
      </c>
      <c r="D197" s="23" t="e">
        <f t="shared" si="14"/>
        <v>#NUM!</v>
      </c>
      <c r="E197" s="28" t="e">
        <f t="shared" si="10"/>
        <v>#NUM!</v>
      </c>
      <c r="F197" s="23" t="e">
        <f t="shared" si="11"/>
        <v>#NUM!</v>
      </c>
    </row>
    <row r="198" spans="1:6" x14ac:dyDescent="0.35">
      <c r="A198" s="9">
        <v>192</v>
      </c>
      <c r="B198" s="23" t="e">
        <f t="shared" si="12"/>
        <v>#NUM!</v>
      </c>
      <c r="C198" s="23" t="e">
        <f t="shared" si="13"/>
        <v>#NUM!</v>
      </c>
      <c r="D198" s="23" t="e">
        <f t="shared" si="14"/>
        <v>#NUM!</v>
      </c>
      <c r="E198" s="28" t="e">
        <f t="shared" si="10"/>
        <v>#NUM!</v>
      </c>
      <c r="F198" s="23" t="e">
        <f t="shared" si="11"/>
        <v>#NUM!</v>
      </c>
    </row>
    <row r="199" spans="1:6" x14ac:dyDescent="0.35">
      <c r="A199" s="9">
        <v>193</v>
      </c>
      <c r="B199" s="23" t="e">
        <f t="shared" si="12"/>
        <v>#NUM!</v>
      </c>
      <c r="C199" s="23" t="e">
        <f t="shared" si="13"/>
        <v>#NUM!</v>
      </c>
      <c r="D199" s="23" t="e">
        <f t="shared" si="14"/>
        <v>#NUM!</v>
      </c>
      <c r="E199" s="28" t="e">
        <f t="shared" si="10"/>
        <v>#NUM!</v>
      </c>
      <c r="F199" s="23" t="e">
        <f t="shared" si="11"/>
        <v>#NUM!</v>
      </c>
    </row>
    <row r="200" spans="1:6" x14ac:dyDescent="0.35">
      <c r="A200" s="9">
        <v>194</v>
      </c>
      <c r="B200" s="23" t="e">
        <f t="shared" si="12"/>
        <v>#NUM!</v>
      </c>
      <c r="C200" s="23" t="e">
        <f t="shared" si="13"/>
        <v>#NUM!</v>
      </c>
      <c r="D200" s="23" t="e">
        <f t="shared" si="14"/>
        <v>#NUM!</v>
      </c>
      <c r="E200" s="28" t="e">
        <f t="shared" ref="E200:E263" si="15">PMT($D$2/12,$D$4,-$D$1,,)</f>
        <v>#NUM!</v>
      </c>
      <c r="F200" s="23" t="e">
        <f t="shared" ref="F200:F263" si="16">B200-D200</f>
        <v>#NUM!</v>
      </c>
    </row>
    <row r="201" spans="1:6" x14ac:dyDescent="0.35">
      <c r="A201" s="9">
        <v>195</v>
      </c>
      <c r="B201" s="23" t="e">
        <f t="shared" ref="B201:B264" si="17">F200</f>
        <v>#NUM!</v>
      </c>
      <c r="C201" s="23" t="e">
        <f t="shared" ref="C201:C264" si="18">($D$2/12)*B201</f>
        <v>#NUM!</v>
      </c>
      <c r="D201" s="23" t="e">
        <f t="shared" ref="D201:D264" si="19">E201-C201</f>
        <v>#NUM!</v>
      </c>
      <c r="E201" s="28" t="e">
        <f t="shared" si="15"/>
        <v>#NUM!</v>
      </c>
      <c r="F201" s="23" t="e">
        <f t="shared" si="16"/>
        <v>#NUM!</v>
      </c>
    </row>
    <row r="202" spans="1:6" x14ac:dyDescent="0.35">
      <c r="A202" s="9">
        <v>196</v>
      </c>
      <c r="B202" s="23" t="e">
        <f t="shared" si="17"/>
        <v>#NUM!</v>
      </c>
      <c r="C202" s="23" t="e">
        <f t="shared" si="18"/>
        <v>#NUM!</v>
      </c>
      <c r="D202" s="23" t="e">
        <f t="shared" si="19"/>
        <v>#NUM!</v>
      </c>
      <c r="E202" s="28" t="e">
        <f t="shared" si="15"/>
        <v>#NUM!</v>
      </c>
      <c r="F202" s="23" t="e">
        <f t="shared" si="16"/>
        <v>#NUM!</v>
      </c>
    </row>
    <row r="203" spans="1:6" x14ac:dyDescent="0.35">
      <c r="A203" s="9">
        <v>197</v>
      </c>
      <c r="B203" s="23" t="e">
        <f t="shared" si="17"/>
        <v>#NUM!</v>
      </c>
      <c r="C203" s="23" t="e">
        <f t="shared" si="18"/>
        <v>#NUM!</v>
      </c>
      <c r="D203" s="23" t="e">
        <f t="shared" si="19"/>
        <v>#NUM!</v>
      </c>
      <c r="E203" s="28" t="e">
        <f t="shared" si="15"/>
        <v>#NUM!</v>
      </c>
      <c r="F203" s="23" t="e">
        <f t="shared" si="16"/>
        <v>#NUM!</v>
      </c>
    </row>
    <row r="204" spans="1:6" x14ac:dyDescent="0.35">
      <c r="A204" s="9">
        <v>198</v>
      </c>
      <c r="B204" s="23" t="e">
        <f t="shared" si="17"/>
        <v>#NUM!</v>
      </c>
      <c r="C204" s="23" t="e">
        <f t="shared" si="18"/>
        <v>#NUM!</v>
      </c>
      <c r="D204" s="23" t="e">
        <f t="shared" si="19"/>
        <v>#NUM!</v>
      </c>
      <c r="E204" s="28" t="e">
        <f t="shared" si="15"/>
        <v>#NUM!</v>
      </c>
      <c r="F204" s="23" t="e">
        <f t="shared" si="16"/>
        <v>#NUM!</v>
      </c>
    </row>
    <row r="205" spans="1:6" x14ac:dyDescent="0.35">
      <c r="A205" s="9">
        <v>199</v>
      </c>
      <c r="B205" s="23" t="e">
        <f t="shared" si="17"/>
        <v>#NUM!</v>
      </c>
      <c r="C205" s="23" t="e">
        <f t="shared" si="18"/>
        <v>#NUM!</v>
      </c>
      <c r="D205" s="23" t="e">
        <f t="shared" si="19"/>
        <v>#NUM!</v>
      </c>
      <c r="E205" s="28" t="e">
        <f t="shared" si="15"/>
        <v>#NUM!</v>
      </c>
      <c r="F205" s="23" t="e">
        <f t="shared" si="16"/>
        <v>#NUM!</v>
      </c>
    </row>
    <row r="206" spans="1:6" x14ac:dyDescent="0.35">
      <c r="A206" s="9">
        <v>200</v>
      </c>
      <c r="B206" s="23" t="e">
        <f t="shared" si="17"/>
        <v>#NUM!</v>
      </c>
      <c r="C206" s="23" t="e">
        <f t="shared" si="18"/>
        <v>#NUM!</v>
      </c>
      <c r="D206" s="23" t="e">
        <f t="shared" si="19"/>
        <v>#NUM!</v>
      </c>
      <c r="E206" s="28" t="e">
        <f t="shared" si="15"/>
        <v>#NUM!</v>
      </c>
      <c r="F206" s="23" t="e">
        <f t="shared" si="16"/>
        <v>#NUM!</v>
      </c>
    </row>
    <row r="207" spans="1:6" x14ac:dyDescent="0.35">
      <c r="A207" s="9">
        <v>201</v>
      </c>
      <c r="B207" s="23" t="e">
        <f t="shared" si="17"/>
        <v>#NUM!</v>
      </c>
      <c r="C207" s="23" t="e">
        <f t="shared" si="18"/>
        <v>#NUM!</v>
      </c>
      <c r="D207" s="23" t="e">
        <f t="shared" si="19"/>
        <v>#NUM!</v>
      </c>
      <c r="E207" s="28" t="e">
        <f t="shared" si="15"/>
        <v>#NUM!</v>
      </c>
      <c r="F207" s="23" t="e">
        <f t="shared" si="16"/>
        <v>#NUM!</v>
      </c>
    </row>
    <row r="208" spans="1:6" x14ac:dyDescent="0.35">
      <c r="A208" s="9">
        <v>202</v>
      </c>
      <c r="B208" s="23" t="e">
        <f t="shared" si="17"/>
        <v>#NUM!</v>
      </c>
      <c r="C208" s="23" t="e">
        <f t="shared" si="18"/>
        <v>#NUM!</v>
      </c>
      <c r="D208" s="23" t="e">
        <f t="shared" si="19"/>
        <v>#NUM!</v>
      </c>
      <c r="E208" s="28" t="e">
        <f t="shared" si="15"/>
        <v>#NUM!</v>
      </c>
      <c r="F208" s="23" t="e">
        <f t="shared" si="16"/>
        <v>#NUM!</v>
      </c>
    </row>
    <row r="209" spans="1:6" x14ac:dyDescent="0.35">
      <c r="A209" s="9">
        <v>203</v>
      </c>
      <c r="B209" s="23" t="e">
        <f t="shared" si="17"/>
        <v>#NUM!</v>
      </c>
      <c r="C209" s="23" t="e">
        <f t="shared" si="18"/>
        <v>#NUM!</v>
      </c>
      <c r="D209" s="23" t="e">
        <f t="shared" si="19"/>
        <v>#NUM!</v>
      </c>
      <c r="E209" s="28" t="e">
        <f t="shared" si="15"/>
        <v>#NUM!</v>
      </c>
      <c r="F209" s="23" t="e">
        <f t="shared" si="16"/>
        <v>#NUM!</v>
      </c>
    </row>
    <row r="210" spans="1:6" x14ac:dyDescent="0.35">
      <c r="A210" s="9">
        <v>204</v>
      </c>
      <c r="B210" s="23" t="e">
        <f t="shared" si="17"/>
        <v>#NUM!</v>
      </c>
      <c r="C210" s="23" t="e">
        <f t="shared" si="18"/>
        <v>#NUM!</v>
      </c>
      <c r="D210" s="23" t="e">
        <f t="shared" si="19"/>
        <v>#NUM!</v>
      </c>
      <c r="E210" s="28" t="e">
        <f t="shared" si="15"/>
        <v>#NUM!</v>
      </c>
      <c r="F210" s="23" t="e">
        <f t="shared" si="16"/>
        <v>#NUM!</v>
      </c>
    </row>
    <row r="211" spans="1:6" x14ac:dyDescent="0.35">
      <c r="A211" s="9">
        <v>205</v>
      </c>
      <c r="B211" s="23" t="e">
        <f t="shared" si="17"/>
        <v>#NUM!</v>
      </c>
      <c r="C211" s="23" t="e">
        <f t="shared" si="18"/>
        <v>#NUM!</v>
      </c>
      <c r="D211" s="23" t="e">
        <f t="shared" si="19"/>
        <v>#NUM!</v>
      </c>
      <c r="E211" s="28" t="e">
        <f t="shared" si="15"/>
        <v>#NUM!</v>
      </c>
      <c r="F211" s="23" t="e">
        <f t="shared" si="16"/>
        <v>#NUM!</v>
      </c>
    </row>
    <row r="212" spans="1:6" x14ac:dyDescent="0.35">
      <c r="A212" s="9">
        <v>206</v>
      </c>
      <c r="B212" s="23" t="e">
        <f t="shared" si="17"/>
        <v>#NUM!</v>
      </c>
      <c r="C212" s="23" t="e">
        <f t="shared" si="18"/>
        <v>#NUM!</v>
      </c>
      <c r="D212" s="23" t="e">
        <f t="shared" si="19"/>
        <v>#NUM!</v>
      </c>
      <c r="E212" s="28" t="e">
        <f t="shared" si="15"/>
        <v>#NUM!</v>
      </c>
      <c r="F212" s="23" t="e">
        <f t="shared" si="16"/>
        <v>#NUM!</v>
      </c>
    </row>
    <row r="213" spans="1:6" x14ac:dyDescent="0.35">
      <c r="A213" s="9">
        <v>207</v>
      </c>
      <c r="B213" s="23" t="e">
        <f t="shared" si="17"/>
        <v>#NUM!</v>
      </c>
      <c r="C213" s="23" t="e">
        <f t="shared" si="18"/>
        <v>#NUM!</v>
      </c>
      <c r="D213" s="23" t="e">
        <f t="shared" si="19"/>
        <v>#NUM!</v>
      </c>
      <c r="E213" s="28" t="e">
        <f t="shared" si="15"/>
        <v>#NUM!</v>
      </c>
      <c r="F213" s="23" t="e">
        <f t="shared" si="16"/>
        <v>#NUM!</v>
      </c>
    </row>
    <row r="214" spans="1:6" x14ac:dyDescent="0.35">
      <c r="A214" s="9">
        <v>208</v>
      </c>
      <c r="B214" s="23" t="e">
        <f t="shared" si="17"/>
        <v>#NUM!</v>
      </c>
      <c r="C214" s="23" t="e">
        <f t="shared" si="18"/>
        <v>#NUM!</v>
      </c>
      <c r="D214" s="23" t="e">
        <f t="shared" si="19"/>
        <v>#NUM!</v>
      </c>
      <c r="E214" s="28" t="e">
        <f t="shared" si="15"/>
        <v>#NUM!</v>
      </c>
      <c r="F214" s="23" t="e">
        <f t="shared" si="16"/>
        <v>#NUM!</v>
      </c>
    </row>
    <row r="215" spans="1:6" x14ac:dyDescent="0.35">
      <c r="A215" s="9">
        <v>209</v>
      </c>
      <c r="B215" s="23" t="e">
        <f t="shared" si="17"/>
        <v>#NUM!</v>
      </c>
      <c r="C215" s="23" t="e">
        <f t="shared" si="18"/>
        <v>#NUM!</v>
      </c>
      <c r="D215" s="23" t="e">
        <f t="shared" si="19"/>
        <v>#NUM!</v>
      </c>
      <c r="E215" s="28" t="e">
        <f t="shared" si="15"/>
        <v>#NUM!</v>
      </c>
      <c r="F215" s="23" t="e">
        <f t="shared" si="16"/>
        <v>#NUM!</v>
      </c>
    </row>
    <row r="216" spans="1:6" x14ac:dyDescent="0.35">
      <c r="A216" s="9">
        <v>210</v>
      </c>
      <c r="B216" s="23" t="e">
        <f t="shared" si="17"/>
        <v>#NUM!</v>
      </c>
      <c r="C216" s="23" t="e">
        <f t="shared" si="18"/>
        <v>#NUM!</v>
      </c>
      <c r="D216" s="23" t="e">
        <f t="shared" si="19"/>
        <v>#NUM!</v>
      </c>
      <c r="E216" s="28" t="e">
        <f t="shared" si="15"/>
        <v>#NUM!</v>
      </c>
      <c r="F216" s="23" t="e">
        <f t="shared" si="16"/>
        <v>#NUM!</v>
      </c>
    </row>
    <row r="217" spans="1:6" x14ac:dyDescent="0.35">
      <c r="A217" s="9">
        <v>211</v>
      </c>
      <c r="B217" s="23" t="e">
        <f t="shared" si="17"/>
        <v>#NUM!</v>
      </c>
      <c r="C217" s="23" t="e">
        <f t="shared" si="18"/>
        <v>#NUM!</v>
      </c>
      <c r="D217" s="23" t="e">
        <f t="shared" si="19"/>
        <v>#NUM!</v>
      </c>
      <c r="E217" s="28" t="e">
        <f t="shared" si="15"/>
        <v>#NUM!</v>
      </c>
      <c r="F217" s="23" t="e">
        <f t="shared" si="16"/>
        <v>#NUM!</v>
      </c>
    </row>
    <row r="218" spans="1:6" x14ac:dyDescent="0.35">
      <c r="A218" s="9">
        <v>212</v>
      </c>
      <c r="B218" s="23" t="e">
        <f t="shared" si="17"/>
        <v>#NUM!</v>
      </c>
      <c r="C218" s="23" t="e">
        <f t="shared" si="18"/>
        <v>#NUM!</v>
      </c>
      <c r="D218" s="23" t="e">
        <f t="shared" si="19"/>
        <v>#NUM!</v>
      </c>
      <c r="E218" s="28" t="e">
        <f t="shared" si="15"/>
        <v>#NUM!</v>
      </c>
      <c r="F218" s="23" t="e">
        <f t="shared" si="16"/>
        <v>#NUM!</v>
      </c>
    </row>
    <row r="219" spans="1:6" x14ac:dyDescent="0.35">
      <c r="A219" s="9">
        <v>213</v>
      </c>
      <c r="B219" s="23" t="e">
        <f t="shared" si="17"/>
        <v>#NUM!</v>
      </c>
      <c r="C219" s="23" t="e">
        <f t="shared" si="18"/>
        <v>#NUM!</v>
      </c>
      <c r="D219" s="23" t="e">
        <f t="shared" si="19"/>
        <v>#NUM!</v>
      </c>
      <c r="E219" s="28" t="e">
        <f t="shared" si="15"/>
        <v>#NUM!</v>
      </c>
      <c r="F219" s="23" t="e">
        <f t="shared" si="16"/>
        <v>#NUM!</v>
      </c>
    </row>
    <row r="220" spans="1:6" x14ac:dyDescent="0.35">
      <c r="A220" s="9">
        <v>214</v>
      </c>
      <c r="B220" s="23" t="e">
        <f t="shared" si="17"/>
        <v>#NUM!</v>
      </c>
      <c r="C220" s="23" t="e">
        <f t="shared" si="18"/>
        <v>#NUM!</v>
      </c>
      <c r="D220" s="23" t="e">
        <f t="shared" si="19"/>
        <v>#NUM!</v>
      </c>
      <c r="E220" s="28" t="e">
        <f t="shared" si="15"/>
        <v>#NUM!</v>
      </c>
      <c r="F220" s="23" t="e">
        <f t="shared" si="16"/>
        <v>#NUM!</v>
      </c>
    </row>
    <row r="221" spans="1:6" x14ac:dyDescent="0.35">
      <c r="A221" s="9">
        <v>215</v>
      </c>
      <c r="B221" s="23" t="e">
        <f t="shared" si="17"/>
        <v>#NUM!</v>
      </c>
      <c r="C221" s="23" t="e">
        <f t="shared" si="18"/>
        <v>#NUM!</v>
      </c>
      <c r="D221" s="23" t="e">
        <f t="shared" si="19"/>
        <v>#NUM!</v>
      </c>
      <c r="E221" s="28" t="e">
        <f t="shared" si="15"/>
        <v>#NUM!</v>
      </c>
      <c r="F221" s="23" t="e">
        <f t="shared" si="16"/>
        <v>#NUM!</v>
      </c>
    </row>
    <row r="222" spans="1:6" x14ac:dyDescent="0.35">
      <c r="A222" s="9">
        <v>216</v>
      </c>
      <c r="B222" s="23" t="e">
        <f t="shared" si="17"/>
        <v>#NUM!</v>
      </c>
      <c r="C222" s="23" t="e">
        <f t="shared" si="18"/>
        <v>#NUM!</v>
      </c>
      <c r="D222" s="23" t="e">
        <f t="shared" si="19"/>
        <v>#NUM!</v>
      </c>
      <c r="E222" s="28" t="e">
        <f t="shared" si="15"/>
        <v>#NUM!</v>
      </c>
      <c r="F222" s="23" t="e">
        <f t="shared" si="16"/>
        <v>#NUM!</v>
      </c>
    </row>
    <row r="223" spans="1:6" x14ac:dyDescent="0.35">
      <c r="A223" s="9">
        <v>217</v>
      </c>
      <c r="B223" s="23" t="e">
        <f t="shared" si="17"/>
        <v>#NUM!</v>
      </c>
      <c r="C223" s="23" t="e">
        <f t="shared" si="18"/>
        <v>#NUM!</v>
      </c>
      <c r="D223" s="23" t="e">
        <f t="shared" si="19"/>
        <v>#NUM!</v>
      </c>
      <c r="E223" s="28" t="e">
        <f t="shared" si="15"/>
        <v>#NUM!</v>
      </c>
      <c r="F223" s="23" t="e">
        <f t="shared" si="16"/>
        <v>#NUM!</v>
      </c>
    </row>
    <row r="224" spans="1:6" x14ac:dyDescent="0.35">
      <c r="A224" s="9">
        <v>218</v>
      </c>
      <c r="B224" s="23" t="e">
        <f t="shared" si="17"/>
        <v>#NUM!</v>
      </c>
      <c r="C224" s="23" t="e">
        <f t="shared" si="18"/>
        <v>#NUM!</v>
      </c>
      <c r="D224" s="23" t="e">
        <f t="shared" si="19"/>
        <v>#NUM!</v>
      </c>
      <c r="E224" s="28" t="e">
        <f t="shared" si="15"/>
        <v>#NUM!</v>
      </c>
      <c r="F224" s="23" t="e">
        <f t="shared" si="16"/>
        <v>#NUM!</v>
      </c>
    </row>
    <row r="225" spans="1:6" x14ac:dyDescent="0.35">
      <c r="A225" s="9">
        <v>219</v>
      </c>
      <c r="B225" s="23" t="e">
        <f t="shared" si="17"/>
        <v>#NUM!</v>
      </c>
      <c r="C225" s="23" t="e">
        <f t="shared" si="18"/>
        <v>#NUM!</v>
      </c>
      <c r="D225" s="23" t="e">
        <f t="shared" si="19"/>
        <v>#NUM!</v>
      </c>
      <c r="E225" s="28" t="e">
        <f t="shared" si="15"/>
        <v>#NUM!</v>
      </c>
      <c r="F225" s="23" t="e">
        <f t="shared" si="16"/>
        <v>#NUM!</v>
      </c>
    </row>
    <row r="226" spans="1:6" x14ac:dyDescent="0.35">
      <c r="A226" s="9">
        <v>220</v>
      </c>
      <c r="B226" s="23" t="e">
        <f t="shared" si="17"/>
        <v>#NUM!</v>
      </c>
      <c r="C226" s="23" t="e">
        <f t="shared" si="18"/>
        <v>#NUM!</v>
      </c>
      <c r="D226" s="23" t="e">
        <f t="shared" si="19"/>
        <v>#NUM!</v>
      </c>
      <c r="E226" s="28" t="e">
        <f t="shared" si="15"/>
        <v>#NUM!</v>
      </c>
      <c r="F226" s="23" t="e">
        <f t="shared" si="16"/>
        <v>#NUM!</v>
      </c>
    </row>
    <row r="227" spans="1:6" x14ac:dyDescent="0.35">
      <c r="A227" s="9">
        <v>221</v>
      </c>
      <c r="B227" s="23" t="e">
        <f t="shared" si="17"/>
        <v>#NUM!</v>
      </c>
      <c r="C227" s="23" t="e">
        <f t="shared" si="18"/>
        <v>#NUM!</v>
      </c>
      <c r="D227" s="23" t="e">
        <f t="shared" si="19"/>
        <v>#NUM!</v>
      </c>
      <c r="E227" s="28" t="e">
        <f t="shared" si="15"/>
        <v>#NUM!</v>
      </c>
      <c r="F227" s="23" t="e">
        <f t="shared" si="16"/>
        <v>#NUM!</v>
      </c>
    </row>
    <row r="228" spans="1:6" x14ac:dyDescent="0.35">
      <c r="A228" s="9">
        <v>222</v>
      </c>
      <c r="B228" s="23" t="e">
        <f t="shared" si="17"/>
        <v>#NUM!</v>
      </c>
      <c r="C228" s="23" t="e">
        <f t="shared" si="18"/>
        <v>#NUM!</v>
      </c>
      <c r="D228" s="23" t="e">
        <f t="shared" si="19"/>
        <v>#NUM!</v>
      </c>
      <c r="E228" s="28" t="e">
        <f t="shared" si="15"/>
        <v>#NUM!</v>
      </c>
      <c r="F228" s="23" t="e">
        <f t="shared" si="16"/>
        <v>#NUM!</v>
      </c>
    </row>
    <row r="229" spans="1:6" x14ac:dyDescent="0.35">
      <c r="A229" s="9">
        <v>223</v>
      </c>
      <c r="B229" s="23" t="e">
        <f t="shared" si="17"/>
        <v>#NUM!</v>
      </c>
      <c r="C229" s="23" t="e">
        <f t="shared" si="18"/>
        <v>#NUM!</v>
      </c>
      <c r="D229" s="23" t="e">
        <f t="shared" si="19"/>
        <v>#NUM!</v>
      </c>
      <c r="E229" s="28" t="e">
        <f t="shared" si="15"/>
        <v>#NUM!</v>
      </c>
      <c r="F229" s="23" t="e">
        <f t="shared" si="16"/>
        <v>#NUM!</v>
      </c>
    </row>
    <row r="230" spans="1:6" x14ac:dyDescent="0.35">
      <c r="A230" s="9">
        <v>224</v>
      </c>
      <c r="B230" s="23" t="e">
        <f t="shared" si="17"/>
        <v>#NUM!</v>
      </c>
      <c r="C230" s="23" t="e">
        <f t="shared" si="18"/>
        <v>#NUM!</v>
      </c>
      <c r="D230" s="23" t="e">
        <f t="shared" si="19"/>
        <v>#NUM!</v>
      </c>
      <c r="E230" s="28" t="e">
        <f t="shared" si="15"/>
        <v>#NUM!</v>
      </c>
      <c r="F230" s="23" t="e">
        <f t="shared" si="16"/>
        <v>#NUM!</v>
      </c>
    </row>
    <row r="231" spans="1:6" x14ac:dyDescent="0.35">
      <c r="A231" s="9">
        <v>225</v>
      </c>
      <c r="B231" s="23" t="e">
        <f t="shared" si="17"/>
        <v>#NUM!</v>
      </c>
      <c r="C231" s="23" t="e">
        <f t="shared" si="18"/>
        <v>#NUM!</v>
      </c>
      <c r="D231" s="23" t="e">
        <f t="shared" si="19"/>
        <v>#NUM!</v>
      </c>
      <c r="E231" s="28" t="e">
        <f t="shared" si="15"/>
        <v>#NUM!</v>
      </c>
      <c r="F231" s="23" t="e">
        <f t="shared" si="16"/>
        <v>#NUM!</v>
      </c>
    </row>
    <row r="232" spans="1:6" x14ac:dyDescent="0.35">
      <c r="A232" s="9">
        <v>226</v>
      </c>
      <c r="B232" s="23" t="e">
        <f t="shared" si="17"/>
        <v>#NUM!</v>
      </c>
      <c r="C232" s="23" t="e">
        <f t="shared" si="18"/>
        <v>#NUM!</v>
      </c>
      <c r="D232" s="23" t="e">
        <f t="shared" si="19"/>
        <v>#NUM!</v>
      </c>
      <c r="E232" s="28" t="e">
        <f t="shared" si="15"/>
        <v>#NUM!</v>
      </c>
      <c r="F232" s="23" t="e">
        <f t="shared" si="16"/>
        <v>#NUM!</v>
      </c>
    </row>
    <row r="233" spans="1:6" x14ac:dyDescent="0.35">
      <c r="A233" s="9">
        <v>227</v>
      </c>
      <c r="B233" s="23" t="e">
        <f t="shared" si="17"/>
        <v>#NUM!</v>
      </c>
      <c r="C233" s="23" t="e">
        <f t="shared" si="18"/>
        <v>#NUM!</v>
      </c>
      <c r="D233" s="23" t="e">
        <f t="shared" si="19"/>
        <v>#NUM!</v>
      </c>
      <c r="E233" s="28" t="e">
        <f t="shared" si="15"/>
        <v>#NUM!</v>
      </c>
      <c r="F233" s="23" t="e">
        <f t="shared" si="16"/>
        <v>#NUM!</v>
      </c>
    </row>
    <row r="234" spans="1:6" x14ac:dyDescent="0.35">
      <c r="A234" s="9">
        <v>228</v>
      </c>
      <c r="B234" s="23" t="e">
        <f t="shared" si="17"/>
        <v>#NUM!</v>
      </c>
      <c r="C234" s="23" t="e">
        <f t="shared" si="18"/>
        <v>#NUM!</v>
      </c>
      <c r="D234" s="23" t="e">
        <f t="shared" si="19"/>
        <v>#NUM!</v>
      </c>
      <c r="E234" s="28" t="e">
        <f t="shared" si="15"/>
        <v>#NUM!</v>
      </c>
      <c r="F234" s="23" t="e">
        <f t="shared" si="16"/>
        <v>#NUM!</v>
      </c>
    </row>
    <row r="235" spans="1:6" x14ac:dyDescent="0.35">
      <c r="A235" s="9">
        <v>229</v>
      </c>
      <c r="B235" s="23" t="e">
        <f t="shared" si="17"/>
        <v>#NUM!</v>
      </c>
      <c r="C235" s="23" t="e">
        <f t="shared" si="18"/>
        <v>#NUM!</v>
      </c>
      <c r="D235" s="23" t="e">
        <f t="shared" si="19"/>
        <v>#NUM!</v>
      </c>
      <c r="E235" s="28" t="e">
        <f t="shared" si="15"/>
        <v>#NUM!</v>
      </c>
      <c r="F235" s="23" t="e">
        <f t="shared" si="16"/>
        <v>#NUM!</v>
      </c>
    </row>
    <row r="236" spans="1:6" x14ac:dyDescent="0.35">
      <c r="A236" s="9">
        <v>230</v>
      </c>
      <c r="B236" s="23" t="e">
        <f t="shared" si="17"/>
        <v>#NUM!</v>
      </c>
      <c r="C236" s="23" t="e">
        <f t="shared" si="18"/>
        <v>#NUM!</v>
      </c>
      <c r="D236" s="23" t="e">
        <f t="shared" si="19"/>
        <v>#NUM!</v>
      </c>
      <c r="E236" s="28" t="e">
        <f t="shared" si="15"/>
        <v>#NUM!</v>
      </c>
      <c r="F236" s="23" t="e">
        <f t="shared" si="16"/>
        <v>#NUM!</v>
      </c>
    </row>
    <row r="237" spans="1:6" x14ac:dyDescent="0.35">
      <c r="A237" s="9">
        <v>231</v>
      </c>
      <c r="B237" s="23" t="e">
        <f t="shared" si="17"/>
        <v>#NUM!</v>
      </c>
      <c r="C237" s="23" t="e">
        <f t="shared" si="18"/>
        <v>#NUM!</v>
      </c>
      <c r="D237" s="23" t="e">
        <f t="shared" si="19"/>
        <v>#NUM!</v>
      </c>
      <c r="E237" s="28" t="e">
        <f t="shared" si="15"/>
        <v>#NUM!</v>
      </c>
      <c r="F237" s="23" t="e">
        <f t="shared" si="16"/>
        <v>#NUM!</v>
      </c>
    </row>
    <row r="238" spans="1:6" x14ac:dyDescent="0.35">
      <c r="A238" s="9">
        <v>232</v>
      </c>
      <c r="B238" s="23" t="e">
        <f t="shared" si="17"/>
        <v>#NUM!</v>
      </c>
      <c r="C238" s="23" t="e">
        <f t="shared" si="18"/>
        <v>#NUM!</v>
      </c>
      <c r="D238" s="23" t="e">
        <f t="shared" si="19"/>
        <v>#NUM!</v>
      </c>
      <c r="E238" s="28" t="e">
        <f t="shared" si="15"/>
        <v>#NUM!</v>
      </c>
      <c r="F238" s="23" t="e">
        <f t="shared" si="16"/>
        <v>#NUM!</v>
      </c>
    </row>
    <row r="239" spans="1:6" x14ac:dyDescent="0.35">
      <c r="A239" s="9">
        <v>233</v>
      </c>
      <c r="B239" s="23" t="e">
        <f t="shared" si="17"/>
        <v>#NUM!</v>
      </c>
      <c r="C239" s="23" t="e">
        <f t="shared" si="18"/>
        <v>#NUM!</v>
      </c>
      <c r="D239" s="23" t="e">
        <f t="shared" si="19"/>
        <v>#NUM!</v>
      </c>
      <c r="E239" s="28" t="e">
        <f t="shared" si="15"/>
        <v>#NUM!</v>
      </c>
      <c r="F239" s="23" t="e">
        <f t="shared" si="16"/>
        <v>#NUM!</v>
      </c>
    </row>
    <row r="240" spans="1:6" x14ac:dyDescent="0.35">
      <c r="A240" s="9">
        <v>234</v>
      </c>
      <c r="B240" s="23" t="e">
        <f t="shared" si="17"/>
        <v>#NUM!</v>
      </c>
      <c r="C240" s="23" t="e">
        <f t="shared" si="18"/>
        <v>#NUM!</v>
      </c>
      <c r="D240" s="23" t="e">
        <f t="shared" si="19"/>
        <v>#NUM!</v>
      </c>
      <c r="E240" s="28" t="e">
        <f t="shared" si="15"/>
        <v>#NUM!</v>
      </c>
      <c r="F240" s="23" t="e">
        <f t="shared" si="16"/>
        <v>#NUM!</v>
      </c>
    </row>
    <row r="241" spans="1:6" x14ac:dyDescent="0.35">
      <c r="A241" s="9">
        <v>235</v>
      </c>
      <c r="B241" s="23" t="e">
        <f t="shared" si="17"/>
        <v>#NUM!</v>
      </c>
      <c r="C241" s="23" t="e">
        <f t="shared" si="18"/>
        <v>#NUM!</v>
      </c>
      <c r="D241" s="23" t="e">
        <f t="shared" si="19"/>
        <v>#NUM!</v>
      </c>
      <c r="E241" s="28" t="e">
        <f t="shared" si="15"/>
        <v>#NUM!</v>
      </c>
      <c r="F241" s="23" t="e">
        <f t="shared" si="16"/>
        <v>#NUM!</v>
      </c>
    </row>
    <row r="242" spans="1:6" x14ac:dyDescent="0.35">
      <c r="A242" s="9">
        <v>236</v>
      </c>
      <c r="B242" s="23" t="e">
        <f t="shared" si="17"/>
        <v>#NUM!</v>
      </c>
      <c r="C242" s="23" t="e">
        <f t="shared" si="18"/>
        <v>#NUM!</v>
      </c>
      <c r="D242" s="23" t="e">
        <f t="shared" si="19"/>
        <v>#NUM!</v>
      </c>
      <c r="E242" s="28" t="e">
        <f t="shared" si="15"/>
        <v>#NUM!</v>
      </c>
      <c r="F242" s="23" t="e">
        <f t="shared" si="16"/>
        <v>#NUM!</v>
      </c>
    </row>
    <row r="243" spans="1:6" x14ac:dyDescent="0.35">
      <c r="A243" s="9">
        <v>237</v>
      </c>
      <c r="B243" s="23" t="e">
        <f t="shared" si="17"/>
        <v>#NUM!</v>
      </c>
      <c r="C243" s="23" t="e">
        <f t="shared" si="18"/>
        <v>#NUM!</v>
      </c>
      <c r="D243" s="23" t="e">
        <f t="shared" si="19"/>
        <v>#NUM!</v>
      </c>
      <c r="E243" s="28" t="e">
        <f t="shared" si="15"/>
        <v>#NUM!</v>
      </c>
      <c r="F243" s="23" t="e">
        <f t="shared" si="16"/>
        <v>#NUM!</v>
      </c>
    </row>
    <row r="244" spans="1:6" x14ac:dyDescent="0.35">
      <c r="A244" s="9">
        <v>238</v>
      </c>
      <c r="B244" s="23" t="e">
        <f t="shared" si="17"/>
        <v>#NUM!</v>
      </c>
      <c r="C244" s="23" t="e">
        <f t="shared" si="18"/>
        <v>#NUM!</v>
      </c>
      <c r="D244" s="23" t="e">
        <f t="shared" si="19"/>
        <v>#NUM!</v>
      </c>
      <c r="E244" s="28" t="e">
        <f t="shared" si="15"/>
        <v>#NUM!</v>
      </c>
      <c r="F244" s="23" t="e">
        <f t="shared" si="16"/>
        <v>#NUM!</v>
      </c>
    </row>
    <row r="245" spans="1:6" x14ac:dyDescent="0.35">
      <c r="A245" s="9">
        <v>239</v>
      </c>
      <c r="B245" s="23" t="e">
        <f t="shared" si="17"/>
        <v>#NUM!</v>
      </c>
      <c r="C245" s="23" t="e">
        <f t="shared" si="18"/>
        <v>#NUM!</v>
      </c>
      <c r="D245" s="23" t="e">
        <f t="shared" si="19"/>
        <v>#NUM!</v>
      </c>
      <c r="E245" s="28" t="e">
        <f t="shared" si="15"/>
        <v>#NUM!</v>
      </c>
      <c r="F245" s="23" t="e">
        <f t="shared" si="16"/>
        <v>#NUM!</v>
      </c>
    </row>
    <row r="246" spans="1:6" x14ac:dyDescent="0.35">
      <c r="A246" s="9">
        <v>240</v>
      </c>
      <c r="B246" s="23" t="e">
        <f t="shared" si="17"/>
        <v>#NUM!</v>
      </c>
      <c r="C246" s="23" t="e">
        <f t="shared" si="18"/>
        <v>#NUM!</v>
      </c>
      <c r="D246" s="23" t="e">
        <f t="shared" si="19"/>
        <v>#NUM!</v>
      </c>
      <c r="E246" s="28" t="e">
        <f t="shared" si="15"/>
        <v>#NUM!</v>
      </c>
      <c r="F246" s="23" t="e">
        <f t="shared" si="16"/>
        <v>#NUM!</v>
      </c>
    </row>
    <row r="247" spans="1:6" x14ac:dyDescent="0.35">
      <c r="A247" s="9">
        <v>241</v>
      </c>
      <c r="B247" s="23" t="e">
        <f t="shared" si="17"/>
        <v>#NUM!</v>
      </c>
      <c r="C247" s="23" t="e">
        <f t="shared" si="18"/>
        <v>#NUM!</v>
      </c>
      <c r="D247" s="23" t="e">
        <f t="shared" si="19"/>
        <v>#NUM!</v>
      </c>
      <c r="E247" s="28" t="e">
        <f t="shared" si="15"/>
        <v>#NUM!</v>
      </c>
      <c r="F247" s="23" t="e">
        <f t="shared" si="16"/>
        <v>#NUM!</v>
      </c>
    </row>
    <row r="248" spans="1:6" x14ac:dyDescent="0.35">
      <c r="A248" s="9">
        <v>242</v>
      </c>
      <c r="B248" s="23" t="e">
        <f t="shared" si="17"/>
        <v>#NUM!</v>
      </c>
      <c r="C248" s="23" t="e">
        <f t="shared" si="18"/>
        <v>#NUM!</v>
      </c>
      <c r="D248" s="23" t="e">
        <f t="shared" si="19"/>
        <v>#NUM!</v>
      </c>
      <c r="E248" s="28" t="e">
        <f t="shared" si="15"/>
        <v>#NUM!</v>
      </c>
      <c r="F248" s="23" t="e">
        <f t="shared" si="16"/>
        <v>#NUM!</v>
      </c>
    </row>
    <row r="249" spans="1:6" x14ac:dyDescent="0.35">
      <c r="A249" s="9">
        <v>243</v>
      </c>
      <c r="B249" s="23" t="e">
        <f t="shared" si="17"/>
        <v>#NUM!</v>
      </c>
      <c r="C249" s="23" t="e">
        <f t="shared" si="18"/>
        <v>#NUM!</v>
      </c>
      <c r="D249" s="23" t="e">
        <f t="shared" si="19"/>
        <v>#NUM!</v>
      </c>
      <c r="E249" s="28" t="e">
        <f t="shared" si="15"/>
        <v>#NUM!</v>
      </c>
      <c r="F249" s="23" t="e">
        <f t="shared" si="16"/>
        <v>#NUM!</v>
      </c>
    </row>
    <row r="250" spans="1:6" x14ac:dyDescent="0.35">
      <c r="A250" s="9">
        <v>244</v>
      </c>
      <c r="B250" s="23" t="e">
        <f t="shared" si="17"/>
        <v>#NUM!</v>
      </c>
      <c r="C250" s="23" t="e">
        <f t="shared" si="18"/>
        <v>#NUM!</v>
      </c>
      <c r="D250" s="23" t="e">
        <f t="shared" si="19"/>
        <v>#NUM!</v>
      </c>
      <c r="E250" s="28" t="e">
        <f t="shared" si="15"/>
        <v>#NUM!</v>
      </c>
      <c r="F250" s="23" t="e">
        <f t="shared" si="16"/>
        <v>#NUM!</v>
      </c>
    </row>
    <row r="251" spans="1:6" x14ac:dyDescent="0.35">
      <c r="A251" s="9">
        <v>245</v>
      </c>
      <c r="B251" s="23" t="e">
        <f t="shared" si="17"/>
        <v>#NUM!</v>
      </c>
      <c r="C251" s="23" t="e">
        <f t="shared" si="18"/>
        <v>#NUM!</v>
      </c>
      <c r="D251" s="23" t="e">
        <f t="shared" si="19"/>
        <v>#NUM!</v>
      </c>
      <c r="E251" s="28" t="e">
        <f t="shared" si="15"/>
        <v>#NUM!</v>
      </c>
      <c r="F251" s="23" t="e">
        <f t="shared" si="16"/>
        <v>#NUM!</v>
      </c>
    </row>
    <row r="252" spans="1:6" x14ac:dyDescent="0.35">
      <c r="A252" s="9">
        <v>246</v>
      </c>
      <c r="B252" s="23" t="e">
        <f t="shared" si="17"/>
        <v>#NUM!</v>
      </c>
      <c r="C252" s="23" t="e">
        <f t="shared" si="18"/>
        <v>#NUM!</v>
      </c>
      <c r="D252" s="23" t="e">
        <f t="shared" si="19"/>
        <v>#NUM!</v>
      </c>
      <c r="E252" s="28" t="e">
        <f t="shared" si="15"/>
        <v>#NUM!</v>
      </c>
      <c r="F252" s="23" t="e">
        <f t="shared" si="16"/>
        <v>#NUM!</v>
      </c>
    </row>
    <row r="253" spans="1:6" x14ac:dyDescent="0.35">
      <c r="A253" s="9">
        <v>247</v>
      </c>
      <c r="B253" s="23" t="e">
        <f t="shared" si="17"/>
        <v>#NUM!</v>
      </c>
      <c r="C253" s="23" t="e">
        <f t="shared" si="18"/>
        <v>#NUM!</v>
      </c>
      <c r="D253" s="23" t="e">
        <f t="shared" si="19"/>
        <v>#NUM!</v>
      </c>
      <c r="E253" s="28" t="e">
        <f t="shared" si="15"/>
        <v>#NUM!</v>
      </c>
      <c r="F253" s="23" t="e">
        <f t="shared" si="16"/>
        <v>#NUM!</v>
      </c>
    </row>
    <row r="254" spans="1:6" x14ac:dyDescent="0.35">
      <c r="A254" s="9">
        <v>248</v>
      </c>
      <c r="B254" s="23" t="e">
        <f t="shared" si="17"/>
        <v>#NUM!</v>
      </c>
      <c r="C254" s="23" t="e">
        <f t="shared" si="18"/>
        <v>#NUM!</v>
      </c>
      <c r="D254" s="23" t="e">
        <f t="shared" si="19"/>
        <v>#NUM!</v>
      </c>
      <c r="E254" s="28" t="e">
        <f t="shared" si="15"/>
        <v>#NUM!</v>
      </c>
      <c r="F254" s="23" t="e">
        <f t="shared" si="16"/>
        <v>#NUM!</v>
      </c>
    </row>
    <row r="255" spans="1:6" x14ac:dyDescent="0.35">
      <c r="A255" s="9">
        <v>249</v>
      </c>
      <c r="B255" s="23" t="e">
        <f t="shared" si="17"/>
        <v>#NUM!</v>
      </c>
      <c r="C255" s="23" t="e">
        <f t="shared" si="18"/>
        <v>#NUM!</v>
      </c>
      <c r="D255" s="23" t="e">
        <f t="shared" si="19"/>
        <v>#NUM!</v>
      </c>
      <c r="E255" s="28" t="e">
        <f t="shared" si="15"/>
        <v>#NUM!</v>
      </c>
      <c r="F255" s="23" t="e">
        <f t="shared" si="16"/>
        <v>#NUM!</v>
      </c>
    </row>
    <row r="256" spans="1:6" x14ac:dyDescent="0.35">
      <c r="A256" s="9">
        <v>250</v>
      </c>
      <c r="B256" s="23" t="e">
        <f t="shared" si="17"/>
        <v>#NUM!</v>
      </c>
      <c r="C256" s="23" t="e">
        <f t="shared" si="18"/>
        <v>#NUM!</v>
      </c>
      <c r="D256" s="23" t="e">
        <f t="shared" si="19"/>
        <v>#NUM!</v>
      </c>
      <c r="E256" s="28" t="e">
        <f t="shared" si="15"/>
        <v>#NUM!</v>
      </c>
      <c r="F256" s="23" t="e">
        <f t="shared" si="16"/>
        <v>#NUM!</v>
      </c>
    </row>
    <row r="257" spans="1:6" x14ac:dyDescent="0.35">
      <c r="A257" s="9">
        <v>251</v>
      </c>
      <c r="B257" s="23" t="e">
        <f t="shared" si="17"/>
        <v>#NUM!</v>
      </c>
      <c r="C257" s="23" t="e">
        <f t="shared" si="18"/>
        <v>#NUM!</v>
      </c>
      <c r="D257" s="23" t="e">
        <f t="shared" si="19"/>
        <v>#NUM!</v>
      </c>
      <c r="E257" s="28" t="e">
        <f t="shared" si="15"/>
        <v>#NUM!</v>
      </c>
      <c r="F257" s="23" t="e">
        <f t="shared" si="16"/>
        <v>#NUM!</v>
      </c>
    </row>
    <row r="258" spans="1:6" x14ac:dyDescent="0.35">
      <c r="A258" s="9">
        <v>252</v>
      </c>
      <c r="B258" s="23" t="e">
        <f t="shared" si="17"/>
        <v>#NUM!</v>
      </c>
      <c r="C258" s="23" t="e">
        <f t="shared" si="18"/>
        <v>#NUM!</v>
      </c>
      <c r="D258" s="23" t="e">
        <f t="shared" si="19"/>
        <v>#NUM!</v>
      </c>
      <c r="E258" s="28" t="e">
        <f t="shared" si="15"/>
        <v>#NUM!</v>
      </c>
      <c r="F258" s="23" t="e">
        <f t="shared" si="16"/>
        <v>#NUM!</v>
      </c>
    </row>
    <row r="259" spans="1:6" x14ac:dyDescent="0.35">
      <c r="A259" s="9">
        <v>253</v>
      </c>
      <c r="B259" s="23" t="e">
        <f t="shared" si="17"/>
        <v>#NUM!</v>
      </c>
      <c r="C259" s="23" t="e">
        <f t="shared" si="18"/>
        <v>#NUM!</v>
      </c>
      <c r="D259" s="23" t="e">
        <f t="shared" si="19"/>
        <v>#NUM!</v>
      </c>
      <c r="E259" s="28" t="e">
        <f t="shared" si="15"/>
        <v>#NUM!</v>
      </c>
      <c r="F259" s="23" t="e">
        <f t="shared" si="16"/>
        <v>#NUM!</v>
      </c>
    </row>
    <row r="260" spans="1:6" x14ac:dyDescent="0.35">
      <c r="A260" s="9">
        <v>254</v>
      </c>
      <c r="B260" s="23" t="e">
        <f t="shared" si="17"/>
        <v>#NUM!</v>
      </c>
      <c r="C260" s="23" t="e">
        <f t="shared" si="18"/>
        <v>#NUM!</v>
      </c>
      <c r="D260" s="23" t="e">
        <f t="shared" si="19"/>
        <v>#NUM!</v>
      </c>
      <c r="E260" s="28" t="e">
        <f t="shared" si="15"/>
        <v>#NUM!</v>
      </c>
      <c r="F260" s="23" t="e">
        <f t="shared" si="16"/>
        <v>#NUM!</v>
      </c>
    </row>
    <row r="261" spans="1:6" x14ac:dyDescent="0.35">
      <c r="A261" s="9">
        <v>255</v>
      </c>
      <c r="B261" s="23" t="e">
        <f t="shared" si="17"/>
        <v>#NUM!</v>
      </c>
      <c r="C261" s="23" t="e">
        <f t="shared" si="18"/>
        <v>#NUM!</v>
      </c>
      <c r="D261" s="23" t="e">
        <f t="shared" si="19"/>
        <v>#NUM!</v>
      </c>
      <c r="E261" s="28" t="e">
        <f t="shared" si="15"/>
        <v>#NUM!</v>
      </c>
      <c r="F261" s="23" t="e">
        <f t="shared" si="16"/>
        <v>#NUM!</v>
      </c>
    </row>
    <row r="262" spans="1:6" x14ac:dyDescent="0.35">
      <c r="A262" s="9">
        <v>256</v>
      </c>
      <c r="B262" s="23" t="e">
        <f t="shared" si="17"/>
        <v>#NUM!</v>
      </c>
      <c r="C262" s="23" t="e">
        <f t="shared" si="18"/>
        <v>#NUM!</v>
      </c>
      <c r="D262" s="23" t="e">
        <f t="shared" si="19"/>
        <v>#NUM!</v>
      </c>
      <c r="E262" s="28" t="e">
        <f t="shared" si="15"/>
        <v>#NUM!</v>
      </c>
      <c r="F262" s="23" t="e">
        <f t="shared" si="16"/>
        <v>#NUM!</v>
      </c>
    </row>
    <row r="263" spans="1:6" x14ac:dyDescent="0.35">
      <c r="A263" s="9">
        <v>257</v>
      </c>
      <c r="B263" s="23" t="e">
        <f t="shared" si="17"/>
        <v>#NUM!</v>
      </c>
      <c r="C263" s="23" t="e">
        <f t="shared" si="18"/>
        <v>#NUM!</v>
      </c>
      <c r="D263" s="23" t="e">
        <f t="shared" si="19"/>
        <v>#NUM!</v>
      </c>
      <c r="E263" s="28" t="e">
        <f t="shared" si="15"/>
        <v>#NUM!</v>
      </c>
      <c r="F263" s="23" t="e">
        <f t="shared" si="16"/>
        <v>#NUM!</v>
      </c>
    </row>
    <row r="264" spans="1:6" x14ac:dyDescent="0.35">
      <c r="A264" s="9">
        <v>258</v>
      </c>
      <c r="B264" s="23" t="e">
        <f t="shared" si="17"/>
        <v>#NUM!</v>
      </c>
      <c r="C264" s="23" t="e">
        <f t="shared" si="18"/>
        <v>#NUM!</v>
      </c>
      <c r="D264" s="23" t="e">
        <f t="shared" si="19"/>
        <v>#NUM!</v>
      </c>
      <c r="E264" s="28" t="e">
        <f t="shared" ref="E264:E327" si="20">PMT($D$2/12,$D$4,-$D$1,,)</f>
        <v>#NUM!</v>
      </c>
      <c r="F264" s="23" t="e">
        <f t="shared" ref="F264:F327" si="21">B264-D264</f>
        <v>#NUM!</v>
      </c>
    </row>
    <row r="265" spans="1:6" x14ac:dyDescent="0.35">
      <c r="A265" s="9">
        <v>259</v>
      </c>
      <c r="B265" s="23" t="e">
        <f t="shared" ref="B265:B328" si="22">F264</f>
        <v>#NUM!</v>
      </c>
      <c r="C265" s="23" t="e">
        <f t="shared" ref="C265:C328" si="23">($D$2/12)*B265</f>
        <v>#NUM!</v>
      </c>
      <c r="D265" s="23" t="e">
        <f t="shared" ref="D265:D328" si="24">E265-C265</f>
        <v>#NUM!</v>
      </c>
      <c r="E265" s="28" t="e">
        <f t="shared" si="20"/>
        <v>#NUM!</v>
      </c>
      <c r="F265" s="23" t="e">
        <f t="shared" si="21"/>
        <v>#NUM!</v>
      </c>
    </row>
    <row r="266" spans="1:6" x14ac:dyDescent="0.35">
      <c r="A266" s="9">
        <v>260</v>
      </c>
      <c r="B266" s="23" t="e">
        <f t="shared" si="22"/>
        <v>#NUM!</v>
      </c>
      <c r="C266" s="23" t="e">
        <f t="shared" si="23"/>
        <v>#NUM!</v>
      </c>
      <c r="D266" s="23" t="e">
        <f t="shared" si="24"/>
        <v>#NUM!</v>
      </c>
      <c r="E266" s="28" t="e">
        <f t="shared" si="20"/>
        <v>#NUM!</v>
      </c>
      <c r="F266" s="23" t="e">
        <f t="shared" si="21"/>
        <v>#NUM!</v>
      </c>
    </row>
    <row r="267" spans="1:6" x14ac:dyDescent="0.35">
      <c r="A267" s="9">
        <v>261</v>
      </c>
      <c r="B267" s="23" t="e">
        <f t="shared" si="22"/>
        <v>#NUM!</v>
      </c>
      <c r="C267" s="23" t="e">
        <f t="shared" si="23"/>
        <v>#NUM!</v>
      </c>
      <c r="D267" s="23" t="e">
        <f t="shared" si="24"/>
        <v>#NUM!</v>
      </c>
      <c r="E267" s="28" t="e">
        <f t="shared" si="20"/>
        <v>#NUM!</v>
      </c>
      <c r="F267" s="23" t="e">
        <f t="shared" si="21"/>
        <v>#NUM!</v>
      </c>
    </row>
    <row r="268" spans="1:6" x14ac:dyDescent="0.35">
      <c r="A268" s="9">
        <v>262</v>
      </c>
      <c r="B268" s="23" t="e">
        <f t="shared" si="22"/>
        <v>#NUM!</v>
      </c>
      <c r="C268" s="23" t="e">
        <f t="shared" si="23"/>
        <v>#NUM!</v>
      </c>
      <c r="D268" s="23" t="e">
        <f t="shared" si="24"/>
        <v>#NUM!</v>
      </c>
      <c r="E268" s="28" t="e">
        <f t="shared" si="20"/>
        <v>#NUM!</v>
      </c>
      <c r="F268" s="23" t="e">
        <f t="shared" si="21"/>
        <v>#NUM!</v>
      </c>
    </row>
    <row r="269" spans="1:6" x14ac:dyDescent="0.35">
      <c r="A269" s="9">
        <v>263</v>
      </c>
      <c r="B269" s="23" t="e">
        <f t="shared" si="22"/>
        <v>#NUM!</v>
      </c>
      <c r="C269" s="23" t="e">
        <f t="shared" si="23"/>
        <v>#NUM!</v>
      </c>
      <c r="D269" s="23" t="e">
        <f t="shared" si="24"/>
        <v>#NUM!</v>
      </c>
      <c r="E269" s="28" t="e">
        <f t="shared" si="20"/>
        <v>#NUM!</v>
      </c>
      <c r="F269" s="23" t="e">
        <f t="shared" si="21"/>
        <v>#NUM!</v>
      </c>
    </row>
    <row r="270" spans="1:6" x14ac:dyDescent="0.35">
      <c r="A270" s="9">
        <v>264</v>
      </c>
      <c r="B270" s="23" t="e">
        <f t="shared" si="22"/>
        <v>#NUM!</v>
      </c>
      <c r="C270" s="23" t="e">
        <f t="shared" si="23"/>
        <v>#NUM!</v>
      </c>
      <c r="D270" s="23" t="e">
        <f t="shared" si="24"/>
        <v>#NUM!</v>
      </c>
      <c r="E270" s="28" t="e">
        <f t="shared" si="20"/>
        <v>#NUM!</v>
      </c>
      <c r="F270" s="23" t="e">
        <f t="shared" si="21"/>
        <v>#NUM!</v>
      </c>
    </row>
    <row r="271" spans="1:6" x14ac:dyDescent="0.35">
      <c r="A271" s="9">
        <v>265</v>
      </c>
      <c r="B271" s="23" t="e">
        <f t="shared" si="22"/>
        <v>#NUM!</v>
      </c>
      <c r="C271" s="23" t="e">
        <f t="shared" si="23"/>
        <v>#NUM!</v>
      </c>
      <c r="D271" s="23" t="e">
        <f t="shared" si="24"/>
        <v>#NUM!</v>
      </c>
      <c r="E271" s="28" t="e">
        <f t="shared" si="20"/>
        <v>#NUM!</v>
      </c>
      <c r="F271" s="23" t="e">
        <f t="shared" si="21"/>
        <v>#NUM!</v>
      </c>
    </row>
    <row r="272" spans="1:6" x14ac:dyDescent="0.35">
      <c r="A272" s="9">
        <v>266</v>
      </c>
      <c r="B272" s="23" t="e">
        <f t="shared" si="22"/>
        <v>#NUM!</v>
      </c>
      <c r="C272" s="23" t="e">
        <f t="shared" si="23"/>
        <v>#NUM!</v>
      </c>
      <c r="D272" s="23" t="e">
        <f t="shared" si="24"/>
        <v>#NUM!</v>
      </c>
      <c r="E272" s="28" t="e">
        <f t="shared" si="20"/>
        <v>#NUM!</v>
      </c>
      <c r="F272" s="23" t="e">
        <f t="shared" si="21"/>
        <v>#NUM!</v>
      </c>
    </row>
    <row r="273" spans="1:6" x14ac:dyDescent="0.35">
      <c r="A273" s="9">
        <v>267</v>
      </c>
      <c r="B273" s="23" t="e">
        <f t="shared" si="22"/>
        <v>#NUM!</v>
      </c>
      <c r="C273" s="23" t="e">
        <f t="shared" si="23"/>
        <v>#NUM!</v>
      </c>
      <c r="D273" s="23" t="e">
        <f t="shared" si="24"/>
        <v>#NUM!</v>
      </c>
      <c r="E273" s="28" t="e">
        <f t="shared" si="20"/>
        <v>#NUM!</v>
      </c>
      <c r="F273" s="23" t="e">
        <f t="shared" si="21"/>
        <v>#NUM!</v>
      </c>
    </row>
    <row r="274" spans="1:6" x14ac:dyDescent="0.35">
      <c r="A274" s="9">
        <v>268</v>
      </c>
      <c r="B274" s="23" t="e">
        <f t="shared" si="22"/>
        <v>#NUM!</v>
      </c>
      <c r="C274" s="23" t="e">
        <f t="shared" si="23"/>
        <v>#NUM!</v>
      </c>
      <c r="D274" s="23" t="e">
        <f t="shared" si="24"/>
        <v>#NUM!</v>
      </c>
      <c r="E274" s="28" t="e">
        <f t="shared" si="20"/>
        <v>#NUM!</v>
      </c>
      <c r="F274" s="23" t="e">
        <f t="shared" si="21"/>
        <v>#NUM!</v>
      </c>
    </row>
    <row r="275" spans="1:6" x14ac:dyDescent="0.35">
      <c r="A275" s="9">
        <v>269</v>
      </c>
      <c r="B275" s="23" t="e">
        <f t="shared" si="22"/>
        <v>#NUM!</v>
      </c>
      <c r="C275" s="23" t="e">
        <f t="shared" si="23"/>
        <v>#NUM!</v>
      </c>
      <c r="D275" s="23" t="e">
        <f t="shared" si="24"/>
        <v>#NUM!</v>
      </c>
      <c r="E275" s="28" t="e">
        <f t="shared" si="20"/>
        <v>#NUM!</v>
      </c>
      <c r="F275" s="23" t="e">
        <f t="shared" si="21"/>
        <v>#NUM!</v>
      </c>
    </row>
    <row r="276" spans="1:6" x14ac:dyDescent="0.35">
      <c r="A276" s="9">
        <v>270</v>
      </c>
      <c r="B276" s="23" t="e">
        <f t="shared" si="22"/>
        <v>#NUM!</v>
      </c>
      <c r="C276" s="23" t="e">
        <f t="shared" si="23"/>
        <v>#NUM!</v>
      </c>
      <c r="D276" s="23" t="e">
        <f t="shared" si="24"/>
        <v>#NUM!</v>
      </c>
      <c r="E276" s="28" t="e">
        <f t="shared" si="20"/>
        <v>#NUM!</v>
      </c>
      <c r="F276" s="23" t="e">
        <f t="shared" si="21"/>
        <v>#NUM!</v>
      </c>
    </row>
    <row r="277" spans="1:6" x14ac:dyDescent="0.35">
      <c r="A277" s="9">
        <v>271</v>
      </c>
      <c r="B277" s="23" t="e">
        <f t="shared" si="22"/>
        <v>#NUM!</v>
      </c>
      <c r="C277" s="23" t="e">
        <f t="shared" si="23"/>
        <v>#NUM!</v>
      </c>
      <c r="D277" s="23" t="e">
        <f t="shared" si="24"/>
        <v>#NUM!</v>
      </c>
      <c r="E277" s="28" t="e">
        <f t="shared" si="20"/>
        <v>#NUM!</v>
      </c>
      <c r="F277" s="23" t="e">
        <f t="shared" si="21"/>
        <v>#NUM!</v>
      </c>
    </row>
    <row r="278" spans="1:6" x14ac:dyDescent="0.35">
      <c r="A278" s="9">
        <v>272</v>
      </c>
      <c r="B278" s="23" t="e">
        <f t="shared" si="22"/>
        <v>#NUM!</v>
      </c>
      <c r="C278" s="23" t="e">
        <f t="shared" si="23"/>
        <v>#NUM!</v>
      </c>
      <c r="D278" s="23" t="e">
        <f t="shared" si="24"/>
        <v>#NUM!</v>
      </c>
      <c r="E278" s="28" t="e">
        <f t="shared" si="20"/>
        <v>#NUM!</v>
      </c>
      <c r="F278" s="23" t="e">
        <f t="shared" si="21"/>
        <v>#NUM!</v>
      </c>
    </row>
    <row r="279" spans="1:6" x14ac:dyDescent="0.35">
      <c r="A279" s="9">
        <v>273</v>
      </c>
      <c r="B279" s="23" t="e">
        <f t="shared" si="22"/>
        <v>#NUM!</v>
      </c>
      <c r="C279" s="23" t="e">
        <f t="shared" si="23"/>
        <v>#NUM!</v>
      </c>
      <c r="D279" s="23" t="e">
        <f t="shared" si="24"/>
        <v>#NUM!</v>
      </c>
      <c r="E279" s="28" t="e">
        <f t="shared" si="20"/>
        <v>#NUM!</v>
      </c>
      <c r="F279" s="23" t="e">
        <f t="shared" si="21"/>
        <v>#NUM!</v>
      </c>
    </row>
    <row r="280" spans="1:6" x14ac:dyDescent="0.35">
      <c r="A280" s="9">
        <v>274</v>
      </c>
      <c r="B280" s="23" t="e">
        <f t="shared" si="22"/>
        <v>#NUM!</v>
      </c>
      <c r="C280" s="23" t="e">
        <f t="shared" si="23"/>
        <v>#NUM!</v>
      </c>
      <c r="D280" s="23" t="e">
        <f t="shared" si="24"/>
        <v>#NUM!</v>
      </c>
      <c r="E280" s="28" t="e">
        <f t="shared" si="20"/>
        <v>#NUM!</v>
      </c>
      <c r="F280" s="23" t="e">
        <f t="shared" si="21"/>
        <v>#NUM!</v>
      </c>
    </row>
    <row r="281" spans="1:6" x14ac:dyDescent="0.35">
      <c r="A281" s="9">
        <v>275</v>
      </c>
      <c r="B281" s="23" t="e">
        <f t="shared" si="22"/>
        <v>#NUM!</v>
      </c>
      <c r="C281" s="23" t="e">
        <f t="shared" si="23"/>
        <v>#NUM!</v>
      </c>
      <c r="D281" s="23" t="e">
        <f t="shared" si="24"/>
        <v>#NUM!</v>
      </c>
      <c r="E281" s="28" t="e">
        <f t="shared" si="20"/>
        <v>#NUM!</v>
      </c>
      <c r="F281" s="23" t="e">
        <f t="shared" si="21"/>
        <v>#NUM!</v>
      </c>
    </row>
    <row r="282" spans="1:6" x14ac:dyDescent="0.35">
      <c r="A282" s="9">
        <v>276</v>
      </c>
      <c r="B282" s="23" t="e">
        <f t="shared" si="22"/>
        <v>#NUM!</v>
      </c>
      <c r="C282" s="23" t="e">
        <f t="shared" si="23"/>
        <v>#NUM!</v>
      </c>
      <c r="D282" s="23" t="e">
        <f t="shared" si="24"/>
        <v>#NUM!</v>
      </c>
      <c r="E282" s="28" t="e">
        <f t="shared" si="20"/>
        <v>#NUM!</v>
      </c>
      <c r="F282" s="23" t="e">
        <f t="shared" si="21"/>
        <v>#NUM!</v>
      </c>
    </row>
    <row r="283" spans="1:6" x14ac:dyDescent="0.35">
      <c r="A283" s="9">
        <v>277</v>
      </c>
      <c r="B283" s="23" t="e">
        <f t="shared" si="22"/>
        <v>#NUM!</v>
      </c>
      <c r="C283" s="23" t="e">
        <f t="shared" si="23"/>
        <v>#NUM!</v>
      </c>
      <c r="D283" s="23" t="e">
        <f t="shared" si="24"/>
        <v>#NUM!</v>
      </c>
      <c r="E283" s="28" t="e">
        <f t="shared" si="20"/>
        <v>#NUM!</v>
      </c>
      <c r="F283" s="23" t="e">
        <f t="shared" si="21"/>
        <v>#NUM!</v>
      </c>
    </row>
    <row r="284" spans="1:6" x14ac:dyDescent="0.35">
      <c r="A284" s="9">
        <v>278</v>
      </c>
      <c r="B284" s="23" t="e">
        <f t="shared" si="22"/>
        <v>#NUM!</v>
      </c>
      <c r="C284" s="23" t="e">
        <f t="shared" si="23"/>
        <v>#NUM!</v>
      </c>
      <c r="D284" s="23" t="e">
        <f t="shared" si="24"/>
        <v>#NUM!</v>
      </c>
      <c r="E284" s="28" t="e">
        <f t="shared" si="20"/>
        <v>#NUM!</v>
      </c>
      <c r="F284" s="23" t="e">
        <f t="shared" si="21"/>
        <v>#NUM!</v>
      </c>
    </row>
    <row r="285" spans="1:6" x14ac:dyDescent="0.35">
      <c r="A285" s="9">
        <v>279</v>
      </c>
      <c r="B285" s="23" t="e">
        <f t="shared" si="22"/>
        <v>#NUM!</v>
      </c>
      <c r="C285" s="23" t="e">
        <f t="shared" si="23"/>
        <v>#NUM!</v>
      </c>
      <c r="D285" s="23" t="e">
        <f t="shared" si="24"/>
        <v>#NUM!</v>
      </c>
      <c r="E285" s="28" t="e">
        <f t="shared" si="20"/>
        <v>#NUM!</v>
      </c>
      <c r="F285" s="23" t="e">
        <f t="shared" si="21"/>
        <v>#NUM!</v>
      </c>
    </row>
    <row r="286" spans="1:6" x14ac:dyDescent="0.35">
      <c r="A286" s="9">
        <v>280</v>
      </c>
      <c r="B286" s="23" t="e">
        <f t="shared" si="22"/>
        <v>#NUM!</v>
      </c>
      <c r="C286" s="23" t="e">
        <f t="shared" si="23"/>
        <v>#NUM!</v>
      </c>
      <c r="D286" s="23" t="e">
        <f t="shared" si="24"/>
        <v>#NUM!</v>
      </c>
      <c r="E286" s="28" t="e">
        <f t="shared" si="20"/>
        <v>#NUM!</v>
      </c>
      <c r="F286" s="23" t="e">
        <f t="shared" si="21"/>
        <v>#NUM!</v>
      </c>
    </row>
    <row r="287" spans="1:6" x14ac:dyDescent="0.35">
      <c r="A287" s="9">
        <v>281</v>
      </c>
      <c r="B287" s="23" t="e">
        <f t="shared" si="22"/>
        <v>#NUM!</v>
      </c>
      <c r="C287" s="23" t="e">
        <f t="shared" si="23"/>
        <v>#NUM!</v>
      </c>
      <c r="D287" s="23" t="e">
        <f t="shared" si="24"/>
        <v>#NUM!</v>
      </c>
      <c r="E287" s="28" t="e">
        <f t="shared" si="20"/>
        <v>#NUM!</v>
      </c>
      <c r="F287" s="23" t="e">
        <f t="shared" si="21"/>
        <v>#NUM!</v>
      </c>
    </row>
    <row r="288" spans="1:6" x14ac:dyDescent="0.35">
      <c r="A288" s="9">
        <v>282</v>
      </c>
      <c r="B288" s="23" t="e">
        <f t="shared" si="22"/>
        <v>#NUM!</v>
      </c>
      <c r="C288" s="23" t="e">
        <f t="shared" si="23"/>
        <v>#NUM!</v>
      </c>
      <c r="D288" s="23" t="e">
        <f t="shared" si="24"/>
        <v>#NUM!</v>
      </c>
      <c r="E288" s="28" t="e">
        <f t="shared" si="20"/>
        <v>#NUM!</v>
      </c>
      <c r="F288" s="23" t="e">
        <f t="shared" si="21"/>
        <v>#NUM!</v>
      </c>
    </row>
    <row r="289" spans="1:6" x14ac:dyDescent="0.35">
      <c r="A289" s="9">
        <v>283</v>
      </c>
      <c r="B289" s="23" t="e">
        <f t="shared" si="22"/>
        <v>#NUM!</v>
      </c>
      <c r="C289" s="23" t="e">
        <f t="shared" si="23"/>
        <v>#NUM!</v>
      </c>
      <c r="D289" s="23" t="e">
        <f t="shared" si="24"/>
        <v>#NUM!</v>
      </c>
      <c r="E289" s="28" t="e">
        <f t="shared" si="20"/>
        <v>#NUM!</v>
      </c>
      <c r="F289" s="23" t="e">
        <f t="shared" si="21"/>
        <v>#NUM!</v>
      </c>
    </row>
    <row r="290" spans="1:6" x14ac:dyDescent="0.35">
      <c r="A290" s="9">
        <v>284</v>
      </c>
      <c r="B290" s="23" t="e">
        <f t="shared" si="22"/>
        <v>#NUM!</v>
      </c>
      <c r="C290" s="23" t="e">
        <f t="shared" si="23"/>
        <v>#NUM!</v>
      </c>
      <c r="D290" s="23" t="e">
        <f t="shared" si="24"/>
        <v>#NUM!</v>
      </c>
      <c r="E290" s="28" t="e">
        <f t="shared" si="20"/>
        <v>#NUM!</v>
      </c>
      <c r="F290" s="23" t="e">
        <f t="shared" si="21"/>
        <v>#NUM!</v>
      </c>
    </row>
    <row r="291" spans="1:6" x14ac:dyDescent="0.35">
      <c r="A291" s="9">
        <v>285</v>
      </c>
      <c r="B291" s="23" t="e">
        <f t="shared" si="22"/>
        <v>#NUM!</v>
      </c>
      <c r="C291" s="23" t="e">
        <f t="shared" si="23"/>
        <v>#NUM!</v>
      </c>
      <c r="D291" s="23" t="e">
        <f t="shared" si="24"/>
        <v>#NUM!</v>
      </c>
      <c r="E291" s="28" t="e">
        <f t="shared" si="20"/>
        <v>#NUM!</v>
      </c>
      <c r="F291" s="23" t="e">
        <f t="shared" si="21"/>
        <v>#NUM!</v>
      </c>
    </row>
    <row r="292" spans="1:6" x14ac:dyDescent="0.35">
      <c r="A292" s="9">
        <v>286</v>
      </c>
      <c r="B292" s="23" t="e">
        <f t="shared" si="22"/>
        <v>#NUM!</v>
      </c>
      <c r="C292" s="23" t="e">
        <f t="shared" si="23"/>
        <v>#NUM!</v>
      </c>
      <c r="D292" s="23" t="e">
        <f t="shared" si="24"/>
        <v>#NUM!</v>
      </c>
      <c r="E292" s="28" t="e">
        <f t="shared" si="20"/>
        <v>#NUM!</v>
      </c>
      <c r="F292" s="23" t="e">
        <f t="shared" si="21"/>
        <v>#NUM!</v>
      </c>
    </row>
    <row r="293" spans="1:6" x14ac:dyDescent="0.35">
      <c r="A293" s="9">
        <v>287</v>
      </c>
      <c r="B293" s="23" t="e">
        <f t="shared" si="22"/>
        <v>#NUM!</v>
      </c>
      <c r="C293" s="23" t="e">
        <f t="shared" si="23"/>
        <v>#NUM!</v>
      </c>
      <c r="D293" s="23" t="e">
        <f t="shared" si="24"/>
        <v>#NUM!</v>
      </c>
      <c r="E293" s="28" t="e">
        <f t="shared" si="20"/>
        <v>#NUM!</v>
      </c>
      <c r="F293" s="23" t="e">
        <f t="shared" si="21"/>
        <v>#NUM!</v>
      </c>
    </row>
    <row r="294" spans="1:6" x14ac:dyDescent="0.35">
      <c r="A294" s="9">
        <v>288</v>
      </c>
      <c r="B294" s="23" t="e">
        <f t="shared" si="22"/>
        <v>#NUM!</v>
      </c>
      <c r="C294" s="23" t="e">
        <f t="shared" si="23"/>
        <v>#NUM!</v>
      </c>
      <c r="D294" s="23" t="e">
        <f t="shared" si="24"/>
        <v>#NUM!</v>
      </c>
      <c r="E294" s="28" t="e">
        <f t="shared" si="20"/>
        <v>#NUM!</v>
      </c>
      <c r="F294" s="23" t="e">
        <f t="shared" si="21"/>
        <v>#NUM!</v>
      </c>
    </row>
    <row r="295" spans="1:6" x14ac:dyDescent="0.35">
      <c r="A295" s="9">
        <v>289</v>
      </c>
      <c r="B295" s="23" t="e">
        <f t="shared" si="22"/>
        <v>#NUM!</v>
      </c>
      <c r="C295" s="23" t="e">
        <f t="shared" si="23"/>
        <v>#NUM!</v>
      </c>
      <c r="D295" s="23" t="e">
        <f t="shared" si="24"/>
        <v>#NUM!</v>
      </c>
      <c r="E295" s="28" t="e">
        <f t="shared" si="20"/>
        <v>#NUM!</v>
      </c>
      <c r="F295" s="23" t="e">
        <f t="shared" si="21"/>
        <v>#NUM!</v>
      </c>
    </row>
    <row r="296" spans="1:6" x14ac:dyDescent="0.35">
      <c r="A296" s="9">
        <v>290</v>
      </c>
      <c r="B296" s="23" t="e">
        <f t="shared" si="22"/>
        <v>#NUM!</v>
      </c>
      <c r="C296" s="23" t="e">
        <f t="shared" si="23"/>
        <v>#NUM!</v>
      </c>
      <c r="D296" s="23" t="e">
        <f t="shared" si="24"/>
        <v>#NUM!</v>
      </c>
      <c r="E296" s="28" t="e">
        <f t="shared" si="20"/>
        <v>#NUM!</v>
      </c>
      <c r="F296" s="23" t="e">
        <f t="shared" si="21"/>
        <v>#NUM!</v>
      </c>
    </row>
    <row r="297" spans="1:6" x14ac:dyDescent="0.35">
      <c r="A297" s="9">
        <v>291</v>
      </c>
      <c r="B297" s="23" t="e">
        <f t="shared" si="22"/>
        <v>#NUM!</v>
      </c>
      <c r="C297" s="23" t="e">
        <f t="shared" si="23"/>
        <v>#NUM!</v>
      </c>
      <c r="D297" s="23" t="e">
        <f t="shared" si="24"/>
        <v>#NUM!</v>
      </c>
      <c r="E297" s="28" t="e">
        <f t="shared" si="20"/>
        <v>#NUM!</v>
      </c>
      <c r="F297" s="23" t="e">
        <f t="shared" si="21"/>
        <v>#NUM!</v>
      </c>
    </row>
    <row r="298" spans="1:6" x14ac:dyDescent="0.35">
      <c r="A298" s="9">
        <v>292</v>
      </c>
      <c r="B298" s="23" t="e">
        <f t="shared" si="22"/>
        <v>#NUM!</v>
      </c>
      <c r="C298" s="23" t="e">
        <f t="shared" si="23"/>
        <v>#NUM!</v>
      </c>
      <c r="D298" s="23" t="e">
        <f t="shared" si="24"/>
        <v>#NUM!</v>
      </c>
      <c r="E298" s="28" t="e">
        <f t="shared" si="20"/>
        <v>#NUM!</v>
      </c>
      <c r="F298" s="23" t="e">
        <f t="shared" si="21"/>
        <v>#NUM!</v>
      </c>
    </row>
    <row r="299" spans="1:6" x14ac:dyDescent="0.35">
      <c r="A299" s="9">
        <v>293</v>
      </c>
      <c r="B299" s="23" t="e">
        <f t="shared" si="22"/>
        <v>#NUM!</v>
      </c>
      <c r="C299" s="23" t="e">
        <f t="shared" si="23"/>
        <v>#NUM!</v>
      </c>
      <c r="D299" s="23" t="e">
        <f t="shared" si="24"/>
        <v>#NUM!</v>
      </c>
      <c r="E299" s="28" t="e">
        <f t="shared" si="20"/>
        <v>#NUM!</v>
      </c>
      <c r="F299" s="23" t="e">
        <f t="shared" si="21"/>
        <v>#NUM!</v>
      </c>
    </row>
    <row r="300" spans="1:6" x14ac:dyDescent="0.35">
      <c r="A300" s="9">
        <v>294</v>
      </c>
      <c r="B300" s="23" t="e">
        <f t="shared" si="22"/>
        <v>#NUM!</v>
      </c>
      <c r="C300" s="23" t="e">
        <f t="shared" si="23"/>
        <v>#NUM!</v>
      </c>
      <c r="D300" s="23" t="e">
        <f t="shared" si="24"/>
        <v>#NUM!</v>
      </c>
      <c r="E300" s="28" t="e">
        <f t="shared" si="20"/>
        <v>#NUM!</v>
      </c>
      <c r="F300" s="23" t="e">
        <f t="shared" si="21"/>
        <v>#NUM!</v>
      </c>
    </row>
    <row r="301" spans="1:6" x14ac:dyDescent="0.35">
      <c r="A301" s="9">
        <v>295</v>
      </c>
      <c r="B301" s="23" t="e">
        <f t="shared" si="22"/>
        <v>#NUM!</v>
      </c>
      <c r="C301" s="23" t="e">
        <f t="shared" si="23"/>
        <v>#NUM!</v>
      </c>
      <c r="D301" s="23" t="e">
        <f t="shared" si="24"/>
        <v>#NUM!</v>
      </c>
      <c r="E301" s="28" t="e">
        <f t="shared" si="20"/>
        <v>#NUM!</v>
      </c>
      <c r="F301" s="23" t="e">
        <f t="shared" si="21"/>
        <v>#NUM!</v>
      </c>
    </row>
    <row r="302" spans="1:6" x14ac:dyDescent="0.35">
      <c r="A302" s="9">
        <v>296</v>
      </c>
      <c r="B302" s="23" t="e">
        <f t="shared" si="22"/>
        <v>#NUM!</v>
      </c>
      <c r="C302" s="23" t="e">
        <f t="shared" si="23"/>
        <v>#NUM!</v>
      </c>
      <c r="D302" s="23" t="e">
        <f t="shared" si="24"/>
        <v>#NUM!</v>
      </c>
      <c r="E302" s="28" t="e">
        <f t="shared" si="20"/>
        <v>#NUM!</v>
      </c>
      <c r="F302" s="23" t="e">
        <f t="shared" si="21"/>
        <v>#NUM!</v>
      </c>
    </row>
    <row r="303" spans="1:6" x14ac:dyDescent="0.35">
      <c r="A303" s="9">
        <v>297</v>
      </c>
      <c r="B303" s="23" t="e">
        <f t="shared" si="22"/>
        <v>#NUM!</v>
      </c>
      <c r="C303" s="23" t="e">
        <f t="shared" si="23"/>
        <v>#NUM!</v>
      </c>
      <c r="D303" s="23" t="e">
        <f t="shared" si="24"/>
        <v>#NUM!</v>
      </c>
      <c r="E303" s="28" t="e">
        <f t="shared" si="20"/>
        <v>#NUM!</v>
      </c>
      <c r="F303" s="23" t="e">
        <f t="shared" si="21"/>
        <v>#NUM!</v>
      </c>
    </row>
    <row r="304" spans="1:6" x14ac:dyDescent="0.35">
      <c r="A304" s="9">
        <v>298</v>
      </c>
      <c r="B304" s="23" t="e">
        <f t="shared" si="22"/>
        <v>#NUM!</v>
      </c>
      <c r="C304" s="23" t="e">
        <f t="shared" si="23"/>
        <v>#NUM!</v>
      </c>
      <c r="D304" s="23" t="e">
        <f t="shared" si="24"/>
        <v>#NUM!</v>
      </c>
      <c r="E304" s="28" t="e">
        <f t="shared" si="20"/>
        <v>#NUM!</v>
      </c>
      <c r="F304" s="23" t="e">
        <f t="shared" si="21"/>
        <v>#NUM!</v>
      </c>
    </row>
    <row r="305" spans="1:6" x14ac:dyDescent="0.35">
      <c r="A305" s="9">
        <v>299</v>
      </c>
      <c r="B305" s="23" t="e">
        <f t="shared" si="22"/>
        <v>#NUM!</v>
      </c>
      <c r="C305" s="23" t="e">
        <f t="shared" si="23"/>
        <v>#NUM!</v>
      </c>
      <c r="D305" s="23" t="e">
        <f t="shared" si="24"/>
        <v>#NUM!</v>
      </c>
      <c r="E305" s="28" t="e">
        <f t="shared" si="20"/>
        <v>#NUM!</v>
      </c>
      <c r="F305" s="23" t="e">
        <f t="shared" si="21"/>
        <v>#NUM!</v>
      </c>
    </row>
    <row r="306" spans="1:6" x14ac:dyDescent="0.35">
      <c r="A306" s="9">
        <v>300</v>
      </c>
      <c r="B306" s="23" t="e">
        <f t="shared" si="22"/>
        <v>#NUM!</v>
      </c>
      <c r="C306" s="23" t="e">
        <f t="shared" si="23"/>
        <v>#NUM!</v>
      </c>
      <c r="D306" s="23" t="e">
        <f t="shared" si="24"/>
        <v>#NUM!</v>
      </c>
      <c r="E306" s="28" t="e">
        <f t="shared" si="20"/>
        <v>#NUM!</v>
      </c>
      <c r="F306" s="23" t="e">
        <f t="shared" si="21"/>
        <v>#NUM!</v>
      </c>
    </row>
    <row r="307" spans="1:6" x14ac:dyDescent="0.35">
      <c r="A307" s="9">
        <v>301</v>
      </c>
      <c r="B307" s="23" t="e">
        <f t="shared" si="22"/>
        <v>#NUM!</v>
      </c>
      <c r="C307" s="23" t="e">
        <f t="shared" si="23"/>
        <v>#NUM!</v>
      </c>
      <c r="D307" s="23" t="e">
        <f t="shared" si="24"/>
        <v>#NUM!</v>
      </c>
      <c r="E307" s="28" t="e">
        <f t="shared" si="20"/>
        <v>#NUM!</v>
      </c>
      <c r="F307" s="23" t="e">
        <f t="shared" si="21"/>
        <v>#NUM!</v>
      </c>
    </row>
    <row r="308" spans="1:6" x14ac:dyDescent="0.35">
      <c r="A308" s="9">
        <v>302</v>
      </c>
      <c r="B308" s="23" t="e">
        <f t="shared" si="22"/>
        <v>#NUM!</v>
      </c>
      <c r="C308" s="23" t="e">
        <f t="shared" si="23"/>
        <v>#NUM!</v>
      </c>
      <c r="D308" s="23" t="e">
        <f t="shared" si="24"/>
        <v>#NUM!</v>
      </c>
      <c r="E308" s="28" t="e">
        <f t="shared" si="20"/>
        <v>#NUM!</v>
      </c>
      <c r="F308" s="23" t="e">
        <f t="shared" si="21"/>
        <v>#NUM!</v>
      </c>
    </row>
    <row r="309" spans="1:6" x14ac:dyDescent="0.35">
      <c r="A309" s="9">
        <v>303</v>
      </c>
      <c r="B309" s="23" t="e">
        <f t="shared" si="22"/>
        <v>#NUM!</v>
      </c>
      <c r="C309" s="23" t="e">
        <f t="shared" si="23"/>
        <v>#NUM!</v>
      </c>
      <c r="D309" s="23" t="e">
        <f t="shared" si="24"/>
        <v>#NUM!</v>
      </c>
      <c r="E309" s="28" t="e">
        <f t="shared" si="20"/>
        <v>#NUM!</v>
      </c>
      <c r="F309" s="23" t="e">
        <f t="shared" si="21"/>
        <v>#NUM!</v>
      </c>
    </row>
    <row r="310" spans="1:6" x14ac:dyDescent="0.35">
      <c r="A310" s="9">
        <v>304</v>
      </c>
      <c r="B310" s="23" t="e">
        <f t="shared" si="22"/>
        <v>#NUM!</v>
      </c>
      <c r="C310" s="23" t="e">
        <f t="shared" si="23"/>
        <v>#NUM!</v>
      </c>
      <c r="D310" s="23" t="e">
        <f t="shared" si="24"/>
        <v>#NUM!</v>
      </c>
      <c r="E310" s="28" t="e">
        <f t="shared" si="20"/>
        <v>#NUM!</v>
      </c>
      <c r="F310" s="23" t="e">
        <f t="shared" si="21"/>
        <v>#NUM!</v>
      </c>
    </row>
    <row r="311" spans="1:6" x14ac:dyDescent="0.35">
      <c r="A311" s="9">
        <v>305</v>
      </c>
      <c r="B311" s="23" t="e">
        <f t="shared" si="22"/>
        <v>#NUM!</v>
      </c>
      <c r="C311" s="23" t="e">
        <f t="shared" si="23"/>
        <v>#NUM!</v>
      </c>
      <c r="D311" s="23" t="e">
        <f t="shared" si="24"/>
        <v>#NUM!</v>
      </c>
      <c r="E311" s="28" t="e">
        <f t="shared" si="20"/>
        <v>#NUM!</v>
      </c>
      <c r="F311" s="23" t="e">
        <f t="shared" si="21"/>
        <v>#NUM!</v>
      </c>
    </row>
    <row r="312" spans="1:6" x14ac:dyDescent="0.35">
      <c r="A312" s="9">
        <v>306</v>
      </c>
      <c r="B312" s="23" t="e">
        <f t="shared" si="22"/>
        <v>#NUM!</v>
      </c>
      <c r="C312" s="23" t="e">
        <f t="shared" si="23"/>
        <v>#NUM!</v>
      </c>
      <c r="D312" s="23" t="e">
        <f t="shared" si="24"/>
        <v>#NUM!</v>
      </c>
      <c r="E312" s="28" t="e">
        <f t="shared" si="20"/>
        <v>#NUM!</v>
      </c>
      <c r="F312" s="23" t="e">
        <f t="shared" si="21"/>
        <v>#NUM!</v>
      </c>
    </row>
    <row r="313" spans="1:6" x14ac:dyDescent="0.35">
      <c r="A313" s="9">
        <v>307</v>
      </c>
      <c r="B313" s="23" t="e">
        <f t="shared" si="22"/>
        <v>#NUM!</v>
      </c>
      <c r="C313" s="23" t="e">
        <f t="shared" si="23"/>
        <v>#NUM!</v>
      </c>
      <c r="D313" s="23" t="e">
        <f t="shared" si="24"/>
        <v>#NUM!</v>
      </c>
      <c r="E313" s="28" t="e">
        <f t="shared" si="20"/>
        <v>#NUM!</v>
      </c>
      <c r="F313" s="23" t="e">
        <f t="shared" si="21"/>
        <v>#NUM!</v>
      </c>
    </row>
    <row r="314" spans="1:6" x14ac:dyDescent="0.35">
      <c r="A314" s="9">
        <v>308</v>
      </c>
      <c r="B314" s="23" t="e">
        <f t="shared" si="22"/>
        <v>#NUM!</v>
      </c>
      <c r="C314" s="23" t="e">
        <f t="shared" si="23"/>
        <v>#NUM!</v>
      </c>
      <c r="D314" s="23" t="e">
        <f t="shared" si="24"/>
        <v>#NUM!</v>
      </c>
      <c r="E314" s="28" t="e">
        <f t="shared" si="20"/>
        <v>#NUM!</v>
      </c>
      <c r="F314" s="23" t="e">
        <f t="shared" si="21"/>
        <v>#NUM!</v>
      </c>
    </row>
    <row r="315" spans="1:6" x14ac:dyDescent="0.35">
      <c r="A315" s="9">
        <v>309</v>
      </c>
      <c r="B315" s="23" t="e">
        <f t="shared" si="22"/>
        <v>#NUM!</v>
      </c>
      <c r="C315" s="23" t="e">
        <f t="shared" si="23"/>
        <v>#NUM!</v>
      </c>
      <c r="D315" s="23" t="e">
        <f t="shared" si="24"/>
        <v>#NUM!</v>
      </c>
      <c r="E315" s="28" t="e">
        <f t="shared" si="20"/>
        <v>#NUM!</v>
      </c>
      <c r="F315" s="23" t="e">
        <f t="shared" si="21"/>
        <v>#NUM!</v>
      </c>
    </row>
    <row r="316" spans="1:6" x14ac:dyDescent="0.35">
      <c r="A316" s="9">
        <v>310</v>
      </c>
      <c r="B316" s="23" t="e">
        <f t="shared" si="22"/>
        <v>#NUM!</v>
      </c>
      <c r="C316" s="23" t="e">
        <f t="shared" si="23"/>
        <v>#NUM!</v>
      </c>
      <c r="D316" s="23" t="e">
        <f t="shared" si="24"/>
        <v>#NUM!</v>
      </c>
      <c r="E316" s="28" t="e">
        <f t="shared" si="20"/>
        <v>#NUM!</v>
      </c>
      <c r="F316" s="23" t="e">
        <f t="shared" si="21"/>
        <v>#NUM!</v>
      </c>
    </row>
    <row r="317" spans="1:6" x14ac:dyDescent="0.35">
      <c r="A317" s="9">
        <v>311</v>
      </c>
      <c r="B317" s="23" t="e">
        <f t="shared" si="22"/>
        <v>#NUM!</v>
      </c>
      <c r="C317" s="23" t="e">
        <f t="shared" si="23"/>
        <v>#NUM!</v>
      </c>
      <c r="D317" s="23" t="e">
        <f t="shared" si="24"/>
        <v>#NUM!</v>
      </c>
      <c r="E317" s="28" t="e">
        <f t="shared" si="20"/>
        <v>#NUM!</v>
      </c>
      <c r="F317" s="23" t="e">
        <f t="shared" si="21"/>
        <v>#NUM!</v>
      </c>
    </row>
    <row r="318" spans="1:6" x14ac:dyDescent="0.35">
      <c r="A318" s="9">
        <v>312</v>
      </c>
      <c r="B318" s="23" t="e">
        <f t="shared" si="22"/>
        <v>#NUM!</v>
      </c>
      <c r="C318" s="23" t="e">
        <f t="shared" si="23"/>
        <v>#NUM!</v>
      </c>
      <c r="D318" s="23" t="e">
        <f t="shared" si="24"/>
        <v>#NUM!</v>
      </c>
      <c r="E318" s="28" t="e">
        <f t="shared" si="20"/>
        <v>#NUM!</v>
      </c>
      <c r="F318" s="23" t="e">
        <f t="shared" si="21"/>
        <v>#NUM!</v>
      </c>
    </row>
    <row r="319" spans="1:6" x14ac:dyDescent="0.35">
      <c r="A319" s="9">
        <v>313</v>
      </c>
      <c r="B319" s="23" t="e">
        <f t="shared" si="22"/>
        <v>#NUM!</v>
      </c>
      <c r="C319" s="23" t="e">
        <f t="shared" si="23"/>
        <v>#NUM!</v>
      </c>
      <c r="D319" s="23" t="e">
        <f t="shared" si="24"/>
        <v>#NUM!</v>
      </c>
      <c r="E319" s="28" t="e">
        <f t="shared" si="20"/>
        <v>#NUM!</v>
      </c>
      <c r="F319" s="23" t="e">
        <f t="shared" si="21"/>
        <v>#NUM!</v>
      </c>
    </row>
    <row r="320" spans="1:6" x14ac:dyDescent="0.35">
      <c r="A320" s="9">
        <v>314</v>
      </c>
      <c r="B320" s="23" t="e">
        <f t="shared" si="22"/>
        <v>#NUM!</v>
      </c>
      <c r="C320" s="23" t="e">
        <f t="shared" si="23"/>
        <v>#NUM!</v>
      </c>
      <c r="D320" s="23" t="e">
        <f t="shared" si="24"/>
        <v>#NUM!</v>
      </c>
      <c r="E320" s="28" t="e">
        <f t="shared" si="20"/>
        <v>#NUM!</v>
      </c>
      <c r="F320" s="23" t="e">
        <f t="shared" si="21"/>
        <v>#NUM!</v>
      </c>
    </row>
    <row r="321" spans="1:6" x14ac:dyDescent="0.35">
      <c r="A321" s="9">
        <v>315</v>
      </c>
      <c r="B321" s="23" t="e">
        <f t="shared" si="22"/>
        <v>#NUM!</v>
      </c>
      <c r="C321" s="23" t="e">
        <f t="shared" si="23"/>
        <v>#NUM!</v>
      </c>
      <c r="D321" s="23" t="e">
        <f t="shared" si="24"/>
        <v>#NUM!</v>
      </c>
      <c r="E321" s="28" t="e">
        <f t="shared" si="20"/>
        <v>#NUM!</v>
      </c>
      <c r="F321" s="23" t="e">
        <f t="shared" si="21"/>
        <v>#NUM!</v>
      </c>
    </row>
    <row r="322" spans="1:6" x14ac:dyDescent="0.35">
      <c r="A322" s="9">
        <v>316</v>
      </c>
      <c r="B322" s="23" t="e">
        <f t="shared" si="22"/>
        <v>#NUM!</v>
      </c>
      <c r="C322" s="23" t="e">
        <f t="shared" si="23"/>
        <v>#NUM!</v>
      </c>
      <c r="D322" s="23" t="e">
        <f t="shared" si="24"/>
        <v>#NUM!</v>
      </c>
      <c r="E322" s="28" t="e">
        <f t="shared" si="20"/>
        <v>#NUM!</v>
      </c>
      <c r="F322" s="23" t="e">
        <f t="shared" si="21"/>
        <v>#NUM!</v>
      </c>
    </row>
    <row r="323" spans="1:6" x14ac:dyDescent="0.35">
      <c r="A323" s="9">
        <v>317</v>
      </c>
      <c r="B323" s="23" t="e">
        <f t="shared" si="22"/>
        <v>#NUM!</v>
      </c>
      <c r="C323" s="23" t="e">
        <f t="shared" si="23"/>
        <v>#NUM!</v>
      </c>
      <c r="D323" s="23" t="e">
        <f t="shared" si="24"/>
        <v>#NUM!</v>
      </c>
      <c r="E323" s="28" t="e">
        <f t="shared" si="20"/>
        <v>#NUM!</v>
      </c>
      <c r="F323" s="23" t="e">
        <f t="shared" si="21"/>
        <v>#NUM!</v>
      </c>
    </row>
    <row r="324" spans="1:6" x14ac:dyDescent="0.35">
      <c r="A324" s="9">
        <v>318</v>
      </c>
      <c r="B324" s="23" t="e">
        <f t="shared" si="22"/>
        <v>#NUM!</v>
      </c>
      <c r="C324" s="23" t="e">
        <f t="shared" si="23"/>
        <v>#NUM!</v>
      </c>
      <c r="D324" s="23" t="e">
        <f t="shared" si="24"/>
        <v>#NUM!</v>
      </c>
      <c r="E324" s="28" t="e">
        <f t="shared" si="20"/>
        <v>#NUM!</v>
      </c>
      <c r="F324" s="23" t="e">
        <f t="shared" si="21"/>
        <v>#NUM!</v>
      </c>
    </row>
    <row r="325" spans="1:6" x14ac:dyDescent="0.35">
      <c r="A325" s="9">
        <v>319</v>
      </c>
      <c r="B325" s="23" t="e">
        <f t="shared" si="22"/>
        <v>#NUM!</v>
      </c>
      <c r="C325" s="23" t="e">
        <f t="shared" si="23"/>
        <v>#NUM!</v>
      </c>
      <c r="D325" s="23" t="e">
        <f t="shared" si="24"/>
        <v>#NUM!</v>
      </c>
      <c r="E325" s="28" t="e">
        <f t="shared" si="20"/>
        <v>#NUM!</v>
      </c>
      <c r="F325" s="23" t="e">
        <f t="shared" si="21"/>
        <v>#NUM!</v>
      </c>
    </row>
    <row r="326" spans="1:6" x14ac:dyDescent="0.35">
      <c r="A326" s="9">
        <v>320</v>
      </c>
      <c r="B326" s="23" t="e">
        <f t="shared" si="22"/>
        <v>#NUM!</v>
      </c>
      <c r="C326" s="23" t="e">
        <f t="shared" si="23"/>
        <v>#NUM!</v>
      </c>
      <c r="D326" s="23" t="e">
        <f t="shared" si="24"/>
        <v>#NUM!</v>
      </c>
      <c r="E326" s="28" t="e">
        <f t="shared" si="20"/>
        <v>#NUM!</v>
      </c>
      <c r="F326" s="23" t="e">
        <f t="shared" si="21"/>
        <v>#NUM!</v>
      </c>
    </row>
    <row r="327" spans="1:6" x14ac:dyDescent="0.35">
      <c r="A327" s="9">
        <v>321</v>
      </c>
      <c r="B327" s="23" t="e">
        <f t="shared" si="22"/>
        <v>#NUM!</v>
      </c>
      <c r="C327" s="23" t="e">
        <f t="shared" si="23"/>
        <v>#NUM!</v>
      </c>
      <c r="D327" s="23" t="e">
        <f t="shared" si="24"/>
        <v>#NUM!</v>
      </c>
      <c r="E327" s="28" t="e">
        <f t="shared" si="20"/>
        <v>#NUM!</v>
      </c>
      <c r="F327" s="23" t="e">
        <f t="shared" si="21"/>
        <v>#NUM!</v>
      </c>
    </row>
    <row r="328" spans="1:6" x14ac:dyDescent="0.35">
      <c r="A328" s="9">
        <v>322</v>
      </c>
      <c r="B328" s="23" t="e">
        <f t="shared" si="22"/>
        <v>#NUM!</v>
      </c>
      <c r="C328" s="23" t="e">
        <f t="shared" si="23"/>
        <v>#NUM!</v>
      </c>
      <c r="D328" s="23" t="e">
        <f t="shared" si="24"/>
        <v>#NUM!</v>
      </c>
      <c r="E328" s="28" t="e">
        <f t="shared" ref="E328:E391" si="25">PMT($D$2/12,$D$4,-$D$1,,)</f>
        <v>#NUM!</v>
      </c>
      <c r="F328" s="23" t="e">
        <f t="shared" ref="F328:F366" si="26">B328-D328</f>
        <v>#NUM!</v>
      </c>
    </row>
    <row r="329" spans="1:6" x14ac:dyDescent="0.35">
      <c r="A329" s="9">
        <v>323</v>
      </c>
      <c r="B329" s="23" t="e">
        <f t="shared" ref="B329:B366" si="27">F328</f>
        <v>#NUM!</v>
      </c>
      <c r="C329" s="23" t="e">
        <f t="shared" ref="C329:C392" si="28">($D$2/12)*B329</f>
        <v>#NUM!</v>
      </c>
      <c r="D329" s="23" t="e">
        <f t="shared" ref="D329:D392" si="29">E329-C329</f>
        <v>#NUM!</v>
      </c>
      <c r="E329" s="28" t="e">
        <f t="shared" si="25"/>
        <v>#NUM!</v>
      </c>
      <c r="F329" s="23" t="e">
        <f t="shared" si="26"/>
        <v>#NUM!</v>
      </c>
    </row>
    <row r="330" spans="1:6" x14ac:dyDescent="0.35">
      <c r="A330" s="9">
        <v>324</v>
      </c>
      <c r="B330" s="23" t="e">
        <f t="shared" si="27"/>
        <v>#NUM!</v>
      </c>
      <c r="C330" s="23" t="e">
        <f t="shared" si="28"/>
        <v>#NUM!</v>
      </c>
      <c r="D330" s="23" t="e">
        <f t="shared" si="29"/>
        <v>#NUM!</v>
      </c>
      <c r="E330" s="28" t="e">
        <f t="shared" si="25"/>
        <v>#NUM!</v>
      </c>
      <c r="F330" s="23" t="e">
        <f t="shared" si="26"/>
        <v>#NUM!</v>
      </c>
    </row>
    <row r="331" spans="1:6" x14ac:dyDescent="0.35">
      <c r="A331" s="9">
        <v>325</v>
      </c>
      <c r="B331" s="23" t="e">
        <f t="shared" si="27"/>
        <v>#NUM!</v>
      </c>
      <c r="C331" s="23" t="e">
        <f t="shared" si="28"/>
        <v>#NUM!</v>
      </c>
      <c r="D331" s="23" t="e">
        <f t="shared" si="29"/>
        <v>#NUM!</v>
      </c>
      <c r="E331" s="28" t="e">
        <f t="shared" si="25"/>
        <v>#NUM!</v>
      </c>
      <c r="F331" s="23" t="e">
        <f t="shared" si="26"/>
        <v>#NUM!</v>
      </c>
    </row>
    <row r="332" spans="1:6" x14ac:dyDescent="0.35">
      <c r="A332" s="9">
        <v>326</v>
      </c>
      <c r="B332" s="23" t="e">
        <f t="shared" si="27"/>
        <v>#NUM!</v>
      </c>
      <c r="C332" s="23" t="e">
        <f t="shared" si="28"/>
        <v>#NUM!</v>
      </c>
      <c r="D332" s="23" t="e">
        <f t="shared" si="29"/>
        <v>#NUM!</v>
      </c>
      <c r="E332" s="28" t="e">
        <f t="shared" si="25"/>
        <v>#NUM!</v>
      </c>
      <c r="F332" s="23" t="e">
        <f t="shared" si="26"/>
        <v>#NUM!</v>
      </c>
    </row>
    <row r="333" spans="1:6" x14ac:dyDescent="0.35">
      <c r="A333" s="9">
        <v>327</v>
      </c>
      <c r="B333" s="23" t="e">
        <f t="shared" si="27"/>
        <v>#NUM!</v>
      </c>
      <c r="C333" s="23" t="e">
        <f t="shared" si="28"/>
        <v>#NUM!</v>
      </c>
      <c r="D333" s="23" t="e">
        <f t="shared" si="29"/>
        <v>#NUM!</v>
      </c>
      <c r="E333" s="28" t="e">
        <f t="shared" si="25"/>
        <v>#NUM!</v>
      </c>
      <c r="F333" s="23" t="e">
        <f t="shared" si="26"/>
        <v>#NUM!</v>
      </c>
    </row>
    <row r="334" spans="1:6" x14ac:dyDescent="0.35">
      <c r="A334" s="9">
        <v>328</v>
      </c>
      <c r="B334" s="23" t="e">
        <f t="shared" si="27"/>
        <v>#NUM!</v>
      </c>
      <c r="C334" s="23" t="e">
        <f t="shared" si="28"/>
        <v>#NUM!</v>
      </c>
      <c r="D334" s="23" t="e">
        <f t="shared" si="29"/>
        <v>#NUM!</v>
      </c>
      <c r="E334" s="28" t="e">
        <f t="shared" si="25"/>
        <v>#NUM!</v>
      </c>
      <c r="F334" s="23" t="e">
        <f t="shared" si="26"/>
        <v>#NUM!</v>
      </c>
    </row>
    <row r="335" spans="1:6" x14ac:dyDescent="0.35">
      <c r="A335" s="9">
        <v>329</v>
      </c>
      <c r="B335" s="23" t="e">
        <f t="shared" si="27"/>
        <v>#NUM!</v>
      </c>
      <c r="C335" s="23" t="e">
        <f t="shared" si="28"/>
        <v>#NUM!</v>
      </c>
      <c r="D335" s="23" t="e">
        <f t="shared" si="29"/>
        <v>#NUM!</v>
      </c>
      <c r="E335" s="28" t="e">
        <f t="shared" si="25"/>
        <v>#NUM!</v>
      </c>
      <c r="F335" s="23" t="e">
        <f t="shared" si="26"/>
        <v>#NUM!</v>
      </c>
    </row>
    <row r="336" spans="1:6" x14ac:dyDescent="0.35">
      <c r="A336" s="9">
        <v>330</v>
      </c>
      <c r="B336" s="23" t="e">
        <f t="shared" si="27"/>
        <v>#NUM!</v>
      </c>
      <c r="C336" s="23" t="e">
        <f t="shared" si="28"/>
        <v>#NUM!</v>
      </c>
      <c r="D336" s="23" t="e">
        <f t="shared" si="29"/>
        <v>#NUM!</v>
      </c>
      <c r="E336" s="28" t="e">
        <f t="shared" si="25"/>
        <v>#NUM!</v>
      </c>
      <c r="F336" s="23" t="e">
        <f t="shared" si="26"/>
        <v>#NUM!</v>
      </c>
    </row>
    <row r="337" spans="1:6" x14ac:dyDescent="0.35">
      <c r="A337" s="9">
        <v>331</v>
      </c>
      <c r="B337" s="23" t="e">
        <f t="shared" si="27"/>
        <v>#NUM!</v>
      </c>
      <c r="C337" s="23" t="e">
        <f t="shared" si="28"/>
        <v>#NUM!</v>
      </c>
      <c r="D337" s="23" t="e">
        <f t="shared" si="29"/>
        <v>#NUM!</v>
      </c>
      <c r="E337" s="28" t="e">
        <f t="shared" si="25"/>
        <v>#NUM!</v>
      </c>
      <c r="F337" s="23" t="e">
        <f t="shared" si="26"/>
        <v>#NUM!</v>
      </c>
    </row>
    <row r="338" spans="1:6" x14ac:dyDescent="0.35">
      <c r="A338" s="9">
        <v>332</v>
      </c>
      <c r="B338" s="23" t="e">
        <f t="shared" si="27"/>
        <v>#NUM!</v>
      </c>
      <c r="C338" s="23" t="e">
        <f t="shared" si="28"/>
        <v>#NUM!</v>
      </c>
      <c r="D338" s="23" t="e">
        <f t="shared" si="29"/>
        <v>#NUM!</v>
      </c>
      <c r="E338" s="28" t="e">
        <f t="shared" si="25"/>
        <v>#NUM!</v>
      </c>
      <c r="F338" s="23" t="e">
        <f t="shared" si="26"/>
        <v>#NUM!</v>
      </c>
    </row>
    <row r="339" spans="1:6" x14ac:dyDescent="0.35">
      <c r="A339" s="9">
        <v>333</v>
      </c>
      <c r="B339" s="23" t="e">
        <f t="shared" si="27"/>
        <v>#NUM!</v>
      </c>
      <c r="C339" s="23" t="e">
        <f t="shared" si="28"/>
        <v>#NUM!</v>
      </c>
      <c r="D339" s="23" t="e">
        <f t="shared" si="29"/>
        <v>#NUM!</v>
      </c>
      <c r="E339" s="28" t="e">
        <f t="shared" si="25"/>
        <v>#NUM!</v>
      </c>
      <c r="F339" s="23" t="e">
        <f t="shared" si="26"/>
        <v>#NUM!</v>
      </c>
    </row>
    <row r="340" spans="1:6" x14ac:dyDescent="0.35">
      <c r="A340" s="9">
        <v>334</v>
      </c>
      <c r="B340" s="23" t="e">
        <f t="shared" si="27"/>
        <v>#NUM!</v>
      </c>
      <c r="C340" s="23" t="e">
        <f t="shared" si="28"/>
        <v>#NUM!</v>
      </c>
      <c r="D340" s="23" t="e">
        <f t="shared" si="29"/>
        <v>#NUM!</v>
      </c>
      <c r="E340" s="28" t="e">
        <f t="shared" si="25"/>
        <v>#NUM!</v>
      </c>
      <c r="F340" s="23" t="e">
        <f t="shared" si="26"/>
        <v>#NUM!</v>
      </c>
    </row>
    <row r="341" spans="1:6" x14ac:dyDescent="0.35">
      <c r="A341" s="9">
        <v>335</v>
      </c>
      <c r="B341" s="23" t="e">
        <f t="shared" si="27"/>
        <v>#NUM!</v>
      </c>
      <c r="C341" s="23" t="e">
        <f t="shared" si="28"/>
        <v>#NUM!</v>
      </c>
      <c r="D341" s="23" t="e">
        <f t="shared" si="29"/>
        <v>#NUM!</v>
      </c>
      <c r="E341" s="28" t="e">
        <f t="shared" si="25"/>
        <v>#NUM!</v>
      </c>
      <c r="F341" s="23" t="e">
        <f t="shared" si="26"/>
        <v>#NUM!</v>
      </c>
    </row>
    <row r="342" spans="1:6" x14ac:dyDescent="0.35">
      <c r="A342" s="9">
        <v>336</v>
      </c>
      <c r="B342" s="23" t="e">
        <f t="shared" si="27"/>
        <v>#NUM!</v>
      </c>
      <c r="C342" s="23" t="e">
        <f t="shared" si="28"/>
        <v>#NUM!</v>
      </c>
      <c r="D342" s="23" t="e">
        <f t="shared" si="29"/>
        <v>#NUM!</v>
      </c>
      <c r="E342" s="28" t="e">
        <f t="shared" si="25"/>
        <v>#NUM!</v>
      </c>
      <c r="F342" s="23" t="e">
        <f t="shared" si="26"/>
        <v>#NUM!</v>
      </c>
    </row>
    <row r="343" spans="1:6" x14ac:dyDescent="0.35">
      <c r="A343" s="9">
        <v>337</v>
      </c>
      <c r="B343" s="23" t="e">
        <f t="shared" si="27"/>
        <v>#NUM!</v>
      </c>
      <c r="C343" s="23" t="e">
        <f t="shared" si="28"/>
        <v>#NUM!</v>
      </c>
      <c r="D343" s="23" t="e">
        <f t="shared" si="29"/>
        <v>#NUM!</v>
      </c>
      <c r="E343" s="28" t="e">
        <f t="shared" si="25"/>
        <v>#NUM!</v>
      </c>
      <c r="F343" s="23" t="e">
        <f t="shared" si="26"/>
        <v>#NUM!</v>
      </c>
    </row>
    <row r="344" spans="1:6" x14ac:dyDescent="0.35">
      <c r="A344" s="9">
        <v>338</v>
      </c>
      <c r="B344" s="23" t="e">
        <f t="shared" si="27"/>
        <v>#NUM!</v>
      </c>
      <c r="C344" s="23" t="e">
        <f t="shared" si="28"/>
        <v>#NUM!</v>
      </c>
      <c r="D344" s="23" t="e">
        <f t="shared" si="29"/>
        <v>#NUM!</v>
      </c>
      <c r="E344" s="28" t="e">
        <f t="shared" si="25"/>
        <v>#NUM!</v>
      </c>
      <c r="F344" s="23" t="e">
        <f t="shared" si="26"/>
        <v>#NUM!</v>
      </c>
    </row>
    <row r="345" spans="1:6" x14ac:dyDescent="0.35">
      <c r="A345" s="9">
        <v>339</v>
      </c>
      <c r="B345" s="23" t="e">
        <f t="shared" si="27"/>
        <v>#NUM!</v>
      </c>
      <c r="C345" s="23" t="e">
        <f t="shared" si="28"/>
        <v>#NUM!</v>
      </c>
      <c r="D345" s="23" t="e">
        <f t="shared" si="29"/>
        <v>#NUM!</v>
      </c>
      <c r="E345" s="28" t="e">
        <f t="shared" si="25"/>
        <v>#NUM!</v>
      </c>
      <c r="F345" s="23" t="e">
        <f t="shared" si="26"/>
        <v>#NUM!</v>
      </c>
    </row>
    <row r="346" spans="1:6" x14ac:dyDescent="0.35">
      <c r="A346" s="9">
        <v>340</v>
      </c>
      <c r="B346" s="23" t="e">
        <f t="shared" si="27"/>
        <v>#NUM!</v>
      </c>
      <c r="C346" s="23" t="e">
        <f t="shared" si="28"/>
        <v>#NUM!</v>
      </c>
      <c r="D346" s="23" t="e">
        <f t="shared" si="29"/>
        <v>#NUM!</v>
      </c>
      <c r="E346" s="28" t="e">
        <f t="shared" si="25"/>
        <v>#NUM!</v>
      </c>
      <c r="F346" s="23" t="e">
        <f t="shared" si="26"/>
        <v>#NUM!</v>
      </c>
    </row>
    <row r="347" spans="1:6" x14ac:dyDescent="0.35">
      <c r="A347" s="9">
        <v>341</v>
      </c>
      <c r="B347" s="23" t="e">
        <f t="shared" si="27"/>
        <v>#NUM!</v>
      </c>
      <c r="C347" s="23" t="e">
        <f t="shared" si="28"/>
        <v>#NUM!</v>
      </c>
      <c r="D347" s="23" t="e">
        <f t="shared" si="29"/>
        <v>#NUM!</v>
      </c>
      <c r="E347" s="28" t="e">
        <f t="shared" si="25"/>
        <v>#NUM!</v>
      </c>
      <c r="F347" s="23" t="e">
        <f t="shared" si="26"/>
        <v>#NUM!</v>
      </c>
    </row>
    <row r="348" spans="1:6" x14ac:dyDescent="0.35">
      <c r="A348" s="9">
        <v>342</v>
      </c>
      <c r="B348" s="23" t="e">
        <f t="shared" si="27"/>
        <v>#NUM!</v>
      </c>
      <c r="C348" s="23" t="e">
        <f t="shared" si="28"/>
        <v>#NUM!</v>
      </c>
      <c r="D348" s="23" t="e">
        <f t="shared" si="29"/>
        <v>#NUM!</v>
      </c>
      <c r="E348" s="28" t="e">
        <f t="shared" si="25"/>
        <v>#NUM!</v>
      </c>
      <c r="F348" s="23" t="e">
        <f t="shared" si="26"/>
        <v>#NUM!</v>
      </c>
    </row>
    <row r="349" spans="1:6" x14ac:dyDescent="0.35">
      <c r="A349" s="9">
        <v>343</v>
      </c>
      <c r="B349" s="23" t="e">
        <f t="shared" si="27"/>
        <v>#NUM!</v>
      </c>
      <c r="C349" s="23" t="e">
        <f t="shared" si="28"/>
        <v>#NUM!</v>
      </c>
      <c r="D349" s="23" t="e">
        <f t="shared" si="29"/>
        <v>#NUM!</v>
      </c>
      <c r="E349" s="28" t="e">
        <f t="shared" si="25"/>
        <v>#NUM!</v>
      </c>
      <c r="F349" s="23" t="e">
        <f t="shared" si="26"/>
        <v>#NUM!</v>
      </c>
    </row>
    <row r="350" spans="1:6" x14ac:dyDescent="0.35">
      <c r="A350" s="9">
        <v>344</v>
      </c>
      <c r="B350" s="23" t="e">
        <f t="shared" si="27"/>
        <v>#NUM!</v>
      </c>
      <c r="C350" s="23" t="e">
        <f t="shared" si="28"/>
        <v>#NUM!</v>
      </c>
      <c r="D350" s="23" t="e">
        <f t="shared" si="29"/>
        <v>#NUM!</v>
      </c>
      <c r="E350" s="28" t="e">
        <f t="shared" si="25"/>
        <v>#NUM!</v>
      </c>
      <c r="F350" s="23" t="e">
        <f t="shared" si="26"/>
        <v>#NUM!</v>
      </c>
    </row>
    <row r="351" spans="1:6" x14ac:dyDescent="0.35">
      <c r="A351" s="9">
        <v>345</v>
      </c>
      <c r="B351" s="23" t="e">
        <f t="shared" si="27"/>
        <v>#NUM!</v>
      </c>
      <c r="C351" s="23" t="e">
        <f t="shared" si="28"/>
        <v>#NUM!</v>
      </c>
      <c r="D351" s="23" t="e">
        <f t="shared" si="29"/>
        <v>#NUM!</v>
      </c>
      <c r="E351" s="28" t="e">
        <f t="shared" si="25"/>
        <v>#NUM!</v>
      </c>
      <c r="F351" s="23" t="e">
        <f t="shared" si="26"/>
        <v>#NUM!</v>
      </c>
    </row>
    <row r="352" spans="1:6" x14ac:dyDescent="0.35">
      <c r="A352" s="9">
        <v>346</v>
      </c>
      <c r="B352" s="23" t="e">
        <f t="shared" si="27"/>
        <v>#NUM!</v>
      </c>
      <c r="C352" s="23" t="e">
        <f t="shared" si="28"/>
        <v>#NUM!</v>
      </c>
      <c r="D352" s="23" t="e">
        <f t="shared" si="29"/>
        <v>#NUM!</v>
      </c>
      <c r="E352" s="28" t="e">
        <f t="shared" si="25"/>
        <v>#NUM!</v>
      </c>
      <c r="F352" s="23" t="e">
        <f t="shared" si="26"/>
        <v>#NUM!</v>
      </c>
    </row>
    <row r="353" spans="1:6" x14ac:dyDescent="0.35">
      <c r="A353" s="9">
        <v>347</v>
      </c>
      <c r="B353" s="23" t="e">
        <f t="shared" si="27"/>
        <v>#NUM!</v>
      </c>
      <c r="C353" s="23" t="e">
        <f t="shared" si="28"/>
        <v>#NUM!</v>
      </c>
      <c r="D353" s="23" t="e">
        <f t="shared" si="29"/>
        <v>#NUM!</v>
      </c>
      <c r="E353" s="28" t="e">
        <f t="shared" si="25"/>
        <v>#NUM!</v>
      </c>
      <c r="F353" s="23" t="e">
        <f t="shared" si="26"/>
        <v>#NUM!</v>
      </c>
    </row>
    <row r="354" spans="1:6" x14ac:dyDescent="0.35">
      <c r="A354" s="9">
        <v>348</v>
      </c>
      <c r="B354" s="23" t="e">
        <f t="shared" si="27"/>
        <v>#NUM!</v>
      </c>
      <c r="C354" s="23" t="e">
        <f t="shared" si="28"/>
        <v>#NUM!</v>
      </c>
      <c r="D354" s="23" t="e">
        <f t="shared" si="29"/>
        <v>#NUM!</v>
      </c>
      <c r="E354" s="28" t="e">
        <f t="shared" si="25"/>
        <v>#NUM!</v>
      </c>
      <c r="F354" s="23" t="e">
        <f t="shared" si="26"/>
        <v>#NUM!</v>
      </c>
    </row>
    <row r="355" spans="1:6" x14ac:dyDescent="0.35">
      <c r="A355" s="9">
        <v>349</v>
      </c>
      <c r="B355" s="23" t="e">
        <f t="shared" si="27"/>
        <v>#NUM!</v>
      </c>
      <c r="C355" s="23" t="e">
        <f t="shared" si="28"/>
        <v>#NUM!</v>
      </c>
      <c r="D355" s="23" t="e">
        <f t="shared" si="29"/>
        <v>#NUM!</v>
      </c>
      <c r="E355" s="28" t="e">
        <f t="shared" si="25"/>
        <v>#NUM!</v>
      </c>
      <c r="F355" s="23" t="e">
        <f t="shared" si="26"/>
        <v>#NUM!</v>
      </c>
    </row>
    <row r="356" spans="1:6" x14ac:dyDescent="0.35">
      <c r="A356" s="9">
        <v>350</v>
      </c>
      <c r="B356" s="23" t="e">
        <f t="shared" si="27"/>
        <v>#NUM!</v>
      </c>
      <c r="C356" s="23" t="e">
        <f t="shared" si="28"/>
        <v>#NUM!</v>
      </c>
      <c r="D356" s="23" t="e">
        <f t="shared" si="29"/>
        <v>#NUM!</v>
      </c>
      <c r="E356" s="28" t="e">
        <f t="shared" si="25"/>
        <v>#NUM!</v>
      </c>
      <c r="F356" s="23" t="e">
        <f t="shared" si="26"/>
        <v>#NUM!</v>
      </c>
    </row>
    <row r="357" spans="1:6" x14ac:dyDescent="0.35">
      <c r="A357" s="9">
        <v>351</v>
      </c>
      <c r="B357" s="23" t="e">
        <f t="shared" si="27"/>
        <v>#NUM!</v>
      </c>
      <c r="C357" s="23" t="e">
        <f t="shared" si="28"/>
        <v>#NUM!</v>
      </c>
      <c r="D357" s="23" t="e">
        <f t="shared" si="29"/>
        <v>#NUM!</v>
      </c>
      <c r="E357" s="28" t="e">
        <f t="shared" si="25"/>
        <v>#NUM!</v>
      </c>
      <c r="F357" s="23" t="e">
        <f t="shared" si="26"/>
        <v>#NUM!</v>
      </c>
    </row>
    <row r="358" spans="1:6" x14ac:dyDescent="0.35">
      <c r="A358" s="9">
        <v>352</v>
      </c>
      <c r="B358" s="23" t="e">
        <f t="shared" si="27"/>
        <v>#NUM!</v>
      </c>
      <c r="C358" s="23" t="e">
        <f t="shared" si="28"/>
        <v>#NUM!</v>
      </c>
      <c r="D358" s="23" t="e">
        <f t="shared" si="29"/>
        <v>#NUM!</v>
      </c>
      <c r="E358" s="28" t="e">
        <f t="shared" si="25"/>
        <v>#NUM!</v>
      </c>
      <c r="F358" s="23" t="e">
        <f t="shared" si="26"/>
        <v>#NUM!</v>
      </c>
    </row>
    <row r="359" spans="1:6" x14ac:dyDescent="0.35">
      <c r="A359" s="9">
        <v>353</v>
      </c>
      <c r="B359" s="23" t="e">
        <f t="shared" si="27"/>
        <v>#NUM!</v>
      </c>
      <c r="C359" s="23" t="e">
        <f t="shared" si="28"/>
        <v>#NUM!</v>
      </c>
      <c r="D359" s="23" t="e">
        <f t="shared" si="29"/>
        <v>#NUM!</v>
      </c>
      <c r="E359" s="28" t="e">
        <f t="shared" si="25"/>
        <v>#NUM!</v>
      </c>
      <c r="F359" s="23" t="e">
        <f t="shared" si="26"/>
        <v>#NUM!</v>
      </c>
    </row>
    <row r="360" spans="1:6" x14ac:dyDescent="0.35">
      <c r="A360" s="9">
        <v>354</v>
      </c>
      <c r="B360" s="23" t="e">
        <f t="shared" si="27"/>
        <v>#NUM!</v>
      </c>
      <c r="C360" s="23" t="e">
        <f t="shared" si="28"/>
        <v>#NUM!</v>
      </c>
      <c r="D360" s="23" t="e">
        <f t="shared" si="29"/>
        <v>#NUM!</v>
      </c>
      <c r="E360" s="28" t="e">
        <f t="shared" si="25"/>
        <v>#NUM!</v>
      </c>
      <c r="F360" s="23" t="e">
        <f t="shared" si="26"/>
        <v>#NUM!</v>
      </c>
    </row>
    <row r="361" spans="1:6" x14ac:dyDescent="0.35">
      <c r="A361" s="9">
        <v>355</v>
      </c>
      <c r="B361" s="23" t="e">
        <f t="shared" si="27"/>
        <v>#NUM!</v>
      </c>
      <c r="C361" s="23" t="e">
        <f t="shared" si="28"/>
        <v>#NUM!</v>
      </c>
      <c r="D361" s="23" t="e">
        <f t="shared" si="29"/>
        <v>#NUM!</v>
      </c>
      <c r="E361" s="28" t="e">
        <f t="shared" si="25"/>
        <v>#NUM!</v>
      </c>
      <c r="F361" s="23" t="e">
        <f t="shared" si="26"/>
        <v>#NUM!</v>
      </c>
    </row>
    <row r="362" spans="1:6" x14ac:dyDescent="0.35">
      <c r="A362" s="9">
        <v>356</v>
      </c>
      <c r="B362" s="23" t="e">
        <f t="shared" si="27"/>
        <v>#NUM!</v>
      </c>
      <c r="C362" s="23" t="e">
        <f t="shared" si="28"/>
        <v>#NUM!</v>
      </c>
      <c r="D362" s="23" t="e">
        <f t="shared" si="29"/>
        <v>#NUM!</v>
      </c>
      <c r="E362" s="28" t="e">
        <f t="shared" si="25"/>
        <v>#NUM!</v>
      </c>
      <c r="F362" s="23" t="e">
        <f t="shared" si="26"/>
        <v>#NUM!</v>
      </c>
    </row>
    <row r="363" spans="1:6" x14ac:dyDescent="0.35">
      <c r="A363" s="9">
        <v>357</v>
      </c>
      <c r="B363" s="23" t="e">
        <f t="shared" si="27"/>
        <v>#NUM!</v>
      </c>
      <c r="C363" s="23" t="e">
        <f t="shared" si="28"/>
        <v>#NUM!</v>
      </c>
      <c r="D363" s="23" t="e">
        <f t="shared" si="29"/>
        <v>#NUM!</v>
      </c>
      <c r="E363" s="28" t="e">
        <f t="shared" si="25"/>
        <v>#NUM!</v>
      </c>
      <c r="F363" s="23" t="e">
        <f t="shared" si="26"/>
        <v>#NUM!</v>
      </c>
    </row>
    <row r="364" spans="1:6" x14ac:dyDescent="0.35">
      <c r="A364" s="9">
        <v>358</v>
      </c>
      <c r="B364" s="23" t="e">
        <f t="shared" si="27"/>
        <v>#NUM!</v>
      </c>
      <c r="C364" s="23" t="e">
        <f t="shared" si="28"/>
        <v>#NUM!</v>
      </c>
      <c r="D364" s="23" t="e">
        <f t="shared" si="29"/>
        <v>#NUM!</v>
      </c>
      <c r="E364" s="28" t="e">
        <f t="shared" si="25"/>
        <v>#NUM!</v>
      </c>
      <c r="F364" s="23" t="e">
        <f t="shared" si="26"/>
        <v>#NUM!</v>
      </c>
    </row>
    <row r="365" spans="1:6" x14ac:dyDescent="0.35">
      <c r="A365" s="9">
        <v>359</v>
      </c>
      <c r="B365" s="23" t="e">
        <f t="shared" si="27"/>
        <v>#NUM!</v>
      </c>
      <c r="C365" s="23" t="e">
        <f t="shared" si="28"/>
        <v>#NUM!</v>
      </c>
      <c r="D365" s="23" t="e">
        <f t="shared" si="29"/>
        <v>#NUM!</v>
      </c>
      <c r="E365" s="28" t="e">
        <f t="shared" si="25"/>
        <v>#NUM!</v>
      </c>
      <c r="F365" s="23" t="e">
        <f t="shared" si="26"/>
        <v>#NUM!</v>
      </c>
    </row>
    <row r="366" spans="1:6" x14ac:dyDescent="0.35">
      <c r="A366" s="9">
        <v>360</v>
      </c>
      <c r="B366" s="23" t="e">
        <f t="shared" si="27"/>
        <v>#NUM!</v>
      </c>
      <c r="C366" s="23" t="e">
        <f t="shared" si="28"/>
        <v>#NUM!</v>
      </c>
      <c r="D366" s="23" t="e">
        <f t="shared" si="29"/>
        <v>#NUM!</v>
      </c>
      <c r="E366" s="28" t="e">
        <f t="shared" si="25"/>
        <v>#NUM!</v>
      </c>
      <c r="F366" s="23" t="e">
        <f t="shared" si="26"/>
        <v>#NUM!</v>
      </c>
    </row>
    <row r="367" spans="1:6" x14ac:dyDescent="0.35">
      <c r="A367" s="9">
        <v>361</v>
      </c>
      <c r="B367" s="23" t="e">
        <f t="shared" ref="B367:B430" si="30">F366</f>
        <v>#NUM!</v>
      </c>
      <c r="C367" s="23" t="e">
        <f t="shared" si="28"/>
        <v>#NUM!</v>
      </c>
      <c r="D367" s="23" t="e">
        <f t="shared" si="29"/>
        <v>#NUM!</v>
      </c>
      <c r="E367" s="28" t="e">
        <f t="shared" si="25"/>
        <v>#NUM!</v>
      </c>
      <c r="F367" s="23" t="e">
        <f t="shared" ref="F367:F430" si="31">B367-D367</f>
        <v>#NUM!</v>
      </c>
    </row>
    <row r="368" spans="1:6" x14ac:dyDescent="0.35">
      <c r="A368" s="9">
        <v>362</v>
      </c>
      <c r="B368" s="23" t="e">
        <f t="shared" si="30"/>
        <v>#NUM!</v>
      </c>
      <c r="C368" s="23" t="e">
        <f t="shared" si="28"/>
        <v>#NUM!</v>
      </c>
      <c r="D368" s="23" t="e">
        <f t="shared" si="29"/>
        <v>#NUM!</v>
      </c>
      <c r="E368" s="28" t="e">
        <f t="shared" si="25"/>
        <v>#NUM!</v>
      </c>
      <c r="F368" s="23" t="e">
        <f t="shared" si="31"/>
        <v>#NUM!</v>
      </c>
    </row>
    <row r="369" spans="1:6" x14ac:dyDescent="0.35">
      <c r="A369" s="9">
        <v>363</v>
      </c>
      <c r="B369" s="23" t="e">
        <f t="shared" si="30"/>
        <v>#NUM!</v>
      </c>
      <c r="C369" s="23" t="e">
        <f t="shared" si="28"/>
        <v>#NUM!</v>
      </c>
      <c r="D369" s="23" t="e">
        <f t="shared" si="29"/>
        <v>#NUM!</v>
      </c>
      <c r="E369" s="28" t="e">
        <f t="shared" si="25"/>
        <v>#NUM!</v>
      </c>
      <c r="F369" s="23" t="e">
        <f t="shared" si="31"/>
        <v>#NUM!</v>
      </c>
    </row>
    <row r="370" spans="1:6" x14ac:dyDescent="0.35">
      <c r="A370" s="9">
        <v>364</v>
      </c>
      <c r="B370" s="23" t="e">
        <f t="shared" si="30"/>
        <v>#NUM!</v>
      </c>
      <c r="C370" s="23" t="e">
        <f t="shared" si="28"/>
        <v>#NUM!</v>
      </c>
      <c r="D370" s="23" t="e">
        <f t="shared" si="29"/>
        <v>#NUM!</v>
      </c>
      <c r="E370" s="28" t="e">
        <f t="shared" si="25"/>
        <v>#NUM!</v>
      </c>
      <c r="F370" s="23" t="e">
        <f t="shared" si="31"/>
        <v>#NUM!</v>
      </c>
    </row>
    <row r="371" spans="1:6" x14ac:dyDescent="0.35">
      <c r="A371" s="9">
        <v>365</v>
      </c>
      <c r="B371" s="23" t="e">
        <f t="shared" si="30"/>
        <v>#NUM!</v>
      </c>
      <c r="C371" s="23" t="e">
        <f t="shared" si="28"/>
        <v>#NUM!</v>
      </c>
      <c r="D371" s="23" t="e">
        <f t="shared" si="29"/>
        <v>#NUM!</v>
      </c>
      <c r="E371" s="28" t="e">
        <f t="shared" si="25"/>
        <v>#NUM!</v>
      </c>
      <c r="F371" s="23" t="e">
        <f t="shared" si="31"/>
        <v>#NUM!</v>
      </c>
    </row>
    <row r="372" spans="1:6" x14ac:dyDescent="0.35">
      <c r="A372" s="9">
        <v>366</v>
      </c>
      <c r="B372" s="23" t="e">
        <f t="shared" si="30"/>
        <v>#NUM!</v>
      </c>
      <c r="C372" s="23" t="e">
        <f t="shared" si="28"/>
        <v>#NUM!</v>
      </c>
      <c r="D372" s="23" t="e">
        <f t="shared" si="29"/>
        <v>#NUM!</v>
      </c>
      <c r="E372" s="28" t="e">
        <f t="shared" si="25"/>
        <v>#NUM!</v>
      </c>
      <c r="F372" s="23" t="e">
        <f t="shared" si="31"/>
        <v>#NUM!</v>
      </c>
    </row>
    <row r="373" spans="1:6" x14ac:dyDescent="0.35">
      <c r="A373" s="9">
        <v>367</v>
      </c>
      <c r="B373" s="23" t="e">
        <f t="shared" si="30"/>
        <v>#NUM!</v>
      </c>
      <c r="C373" s="23" t="e">
        <f t="shared" si="28"/>
        <v>#NUM!</v>
      </c>
      <c r="D373" s="23" t="e">
        <f t="shared" si="29"/>
        <v>#NUM!</v>
      </c>
      <c r="E373" s="28" t="e">
        <f t="shared" si="25"/>
        <v>#NUM!</v>
      </c>
      <c r="F373" s="23" t="e">
        <f t="shared" si="31"/>
        <v>#NUM!</v>
      </c>
    </row>
    <row r="374" spans="1:6" x14ac:dyDescent="0.35">
      <c r="A374" s="9">
        <v>368</v>
      </c>
      <c r="B374" s="23" t="e">
        <f t="shared" si="30"/>
        <v>#NUM!</v>
      </c>
      <c r="C374" s="23" t="e">
        <f t="shared" si="28"/>
        <v>#NUM!</v>
      </c>
      <c r="D374" s="23" t="e">
        <f t="shared" si="29"/>
        <v>#NUM!</v>
      </c>
      <c r="E374" s="28" t="e">
        <f t="shared" si="25"/>
        <v>#NUM!</v>
      </c>
      <c r="F374" s="23" t="e">
        <f t="shared" si="31"/>
        <v>#NUM!</v>
      </c>
    </row>
    <row r="375" spans="1:6" x14ac:dyDescent="0.35">
      <c r="A375" s="9">
        <v>369</v>
      </c>
      <c r="B375" s="23" t="e">
        <f t="shared" si="30"/>
        <v>#NUM!</v>
      </c>
      <c r="C375" s="23" t="e">
        <f t="shared" si="28"/>
        <v>#NUM!</v>
      </c>
      <c r="D375" s="23" t="e">
        <f t="shared" si="29"/>
        <v>#NUM!</v>
      </c>
      <c r="E375" s="28" t="e">
        <f t="shared" si="25"/>
        <v>#NUM!</v>
      </c>
      <c r="F375" s="23" t="e">
        <f t="shared" si="31"/>
        <v>#NUM!</v>
      </c>
    </row>
    <row r="376" spans="1:6" x14ac:dyDescent="0.35">
      <c r="A376" s="9">
        <v>370</v>
      </c>
      <c r="B376" s="23" t="e">
        <f t="shared" si="30"/>
        <v>#NUM!</v>
      </c>
      <c r="C376" s="23" t="e">
        <f t="shared" si="28"/>
        <v>#NUM!</v>
      </c>
      <c r="D376" s="23" t="e">
        <f t="shared" si="29"/>
        <v>#NUM!</v>
      </c>
      <c r="E376" s="28" t="e">
        <f t="shared" si="25"/>
        <v>#NUM!</v>
      </c>
      <c r="F376" s="23" t="e">
        <f t="shared" si="31"/>
        <v>#NUM!</v>
      </c>
    </row>
    <row r="377" spans="1:6" x14ac:dyDescent="0.35">
      <c r="A377" s="9">
        <v>371</v>
      </c>
      <c r="B377" s="23" t="e">
        <f t="shared" si="30"/>
        <v>#NUM!</v>
      </c>
      <c r="C377" s="23" t="e">
        <f t="shared" si="28"/>
        <v>#NUM!</v>
      </c>
      <c r="D377" s="23" t="e">
        <f t="shared" si="29"/>
        <v>#NUM!</v>
      </c>
      <c r="E377" s="28" t="e">
        <f t="shared" si="25"/>
        <v>#NUM!</v>
      </c>
      <c r="F377" s="23" t="e">
        <f t="shared" si="31"/>
        <v>#NUM!</v>
      </c>
    </row>
    <row r="378" spans="1:6" x14ac:dyDescent="0.35">
      <c r="A378" s="9">
        <v>372</v>
      </c>
      <c r="B378" s="23" t="e">
        <f t="shared" si="30"/>
        <v>#NUM!</v>
      </c>
      <c r="C378" s="23" t="e">
        <f t="shared" si="28"/>
        <v>#NUM!</v>
      </c>
      <c r="D378" s="23" t="e">
        <f t="shared" si="29"/>
        <v>#NUM!</v>
      </c>
      <c r="E378" s="28" t="e">
        <f t="shared" si="25"/>
        <v>#NUM!</v>
      </c>
      <c r="F378" s="23" t="e">
        <f t="shared" si="31"/>
        <v>#NUM!</v>
      </c>
    </row>
    <row r="379" spans="1:6" x14ac:dyDescent="0.35">
      <c r="A379" s="9">
        <v>373</v>
      </c>
      <c r="B379" s="23" t="e">
        <f t="shared" si="30"/>
        <v>#NUM!</v>
      </c>
      <c r="C379" s="23" t="e">
        <f t="shared" si="28"/>
        <v>#NUM!</v>
      </c>
      <c r="D379" s="23" t="e">
        <f t="shared" si="29"/>
        <v>#NUM!</v>
      </c>
      <c r="E379" s="28" t="e">
        <f t="shared" si="25"/>
        <v>#NUM!</v>
      </c>
      <c r="F379" s="23" t="e">
        <f t="shared" si="31"/>
        <v>#NUM!</v>
      </c>
    </row>
    <row r="380" spans="1:6" x14ac:dyDescent="0.35">
      <c r="A380" s="9">
        <v>374</v>
      </c>
      <c r="B380" s="23" t="e">
        <f t="shared" si="30"/>
        <v>#NUM!</v>
      </c>
      <c r="C380" s="23" t="e">
        <f t="shared" si="28"/>
        <v>#NUM!</v>
      </c>
      <c r="D380" s="23" t="e">
        <f t="shared" si="29"/>
        <v>#NUM!</v>
      </c>
      <c r="E380" s="28" t="e">
        <f t="shared" si="25"/>
        <v>#NUM!</v>
      </c>
      <c r="F380" s="23" t="e">
        <f t="shared" si="31"/>
        <v>#NUM!</v>
      </c>
    </row>
    <row r="381" spans="1:6" x14ac:dyDescent="0.35">
      <c r="A381" s="9">
        <v>375</v>
      </c>
      <c r="B381" s="23" t="e">
        <f t="shared" si="30"/>
        <v>#NUM!</v>
      </c>
      <c r="C381" s="23" t="e">
        <f t="shared" si="28"/>
        <v>#NUM!</v>
      </c>
      <c r="D381" s="23" t="e">
        <f t="shared" si="29"/>
        <v>#NUM!</v>
      </c>
      <c r="E381" s="28" t="e">
        <f t="shared" si="25"/>
        <v>#NUM!</v>
      </c>
      <c r="F381" s="23" t="e">
        <f t="shared" si="31"/>
        <v>#NUM!</v>
      </c>
    </row>
    <row r="382" spans="1:6" x14ac:dyDescent="0.35">
      <c r="A382" s="9">
        <v>376</v>
      </c>
      <c r="B382" s="23" t="e">
        <f t="shared" si="30"/>
        <v>#NUM!</v>
      </c>
      <c r="C382" s="23" t="e">
        <f t="shared" si="28"/>
        <v>#NUM!</v>
      </c>
      <c r="D382" s="23" t="e">
        <f t="shared" si="29"/>
        <v>#NUM!</v>
      </c>
      <c r="E382" s="28" t="e">
        <f t="shared" si="25"/>
        <v>#NUM!</v>
      </c>
      <c r="F382" s="23" t="e">
        <f t="shared" si="31"/>
        <v>#NUM!</v>
      </c>
    </row>
    <row r="383" spans="1:6" x14ac:dyDescent="0.35">
      <c r="A383" s="9">
        <v>377</v>
      </c>
      <c r="B383" s="23" t="e">
        <f t="shared" si="30"/>
        <v>#NUM!</v>
      </c>
      <c r="C383" s="23" t="e">
        <f t="shared" si="28"/>
        <v>#NUM!</v>
      </c>
      <c r="D383" s="23" t="e">
        <f t="shared" si="29"/>
        <v>#NUM!</v>
      </c>
      <c r="E383" s="28" t="e">
        <f t="shared" si="25"/>
        <v>#NUM!</v>
      </c>
      <c r="F383" s="23" t="e">
        <f t="shared" si="31"/>
        <v>#NUM!</v>
      </c>
    </row>
    <row r="384" spans="1:6" x14ac:dyDescent="0.35">
      <c r="A384" s="9">
        <v>378</v>
      </c>
      <c r="B384" s="23" t="e">
        <f t="shared" si="30"/>
        <v>#NUM!</v>
      </c>
      <c r="C384" s="23" t="e">
        <f t="shared" si="28"/>
        <v>#NUM!</v>
      </c>
      <c r="D384" s="23" t="e">
        <f t="shared" si="29"/>
        <v>#NUM!</v>
      </c>
      <c r="E384" s="28" t="e">
        <f t="shared" si="25"/>
        <v>#NUM!</v>
      </c>
      <c r="F384" s="23" t="e">
        <f t="shared" si="31"/>
        <v>#NUM!</v>
      </c>
    </row>
    <row r="385" spans="1:6" x14ac:dyDescent="0.35">
      <c r="A385" s="9">
        <v>379</v>
      </c>
      <c r="B385" s="23" t="e">
        <f t="shared" si="30"/>
        <v>#NUM!</v>
      </c>
      <c r="C385" s="23" t="e">
        <f t="shared" si="28"/>
        <v>#NUM!</v>
      </c>
      <c r="D385" s="23" t="e">
        <f t="shared" si="29"/>
        <v>#NUM!</v>
      </c>
      <c r="E385" s="28" t="e">
        <f t="shared" si="25"/>
        <v>#NUM!</v>
      </c>
      <c r="F385" s="23" t="e">
        <f t="shared" si="31"/>
        <v>#NUM!</v>
      </c>
    </row>
    <row r="386" spans="1:6" x14ac:dyDescent="0.35">
      <c r="A386" s="9">
        <v>380</v>
      </c>
      <c r="B386" s="23" t="e">
        <f t="shared" si="30"/>
        <v>#NUM!</v>
      </c>
      <c r="C386" s="23" t="e">
        <f t="shared" si="28"/>
        <v>#NUM!</v>
      </c>
      <c r="D386" s="23" t="e">
        <f t="shared" si="29"/>
        <v>#NUM!</v>
      </c>
      <c r="E386" s="28" t="e">
        <f t="shared" si="25"/>
        <v>#NUM!</v>
      </c>
      <c r="F386" s="23" t="e">
        <f t="shared" si="31"/>
        <v>#NUM!</v>
      </c>
    </row>
    <row r="387" spans="1:6" x14ac:dyDescent="0.35">
      <c r="A387" s="9">
        <v>381</v>
      </c>
      <c r="B387" s="23" t="e">
        <f t="shared" si="30"/>
        <v>#NUM!</v>
      </c>
      <c r="C387" s="23" t="e">
        <f t="shared" si="28"/>
        <v>#NUM!</v>
      </c>
      <c r="D387" s="23" t="e">
        <f t="shared" si="29"/>
        <v>#NUM!</v>
      </c>
      <c r="E387" s="28" t="e">
        <f t="shared" si="25"/>
        <v>#NUM!</v>
      </c>
      <c r="F387" s="23" t="e">
        <f t="shared" si="31"/>
        <v>#NUM!</v>
      </c>
    </row>
    <row r="388" spans="1:6" x14ac:dyDescent="0.35">
      <c r="A388" s="9">
        <v>382</v>
      </c>
      <c r="B388" s="23" t="e">
        <f t="shared" si="30"/>
        <v>#NUM!</v>
      </c>
      <c r="C388" s="23" t="e">
        <f t="shared" si="28"/>
        <v>#NUM!</v>
      </c>
      <c r="D388" s="23" t="e">
        <f t="shared" si="29"/>
        <v>#NUM!</v>
      </c>
      <c r="E388" s="28" t="e">
        <f t="shared" si="25"/>
        <v>#NUM!</v>
      </c>
      <c r="F388" s="23" t="e">
        <f t="shared" si="31"/>
        <v>#NUM!</v>
      </c>
    </row>
    <row r="389" spans="1:6" x14ac:dyDescent="0.35">
      <c r="A389" s="9">
        <v>383</v>
      </c>
      <c r="B389" s="23" t="e">
        <f t="shared" si="30"/>
        <v>#NUM!</v>
      </c>
      <c r="C389" s="23" t="e">
        <f t="shared" si="28"/>
        <v>#NUM!</v>
      </c>
      <c r="D389" s="23" t="e">
        <f t="shared" si="29"/>
        <v>#NUM!</v>
      </c>
      <c r="E389" s="28" t="e">
        <f t="shared" si="25"/>
        <v>#NUM!</v>
      </c>
      <c r="F389" s="23" t="e">
        <f t="shared" si="31"/>
        <v>#NUM!</v>
      </c>
    </row>
    <row r="390" spans="1:6" x14ac:dyDescent="0.35">
      <c r="A390" s="9">
        <v>384</v>
      </c>
      <c r="B390" s="23" t="e">
        <f t="shared" si="30"/>
        <v>#NUM!</v>
      </c>
      <c r="C390" s="23" t="e">
        <f t="shared" si="28"/>
        <v>#NUM!</v>
      </c>
      <c r="D390" s="23" t="e">
        <f t="shared" si="29"/>
        <v>#NUM!</v>
      </c>
      <c r="E390" s="28" t="e">
        <f t="shared" si="25"/>
        <v>#NUM!</v>
      </c>
      <c r="F390" s="23" t="e">
        <f t="shared" si="31"/>
        <v>#NUM!</v>
      </c>
    </row>
    <row r="391" spans="1:6" x14ac:dyDescent="0.35">
      <c r="A391" s="9">
        <v>385</v>
      </c>
      <c r="B391" s="23" t="e">
        <f t="shared" si="30"/>
        <v>#NUM!</v>
      </c>
      <c r="C391" s="23" t="e">
        <f t="shared" si="28"/>
        <v>#NUM!</v>
      </c>
      <c r="D391" s="23" t="e">
        <f t="shared" si="29"/>
        <v>#NUM!</v>
      </c>
      <c r="E391" s="28" t="e">
        <f t="shared" si="25"/>
        <v>#NUM!</v>
      </c>
      <c r="F391" s="23" t="e">
        <f t="shared" si="31"/>
        <v>#NUM!</v>
      </c>
    </row>
    <row r="392" spans="1:6" x14ac:dyDescent="0.35">
      <c r="A392" s="9">
        <v>386</v>
      </c>
      <c r="B392" s="23" t="e">
        <f t="shared" si="30"/>
        <v>#NUM!</v>
      </c>
      <c r="C392" s="23" t="e">
        <f t="shared" si="28"/>
        <v>#NUM!</v>
      </c>
      <c r="D392" s="23" t="e">
        <f t="shared" si="29"/>
        <v>#NUM!</v>
      </c>
      <c r="E392" s="28" t="e">
        <f t="shared" ref="E392:E455" si="32">PMT($D$2/12,$D$4,-$D$1,,)</f>
        <v>#NUM!</v>
      </c>
      <c r="F392" s="23" t="e">
        <f t="shared" si="31"/>
        <v>#NUM!</v>
      </c>
    </row>
    <row r="393" spans="1:6" x14ac:dyDescent="0.35">
      <c r="A393" s="9">
        <v>387</v>
      </c>
      <c r="B393" s="23" t="e">
        <f t="shared" si="30"/>
        <v>#NUM!</v>
      </c>
      <c r="C393" s="23" t="e">
        <f t="shared" ref="C393:C456" si="33">($D$2/12)*B393</f>
        <v>#NUM!</v>
      </c>
      <c r="D393" s="23" t="e">
        <f t="shared" ref="D393:D456" si="34">E393-C393</f>
        <v>#NUM!</v>
      </c>
      <c r="E393" s="28" t="e">
        <f t="shared" si="32"/>
        <v>#NUM!</v>
      </c>
      <c r="F393" s="23" t="e">
        <f t="shared" si="31"/>
        <v>#NUM!</v>
      </c>
    </row>
    <row r="394" spans="1:6" x14ac:dyDescent="0.35">
      <c r="A394" s="9">
        <v>388</v>
      </c>
      <c r="B394" s="23" t="e">
        <f t="shared" si="30"/>
        <v>#NUM!</v>
      </c>
      <c r="C394" s="23" t="e">
        <f t="shared" si="33"/>
        <v>#NUM!</v>
      </c>
      <c r="D394" s="23" t="e">
        <f t="shared" si="34"/>
        <v>#NUM!</v>
      </c>
      <c r="E394" s="28" t="e">
        <f t="shared" si="32"/>
        <v>#NUM!</v>
      </c>
      <c r="F394" s="23" t="e">
        <f t="shared" si="31"/>
        <v>#NUM!</v>
      </c>
    </row>
    <row r="395" spans="1:6" x14ac:dyDescent="0.35">
      <c r="A395" s="9">
        <v>389</v>
      </c>
      <c r="B395" s="23" t="e">
        <f t="shared" si="30"/>
        <v>#NUM!</v>
      </c>
      <c r="C395" s="23" t="e">
        <f t="shared" si="33"/>
        <v>#NUM!</v>
      </c>
      <c r="D395" s="23" t="e">
        <f t="shared" si="34"/>
        <v>#NUM!</v>
      </c>
      <c r="E395" s="28" t="e">
        <f t="shared" si="32"/>
        <v>#NUM!</v>
      </c>
      <c r="F395" s="23" t="e">
        <f t="shared" si="31"/>
        <v>#NUM!</v>
      </c>
    </row>
    <row r="396" spans="1:6" x14ac:dyDescent="0.35">
      <c r="A396" s="9">
        <v>390</v>
      </c>
      <c r="B396" s="23" t="e">
        <f t="shared" si="30"/>
        <v>#NUM!</v>
      </c>
      <c r="C396" s="23" t="e">
        <f t="shared" si="33"/>
        <v>#NUM!</v>
      </c>
      <c r="D396" s="23" t="e">
        <f t="shared" si="34"/>
        <v>#NUM!</v>
      </c>
      <c r="E396" s="28" t="e">
        <f t="shared" si="32"/>
        <v>#NUM!</v>
      </c>
      <c r="F396" s="23" t="e">
        <f t="shared" si="31"/>
        <v>#NUM!</v>
      </c>
    </row>
    <row r="397" spans="1:6" x14ac:dyDescent="0.35">
      <c r="A397" s="9">
        <v>391</v>
      </c>
      <c r="B397" s="23" t="e">
        <f t="shared" si="30"/>
        <v>#NUM!</v>
      </c>
      <c r="C397" s="23" t="e">
        <f t="shared" si="33"/>
        <v>#NUM!</v>
      </c>
      <c r="D397" s="23" t="e">
        <f t="shared" si="34"/>
        <v>#NUM!</v>
      </c>
      <c r="E397" s="28" t="e">
        <f t="shared" si="32"/>
        <v>#NUM!</v>
      </c>
      <c r="F397" s="23" t="e">
        <f t="shared" si="31"/>
        <v>#NUM!</v>
      </c>
    </row>
    <row r="398" spans="1:6" x14ac:dyDescent="0.35">
      <c r="A398" s="9">
        <v>392</v>
      </c>
      <c r="B398" s="23" t="e">
        <f t="shared" si="30"/>
        <v>#NUM!</v>
      </c>
      <c r="C398" s="23" t="e">
        <f t="shared" si="33"/>
        <v>#NUM!</v>
      </c>
      <c r="D398" s="23" t="e">
        <f t="shared" si="34"/>
        <v>#NUM!</v>
      </c>
      <c r="E398" s="28" t="e">
        <f t="shared" si="32"/>
        <v>#NUM!</v>
      </c>
      <c r="F398" s="23" t="e">
        <f t="shared" si="31"/>
        <v>#NUM!</v>
      </c>
    </row>
    <row r="399" spans="1:6" x14ac:dyDescent="0.35">
      <c r="A399" s="9">
        <v>393</v>
      </c>
      <c r="B399" s="23" t="e">
        <f t="shared" si="30"/>
        <v>#NUM!</v>
      </c>
      <c r="C399" s="23" t="e">
        <f t="shared" si="33"/>
        <v>#NUM!</v>
      </c>
      <c r="D399" s="23" t="e">
        <f t="shared" si="34"/>
        <v>#NUM!</v>
      </c>
      <c r="E399" s="28" t="e">
        <f t="shared" si="32"/>
        <v>#NUM!</v>
      </c>
      <c r="F399" s="23" t="e">
        <f t="shared" si="31"/>
        <v>#NUM!</v>
      </c>
    </row>
    <row r="400" spans="1:6" x14ac:dyDescent="0.35">
      <c r="A400" s="9">
        <v>394</v>
      </c>
      <c r="B400" s="23" t="e">
        <f t="shared" si="30"/>
        <v>#NUM!</v>
      </c>
      <c r="C400" s="23" t="e">
        <f t="shared" si="33"/>
        <v>#NUM!</v>
      </c>
      <c r="D400" s="23" t="e">
        <f t="shared" si="34"/>
        <v>#NUM!</v>
      </c>
      <c r="E400" s="28" t="e">
        <f t="shared" si="32"/>
        <v>#NUM!</v>
      </c>
      <c r="F400" s="23" t="e">
        <f t="shared" si="31"/>
        <v>#NUM!</v>
      </c>
    </row>
    <row r="401" spans="1:6" x14ac:dyDescent="0.35">
      <c r="A401" s="9">
        <v>395</v>
      </c>
      <c r="B401" s="23" t="e">
        <f t="shared" si="30"/>
        <v>#NUM!</v>
      </c>
      <c r="C401" s="23" t="e">
        <f t="shared" si="33"/>
        <v>#NUM!</v>
      </c>
      <c r="D401" s="23" t="e">
        <f t="shared" si="34"/>
        <v>#NUM!</v>
      </c>
      <c r="E401" s="28" t="e">
        <f t="shared" si="32"/>
        <v>#NUM!</v>
      </c>
      <c r="F401" s="23" t="e">
        <f t="shared" si="31"/>
        <v>#NUM!</v>
      </c>
    </row>
    <row r="402" spans="1:6" x14ac:dyDescent="0.35">
      <c r="A402" s="9">
        <v>396</v>
      </c>
      <c r="B402" s="23" t="e">
        <f t="shared" si="30"/>
        <v>#NUM!</v>
      </c>
      <c r="C402" s="23" t="e">
        <f t="shared" si="33"/>
        <v>#NUM!</v>
      </c>
      <c r="D402" s="23" t="e">
        <f t="shared" si="34"/>
        <v>#NUM!</v>
      </c>
      <c r="E402" s="28" t="e">
        <f t="shared" si="32"/>
        <v>#NUM!</v>
      </c>
      <c r="F402" s="23" t="e">
        <f t="shared" si="31"/>
        <v>#NUM!</v>
      </c>
    </row>
    <row r="403" spans="1:6" x14ac:dyDescent="0.35">
      <c r="A403" s="9">
        <v>397</v>
      </c>
      <c r="B403" s="23" t="e">
        <f t="shared" si="30"/>
        <v>#NUM!</v>
      </c>
      <c r="C403" s="23" t="e">
        <f t="shared" si="33"/>
        <v>#NUM!</v>
      </c>
      <c r="D403" s="23" t="e">
        <f t="shared" si="34"/>
        <v>#NUM!</v>
      </c>
      <c r="E403" s="28" t="e">
        <f t="shared" si="32"/>
        <v>#NUM!</v>
      </c>
      <c r="F403" s="23" t="e">
        <f t="shared" si="31"/>
        <v>#NUM!</v>
      </c>
    </row>
    <row r="404" spans="1:6" x14ac:dyDescent="0.35">
      <c r="A404" s="9">
        <v>398</v>
      </c>
      <c r="B404" s="23" t="e">
        <f t="shared" si="30"/>
        <v>#NUM!</v>
      </c>
      <c r="C404" s="23" t="e">
        <f t="shared" si="33"/>
        <v>#NUM!</v>
      </c>
      <c r="D404" s="23" t="e">
        <f t="shared" si="34"/>
        <v>#NUM!</v>
      </c>
      <c r="E404" s="28" t="e">
        <f t="shared" si="32"/>
        <v>#NUM!</v>
      </c>
      <c r="F404" s="23" t="e">
        <f t="shared" si="31"/>
        <v>#NUM!</v>
      </c>
    </row>
    <row r="405" spans="1:6" x14ac:dyDescent="0.35">
      <c r="A405" s="9">
        <v>399</v>
      </c>
      <c r="B405" s="23" t="e">
        <f t="shared" si="30"/>
        <v>#NUM!</v>
      </c>
      <c r="C405" s="23" t="e">
        <f t="shared" si="33"/>
        <v>#NUM!</v>
      </c>
      <c r="D405" s="23" t="e">
        <f t="shared" si="34"/>
        <v>#NUM!</v>
      </c>
      <c r="E405" s="28" t="e">
        <f t="shared" si="32"/>
        <v>#NUM!</v>
      </c>
      <c r="F405" s="23" t="e">
        <f t="shared" si="31"/>
        <v>#NUM!</v>
      </c>
    </row>
    <row r="406" spans="1:6" x14ac:dyDescent="0.35">
      <c r="A406" s="9">
        <v>400</v>
      </c>
      <c r="B406" s="23" t="e">
        <f t="shared" si="30"/>
        <v>#NUM!</v>
      </c>
      <c r="C406" s="23" t="e">
        <f t="shared" si="33"/>
        <v>#NUM!</v>
      </c>
      <c r="D406" s="23" t="e">
        <f t="shared" si="34"/>
        <v>#NUM!</v>
      </c>
      <c r="E406" s="28" t="e">
        <f t="shared" si="32"/>
        <v>#NUM!</v>
      </c>
      <c r="F406" s="23" t="e">
        <f t="shared" si="31"/>
        <v>#NUM!</v>
      </c>
    </row>
    <row r="407" spans="1:6" x14ac:dyDescent="0.35">
      <c r="A407" s="9">
        <v>401</v>
      </c>
      <c r="B407" s="23" t="e">
        <f t="shared" si="30"/>
        <v>#NUM!</v>
      </c>
      <c r="C407" s="23" t="e">
        <f t="shared" si="33"/>
        <v>#NUM!</v>
      </c>
      <c r="D407" s="23" t="e">
        <f t="shared" si="34"/>
        <v>#NUM!</v>
      </c>
      <c r="E407" s="28" t="e">
        <f t="shared" si="32"/>
        <v>#NUM!</v>
      </c>
      <c r="F407" s="23" t="e">
        <f t="shared" si="31"/>
        <v>#NUM!</v>
      </c>
    </row>
    <row r="408" spans="1:6" x14ac:dyDescent="0.35">
      <c r="A408" s="9">
        <v>402</v>
      </c>
      <c r="B408" s="23" t="e">
        <f t="shared" si="30"/>
        <v>#NUM!</v>
      </c>
      <c r="C408" s="23" t="e">
        <f t="shared" si="33"/>
        <v>#NUM!</v>
      </c>
      <c r="D408" s="23" t="e">
        <f t="shared" si="34"/>
        <v>#NUM!</v>
      </c>
      <c r="E408" s="28" t="e">
        <f t="shared" si="32"/>
        <v>#NUM!</v>
      </c>
      <c r="F408" s="23" t="e">
        <f t="shared" si="31"/>
        <v>#NUM!</v>
      </c>
    </row>
    <row r="409" spans="1:6" x14ac:dyDescent="0.35">
      <c r="A409" s="9">
        <v>403</v>
      </c>
      <c r="B409" s="23" t="e">
        <f t="shared" si="30"/>
        <v>#NUM!</v>
      </c>
      <c r="C409" s="23" t="e">
        <f t="shared" si="33"/>
        <v>#NUM!</v>
      </c>
      <c r="D409" s="23" t="e">
        <f t="shared" si="34"/>
        <v>#NUM!</v>
      </c>
      <c r="E409" s="28" t="e">
        <f t="shared" si="32"/>
        <v>#NUM!</v>
      </c>
      <c r="F409" s="23" t="e">
        <f t="shared" si="31"/>
        <v>#NUM!</v>
      </c>
    </row>
    <row r="410" spans="1:6" x14ac:dyDescent="0.35">
      <c r="A410" s="9">
        <v>404</v>
      </c>
      <c r="B410" s="23" t="e">
        <f t="shared" si="30"/>
        <v>#NUM!</v>
      </c>
      <c r="C410" s="23" t="e">
        <f t="shared" si="33"/>
        <v>#NUM!</v>
      </c>
      <c r="D410" s="23" t="e">
        <f t="shared" si="34"/>
        <v>#NUM!</v>
      </c>
      <c r="E410" s="28" t="e">
        <f t="shared" si="32"/>
        <v>#NUM!</v>
      </c>
      <c r="F410" s="23" t="e">
        <f t="shared" si="31"/>
        <v>#NUM!</v>
      </c>
    </row>
    <row r="411" spans="1:6" x14ac:dyDescent="0.35">
      <c r="A411" s="9">
        <v>405</v>
      </c>
      <c r="B411" s="23" t="e">
        <f t="shared" si="30"/>
        <v>#NUM!</v>
      </c>
      <c r="C411" s="23" t="e">
        <f t="shared" si="33"/>
        <v>#NUM!</v>
      </c>
      <c r="D411" s="23" t="e">
        <f t="shared" si="34"/>
        <v>#NUM!</v>
      </c>
      <c r="E411" s="28" t="e">
        <f t="shared" si="32"/>
        <v>#NUM!</v>
      </c>
      <c r="F411" s="23" t="e">
        <f t="shared" si="31"/>
        <v>#NUM!</v>
      </c>
    </row>
    <row r="412" spans="1:6" x14ac:dyDescent="0.35">
      <c r="A412" s="9">
        <v>406</v>
      </c>
      <c r="B412" s="23" t="e">
        <f t="shared" si="30"/>
        <v>#NUM!</v>
      </c>
      <c r="C412" s="23" t="e">
        <f t="shared" si="33"/>
        <v>#NUM!</v>
      </c>
      <c r="D412" s="23" t="e">
        <f t="shared" si="34"/>
        <v>#NUM!</v>
      </c>
      <c r="E412" s="28" t="e">
        <f t="shared" si="32"/>
        <v>#NUM!</v>
      </c>
      <c r="F412" s="23" t="e">
        <f t="shared" si="31"/>
        <v>#NUM!</v>
      </c>
    </row>
    <row r="413" spans="1:6" x14ac:dyDescent="0.35">
      <c r="A413" s="9">
        <v>407</v>
      </c>
      <c r="B413" s="23" t="e">
        <f t="shared" si="30"/>
        <v>#NUM!</v>
      </c>
      <c r="C413" s="23" t="e">
        <f t="shared" si="33"/>
        <v>#NUM!</v>
      </c>
      <c r="D413" s="23" t="e">
        <f t="shared" si="34"/>
        <v>#NUM!</v>
      </c>
      <c r="E413" s="28" t="e">
        <f t="shared" si="32"/>
        <v>#NUM!</v>
      </c>
      <c r="F413" s="23" t="e">
        <f t="shared" si="31"/>
        <v>#NUM!</v>
      </c>
    </row>
    <row r="414" spans="1:6" x14ac:dyDescent="0.35">
      <c r="A414" s="9">
        <v>408</v>
      </c>
      <c r="B414" s="23" t="e">
        <f t="shared" si="30"/>
        <v>#NUM!</v>
      </c>
      <c r="C414" s="23" t="e">
        <f t="shared" si="33"/>
        <v>#NUM!</v>
      </c>
      <c r="D414" s="23" t="e">
        <f t="shared" si="34"/>
        <v>#NUM!</v>
      </c>
      <c r="E414" s="28" t="e">
        <f t="shared" si="32"/>
        <v>#NUM!</v>
      </c>
      <c r="F414" s="23" t="e">
        <f t="shared" si="31"/>
        <v>#NUM!</v>
      </c>
    </row>
    <row r="415" spans="1:6" x14ac:dyDescent="0.35">
      <c r="A415" s="9">
        <v>409</v>
      </c>
      <c r="B415" s="23" t="e">
        <f t="shared" si="30"/>
        <v>#NUM!</v>
      </c>
      <c r="C415" s="23" t="e">
        <f t="shared" si="33"/>
        <v>#NUM!</v>
      </c>
      <c r="D415" s="23" t="e">
        <f t="shared" si="34"/>
        <v>#NUM!</v>
      </c>
      <c r="E415" s="28" t="e">
        <f t="shared" si="32"/>
        <v>#NUM!</v>
      </c>
      <c r="F415" s="23" t="e">
        <f t="shared" si="31"/>
        <v>#NUM!</v>
      </c>
    </row>
    <row r="416" spans="1:6" x14ac:dyDescent="0.35">
      <c r="A416" s="9">
        <v>410</v>
      </c>
      <c r="B416" s="23" t="e">
        <f t="shared" si="30"/>
        <v>#NUM!</v>
      </c>
      <c r="C416" s="23" t="e">
        <f t="shared" si="33"/>
        <v>#NUM!</v>
      </c>
      <c r="D416" s="23" t="e">
        <f t="shared" si="34"/>
        <v>#NUM!</v>
      </c>
      <c r="E416" s="28" t="e">
        <f t="shared" si="32"/>
        <v>#NUM!</v>
      </c>
      <c r="F416" s="23" t="e">
        <f t="shared" si="31"/>
        <v>#NUM!</v>
      </c>
    </row>
    <row r="417" spans="1:8" x14ac:dyDescent="0.35">
      <c r="A417" s="9">
        <v>411</v>
      </c>
      <c r="B417" s="23" t="e">
        <f t="shared" si="30"/>
        <v>#NUM!</v>
      </c>
      <c r="C417" s="23" t="e">
        <f t="shared" si="33"/>
        <v>#NUM!</v>
      </c>
      <c r="D417" s="23" t="e">
        <f t="shared" si="34"/>
        <v>#NUM!</v>
      </c>
      <c r="E417" s="28" t="e">
        <f t="shared" si="32"/>
        <v>#NUM!</v>
      </c>
      <c r="F417" s="23" t="e">
        <f t="shared" si="31"/>
        <v>#NUM!</v>
      </c>
    </row>
    <row r="418" spans="1:8" x14ac:dyDescent="0.35">
      <c r="A418" s="9">
        <v>412</v>
      </c>
      <c r="B418" s="23" t="e">
        <f t="shared" si="30"/>
        <v>#NUM!</v>
      </c>
      <c r="C418" s="23" t="e">
        <f t="shared" si="33"/>
        <v>#NUM!</v>
      </c>
      <c r="D418" s="23" t="e">
        <f t="shared" si="34"/>
        <v>#NUM!</v>
      </c>
      <c r="E418" s="28" t="e">
        <f t="shared" si="32"/>
        <v>#NUM!</v>
      </c>
      <c r="F418" s="23" t="e">
        <f t="shared" si="31"/>
        <v>#NUM!</v>
      </c>
    </row>
    <row r="419" spans="1:8" x14ac:dyDescent="0.35">
      <c r="A419" s="9">
        <v>413</v>
      </c>
      <c r="B419" s="23" t="e">
        <f t="shared" si="30"/>
        <v>#NUM!</v>
      </c>
      <c r="C419" s="23" t="e">
        <f t="shared" si="33"/>
        <v>#NUM!</v>
      </c>
      <c r="D419" s="23" t="e">
        <f t="shared" si="34"/>
        <v>#NUM!</v>
      </c>
      <c r="E419" s="28" t="e">
        <f t="shared" si="32"/>
        <v>#NUM!</v>
      </c>
      <c r="F419" s="23" t="e">
        <f t="shared" si="31"/>
        <v>#NUM!</v>
      </c>
    </row>
    <row r="420" spans="1:8" x14ac:dyDescent="0.35">
      <c r="A420" s="9">
        <v>414</v>
      </c>
      <c r="B420" s="23" t="e">
        <f t="shared" si="30"/>
        <v>#NUM!</v>
      </c>
      <c r="C420" s="23" t="e">
        <f t="shared" si="33"/>
        <v>#NUM!</v>
      </c>
      <c r="D420" s="23" t="e">
        <f t="shared" si="34"/>
        <v>#NUM!</v>
      </c>
      <c r="E420" s="28" t="e">
        <f t="shared" si="32"/>
        <v>#NUM!</v>
      </c>
      <c r="F420" s="23" t="e">
        <f t="shared" si="31"/>
        <v>#NUM!</v>
      </c>
    </row>
    <row r="421" spans="1:8" x14ac:dyDescent="0.35">
      <c r="A421" s="9">
        <v>415</v>
      </c>
      <c r="B421" s="23" t="e">
        <f t="shared" si="30"/>
        <v>#NUM!</v>
      </c>
      <c r="C421" s="23" t="e">
        <f t="shared" si="33"/>
        <v>#NUM!</v>
      </c>
      <c r="D421" s="23" t="e">
        <f t="shared" si="34"/>
        <v>#NUM!</v>
      </c>
      <c r="E421" s="28" t="e">
        <f t="shared" si="32"/>
        <v>#NUM!</v>
      </c>
      <c r="F421" s="23" t="e">
        <f t="shared" si="31"/>
        <v>#NUM!</v>
      </c>
    </row>
    <row r="422" spans="1:8" x14ac:dyDescent="0.35">
      <c r="A422" s="9">
        <v>416</v>
      </c>
      <c r="B422" s="23" t="e">
        <f t="shared" si="30"/>
        <v>#NUM!</v>
      </c>
      <c r="C422" s="23" t="e">
        <f t="shared" si="33"/>
        <v>#NUM!</v>
      </c>
      <c r="D422" s="23" t="e">
        <f t="shared" si="34"/>
        <v>#NUM!</v>
      </c>
      <c r="E422" s="28" t="e">
        <f t="shared" si="32"/>
        <v>#NUM!</v>
      </c>
      <c r="F422" s="23" t="e">
        <f t="shared" si="31"/>
        <v>#NUM!</v>
      </c>
    </row>
    <row r="423" spans="1:8" x14ac:dyDescent="0.35">
      <c r="A423" s="9">
        <v>417</v>
      </c>
      <c r="B423" s="23" t="e">
        <f t="shared" si="30"/>
        <v>#NUM!</v>
      </c>
      <c r="C423" s="23" t="e">
        <f t="shared" si="33"/>
        <v>#NUM!</v>
      </c>
      <c r="D423" s="23" t="e">
        <f t="shared" si="34"/>
        <v>#NUM!</v>
      </c>
      <c r="E423" s="28" t="e">
        <f t="shared" si="32"/>
        <v>#NUM!</v>
      </c>
      <c r="F423" s="23" t="e">
        <f t="shared" si="31"/>
        <v>#NUM!</v>
      </c>
    </row>
    <row r="424" spans="1:8" x14ac:dyDescent="0.35">
      <c r="A424" s="9">
        <v>418</v>
      </c>
      <c r="B424" s="23" t="e">
        <f t="shared" si="30"/>
        <v>#NUM!</v>
      </c>
      <c r="C424" s="23" t="e">
        <f t="shared" si="33"/>
        <v>#NUM!</v>
      </c>
      <c r="D424" s="23" t="e">
        <f t="shared" si="34"/>
        <v>#NUM!</v>
      </c>
      <c r="E424" s="28" t="e">
        <f t="shared" si="32"/>
        <v>#NUM!</v>
      </c>
      <c r="F424" s="23" t="e">
        <f t="shared" si="31"/>
        <v>#NUM!</v>
      </c>
    </row>
    <row r="425" spans="1:8" x14ac:dyDescent="0.35">
      <c r="A425" s="9">
        <v>419</v>
      </c>
      <c r="B425" s="23" t="e">
        <f t="shared" si="30"/>
        <v>#NUM!</v>
      </c>
      <c r="C425" s="23" t="e">
        <f t="shared" si="33"/>
        <v>#NUM!</v>
      </c>
      <c r="D425" s="23" t="e">
        <f t="shared" si="34"/>
        <v>#NUM!</v>
      </c>
      <c r="E425" s="28" t="e">
        <f t="shared" si="32"/>
        <v>#NUM!</v>
      </c>
      <c r="F425" s="23" t="e">
        <f t="shared" si="31"/>
        <v>#NUM!</v>
      </c>
    </row>
    <row r="426" spans="1:8" x14ac:dyDescent="0.35">
      <c r="A426" s="9">
        <v>420</v>
      </c>
      <c r="B426" s="23" t="e">
        <f t="shared" si="30"/>
        <v>#NUM!</v>
      </c>
      <c r="C426" s="23" t="e">
        <f t="shared" si="33"/>
        <v>#NUM!</v>
      </c>
      <c r="D426" s="23" t="e">
        <f t="shared" si="34"/>
        <v>#NUM!</v>
      </c>
      <c r="E426" s="28" t="e">
        <f t="shared" si="32"/>
        <v>#NUM!</v>
      </c>
      <c r="F426" s="23" t="e">
        <f>B426-D426</f>
        <v>#NUM!</v>
      </c>
      <c r="G426" s="30"/>
      <c r="H426" s="30"/>
    </row>
    <row r="427" spans="1:8" x14ac:dyDescent="0.35">
      <c r="A427" s="9">
        <v>421</v>
      </c>
      <c r="B427" s="23" t="e">
        <f t="shared" si="30"/>
        <v>#NUM!</v>
      </c>
      <c r="C427" s="23" t="e">
        <f t="shared" si="33"/>
        <v>#NUM!</v>
      </c>
      <c r="D427" s="23" t="e">
        <f t="shared" si="34"/>
        <v>#NUM!</v>
      </c>
      <c r="E427" s="28" t="e">
        <f t="shared" si="32"/>
        <v>#NUM!</v>
      </c>
      <c r="F427" s="23" t="e">
        <f t="shared" si="31"/>
        <v>#NUM!</v>
      </c>
    </row>
    <row r="428" spans="1:8" x14ac:dyDescent="0.35">
      <c r="A428" s="9">
        <v>422</v>
      </c>
      <c r="B428" s="23" t="e">
        <f t="shared" si="30"/>
        <v>#NUM!</v>
      </c>
      <c r="C428" s="23" t="e">
        <f t="shared" si="33"/>
        <v>#NUM!</v>
      </c>
      <c r="D428" s="23" t="e">
        <f t="shared" si="34"/>
        <v>#NUM!</v>
      </c>
      <c r="E428" s="28" t="e">
        <f t="shared" si="32"/>
        <v>#NUM!</v>
      </c>
      <c r="F428" s="23" t="e">
        <f t="shared" si="31"/>
        <v>#NUM!</v>
      </c>
    </row>
    <row r="429" spans="1:8" x14ac:dyDescent="0.35">
      <c r="A429" s="9">
        <v>423</v>
      </c>
      <c r="B429" s="23" t="e">
        <f t="shared" si="30"/>
        <v>#NUM!</v>
      </c>
      <c r="C429" s="23" t="e">
        <f t="shared" si="33"/>
        <v>#NUM!</v>
      </c>
      <c r="D429" s="23" t="e">
        <f t="shared" si="34"/>
        <v>#NUM!</v>
      </c>
      <c r="E429" s="28" t="e">
        <f t="shared" si="32"/>
        <v>#NUM!</v>
      </c>
      <c r="F429" s="23" t="e">
        <f t="shared" si="31"/>
        <v>#NUM!</v>
      </c>
    </row>
    <row r="430" spans="1:8" x14ac:dyDescent="0.35">
      <c r="A430" s="9">
        <v>424</v>
      </c>
      <c r="B430" s="23" t="e">
        <f t="shared" si="30"/>
        <v>#NUM!</v>
      </c>
      <c r="C430" s="23" t="e">
        <f t="shared" si="33"/>
        <v>#NUM!</v>
      </c>
      <c r="D430" s="23" t="e">
        <f t="shared" si="34"/>
        <v>#NUM!</v>
      </c>
      <c r="E430" s="28" t="e">
        <f t="shared" si="32"/>
        <v>#NUM!</v>
      </c>
      <c r="F430" s="23" t="e">
        <f t="shared" si="31"/>
        <v>#NUM!</v>
      </c>
    </row>
    <row r="431" spans="1:8" x14ac:dyDescent="0.35">
      <c r="A431" s="9">
        <v>425</v>
      </c>
      <c r="B431" s="23" t="e">
        <f t="shared" ref="B431:B494" si="35">F430</f>
        <v>#NUM!</v>
      </c>
      <c r="C431" s="23" t="e">
        <f t="shared" si="33"/>
        <v>#NUM!</v>
      </c>
      <c r="D431" s="23" t="e">
        <f t="shared" si="34"/>
        <v>#NUM!</v>
      </c>
      <c r="E431" s="28" t="e">
        <f t="shared" si="32"/>
        <v>#NUM!</v>
      </c>
      <c r="F431" s="23" t="e">
        <f t="shared" ref="F431:F494" si="36">B431-D431</f>
        <v>#NUM!</v>
      </c>
    </row>
    <row r="432" spans="1:8" x14ac:dyDescent="0.35">
      <c r="A432" s="9">
        <v>426</v>
      </c>
      <c r="B432" s="23" t="e">
        <f t="shared" si="35"/>
        <v>#NUM!</v>
      </c>
      <c r="C432" s="23" t="e">
        <f t="shared" si="33"/>
        <v>#NUM!</v>
      </c>
      <c r="D432" s="23" t="e">
        <f t="shared" si="34"/>
        <v>#NUM!</v>
      </c>
      <c r="E432" s="28" t="e">
        <f t="shared" si="32"/>
        <v>#NUM!</v>
      </c>
      <c r="F432" s="23" t="e">
        <f t="shared" si="36"/>
        <v>#NUM!</v>
      </c>
    </row>
    <row r="433" spans="1:6" x14ac:dyDescent="0.35">
      <c r="A433" s="9">
        <v>427</v>
      </c>
      <c r="B433" s="23" t="e">
        <f t="shared" si="35"/>
        <v>#NUM!</v>
      </c>
      <c r="C433" s="23" t="e">
        <f t="shared" si="33"/>
        <v>#NUM!</v>
      </c>
      <c r="D433" s="23" t="e">
        <f t="shared" si="34"/>
        <v>#NUM!</v>
      </c>
      <c r="E433" s="28" t="e">
        <f t="shared" si="32"/>
        <v>#NUM!</v>
      </c>
      <c r="F433" s="23" t="e">
        <f t="shared" si="36"/>
        <v>#NUM!</v>
      </c>
    </row>
    <row r="434" spans="1:6" x14ac:dyDescent="0.35">
      <c r="A434" s="9">
        <v>428</v>
      </c>
      <c r="B434" s="23" t="e">
        <f t="shared" si="35"/>
        <v>#NUM!</v>
      </c>
      <c r="C434" s="23" t="e">
        <f t="shared" si="33"/>
        <v>#NUM!</v>
      </c>
      <c r="D434" s="23" t="e">
        <f t="shared" si="34"/>
        <v>#NUM!</v>
      </c>
      <c r="E434" s="28" t="e">
        <f t="shared" si="32"/>
        <v>#NUM!</v>
      </c>
      <c r="F434" s="23" t="e">
        <f t="shared" si="36"/>
        <v>#NUM!</v>
      </c>
    </row>
    <row r="435" spans="1:6" x14ac:dyDescent="0.35">
      <c r="A435" s="9">
        <v>429</v>
      </c>
      <c r="B435" s="23" t="e">
        <f t="shared" si="35"/>
        <v>#NUM!</v>
      </c>
      <c r="C435" s="23" t="e">
        <f t="shared" si="33"/>
        <v>#NUM!</v>
      </c>
      <c r="D435" s="23" t="e">
        <f t="shared" si="34"/>
        <v>#NUM!</v>
      </c>
      <c r="E435" s="28" t="e">
        <f t="shared" si="32"/>
        <v>#NUM!</v>
      </c>
      <c r="F435" s="23" t="e">
        <f t="shared" si="36"/>
        <v>#NUM!</v>
      </c>
    </row>
    <row r="436" spans="1:6" x14ac:dyDescent="0.35">
      <c r="A436" s="9">
        <v>430</v>
      </c>
      <c r="B436" s="23" t="e">
        <f t="shared" si="35"/>
        <v>#NUM!</v>
      </c>
      <c r="C436" s="23" t="e">
        <f t="shared" si="33"/>
        <v>#NUM!</v>
      </c>
      <c r="D436" s="23" t="e">
        <f t="shared" si="34"/>
        <v>#NUM!</v>
      </c>
      <c r="E436" s="28" t="e">
        <f t="shared" si="32"/>
        <v>#NUM!</v>
      </c>
      <c r="F436" s="23" t="e">
        <f t="shared" si="36"/>
        <v>#NUM!</v>
      </c>
    </row>
    <row r="437" spans="1:6" x14ac:dyDescent="0.35">
      <c r="A437" s="9">
        <v>431</v>
      </c>
      <c r="B437" s="23" t="e">
        <f t="shared" si="35"/>
        <v>#NUM!</v>
      </c>
      <c r="C437" s="23" t="e">
        <f t="shared" si="33"/>
        <v>#NUM!</v>
      </c>
      <c r="D437" s="23" t="e">
        <f t="shared" si="34"/>
        <v>#NUM!</v>
      </c>
      <c r="E437" s="28" t="e">
        <f t="shared" si="32"/>
        <v>#NUM!</v>
      </c>
      <c r="F437" s="23" t="e">
        <f t="shared" si="36"/>
        <v>#NUM!</v>
      </c>
    </row>
    <row r="438" spans="1:6" x14ac:dyDescent="0.35">
      <c r="A438" s="9">
        <v>432</v>
      </c>
      <c r="B438" s="23" t="e">
        <f t="shared" si="35"/>
        <v>#NUM!</v>
      </c>
      <c r="C438" s="23" t="e">
        <f t="shared" si="33"/>
        <v>#NUM!</v>
      </c>
      <c r="D438" s="23" t="e">
        <f t="shared" si="34"/>
        <v>#NUM!</v>
      </c>
      <c r="E438" s="28" t="e">
        <f t="shared" si="32"/>
        <v>#NUM!</v>
      </c>
      <c r="F438" s="23" t="e">
        <f t="shared" si="36"/>
        <v>#NUM!</v>
      </c>
    </row>
    <row r="439" spans="1:6" x14ac:dyDescent="0.35">
      <c r="A439" s="9">
        <v>433</v>
      </c>
      <c r="B439" s="23" t="e">
        <f t="shared" si="35"/>
        <v>#NUM!</v>
      </c>
      <c r="C439" s="23" t="e">
        <f t="shared" si="33"/>
        <v>#NUM!</v>
      </c>
      <c r="D439" s="23" t="e">
        <f t="shared" si="34"/>
        <v>#NUM!</v>
      </c>
      <c r="E439" s="28" t="e">
        <f t="shared" si="32"/>
        <v>#NUM!</v>
      </c>
      <c r="F439" s="23" t="e">
        <f t="shared" si="36"/>
        <v>#NUM!</v>
      </c>
    </row>
    <row r="440" spans="1:6" x14ac:dyDescent="0.35">
      <c r="A440" s="9">
        <v>434</v>
      </c>
      <c r="B440" s="23" t="e">
        <f t="shared" si="35"/>
        <v>#NUM!</v>
      </c>
      <c r="C440" s="23" t="e">
        <f t="shared" si="33"/>
        <v>#NUM!</v>
      </c>
      <c r="D440" s="23" t="e">
        <f t="shared" si="34"/>
        <v>#NUM!</v>
      </c>
      <c r="E440" s="28" t="e">
        <f t="shared" si="32"/>
        <v>#NUM!</v>
      </c>
      <c r="F440" s="23" t="e">
        <f t="shared" si="36"/>
        <v>#NUM!</v>
      </c>
    </row>
    <row r="441" spans="1:6" x14ac:dyDescent="0.35">
      <c r="A441" s="9">
        <v>435</v>
      </c>
      <c r="B441" s="23" t="e">
        <f t="shared" si="35"/>
        <v>#NUM!</v>
      </c>
      <c r="C441" s="23" t="e">
        <f t="shared" si="33"/>
        <v>#NUM!</v>
      </c>
      <c r="D441" s="23" t="e">
        <f t="shared" si="34"/>
        <v>#NUM!</v>
      </c>
      <c r="E441" s="28" t="e">
        <f t="shared" si="32"/>
        <v>#NUM!</v>
      </c>
      <c r="F441" s="23" t="e">
        <f t="shared" si="36"/>
        <v>#NUM!</v>
      </c>
    </row>
    <row r="442" spans="1:6" x14ac:dyDescent="0.35">
      <c r="A442" s="9">
        <v>436</v>
      </c>
      <c r="B442" s="23" t="e">
        <f t="shared" si="35"/>
        <v>#NUM!</v>
      </c>
      <c r="C442" s="23" t="e">
        <f t="shared" si="33"/>
        <v>#NUM!</v>
      </c>
      <c r="D442" s="23" t="e">
        <f t="shared" si="34"/>
        <v>#NUM!</v>
      </c>
      <c r="E442" s="28" t="e">
        <f t="shared" si="32"/>
        <v>#NUM!</v>
      </c>
      <c r="F442" s="23" t="e">
        <f t="shared" si="36"/>
        <v>#NUM!</v>
      </c>
    </row>
    <row r="443" spans="1:6" x14ac:dyDescent="0.35">
      <c r="A443" s="9">
        <v>437</v>
      </c>
      <c r="B443" s="23" t="e">
        <f t="shared" si="35"/>
        <v>#NUM!</v>
      </c>
      <c r="C443" s="23" t="e">
        <f t="shared" si="33"/>
        <v>#NUM!</v>
      </c>
      <c r="D443" s="23" t="e">
        <f t="shared" si="34"/>
        <v>#NUM!</v>
      </c>
      <c r="E443" s="28" t="e">
        <f t="shared" si="32"/>
        <v>#NUM!</v>
      </c>
      <c r="F443" s="23" t="e">
        <f t="shared" si="36"/>
        <v>#NUM!</v>
      </c>
    </row>
    <row r="444" spans="1:6" x14ac:dyDescent="0.35">
      <c r="A444" s="9">
        <v>438</v>
      </c>
      <c r="B444" s="23" t="e">
        <f t="shared" si="35"/>
        <v>#NUM!</v>
      </c>
      <c r="C444" s="23" t="e">
        <f t="shared" si="33"/>
        <v>#NUM!</v>
      </c>
      <c r="D444" s="23" t="e">
        <f t="shared" si="34"/>
        <v>#NUM!</v>
      </c>
      <c r="E444" s="28" t="e">
        <f t="shared" si="32"/>
        <v>#NUM!</v>
      </c>
      <c r="F444" s="23" t="e">
        <f t="shared" si="36"/>
        <v>#NUM!</v>
      </c>
    </row>
    <row r="445" spans="1:6" x14ac:dyDescent="0.35">
      <c r="A445" s="9">
        <v>439</v>
      </c>
      <c r="B445" s="23" t="e">
        <f t="shared" si="35"/>
        <v>#NUM!</v>
      </c>
      <c r="C445" s="23" t="e">
        <f t="shared" si="33"/>
        <v>#NUM!</v>
      </c>
      <c r="D445" s="23" t="e">
        <f t="shared" si="34"/>
        <v>#NUM!</v>
      </c>
      <c r="E445" s="28" t="e">
        <f t="shared" si="32"/>
        <v>#NUM!</v>
      </c>
      <c r="F445" s="23" t="e">
        <f t="shared" si="36"/>
        <v>#NUM!</v>
      </c>
    </row>
    <row r="446" spans="1:6" x14ac:dyDescent="0.35">
      <c r="A446" s="9">
        <v>440</v>
      </c>
      <c r="B446" s="23" t="e">
        <f t="shared" si="35"/>
        <v>#NUM!</v>
      </c>
      <c r="C446" s="23" t="e">
        <f t="shared" si="33"/>
        <v>#NUM!</v>
      </c>
      <c r="D446" s="23" t="e">
        <f t="shared" si="34"/>
        <v>#NUM!</v>
      </c>
      <c r="E446" s="28" t="e">
        <f t="shared" si="32"/>
        <v>#NUM!</v>
      </c>
      <c r="F446" s="23" t="e">
        <f t="shared" si="36"/>
        <v>#NUM!</v>
      </c>
    </row>
    <row r="447" spans="1:6" x14ac:dyDescent="0.35">
      <c r="A447" s="9">
        <v>441</v>
      </c>
      <c r="B447" s="23" t="e">
        <f t="shared" si="35"/>
        <v>#NUM!</v>
      </c>
      <c r="C447" s="23" t="e">
        <f t="shared" si="33"/>
        <v>#NUM!</v>
      </c>
      <c r="D447" s="23" t="e">
        <f t="shared" si="34"/>
        <v>#NUM!</v>
      </c>
      <c r="E447" s="28" t="e">
        <f t="shared" si="32"/>
        <v>#NUM!</v>
      </c>
      <c r="F447" s="23" t="e">
        <f t="shared" si="36"/>
        <v>#NUM!</v>
      </c>
    </row>
    <row r="448" spans="1:6" x14ac:dyDescent="0.35">
      <c r="A448" s="9">
        <v>442</v>
      </c>
      <c r="B448" s="23" t="e">
        <f t="shared" si="35"/>
        <v>#NUM!</v>
      </c>
      <c r="C448" s="23" t="e">
        <f t="shared" si="33"/>
        <v>#NUM!</v>
      </c>
      <c r="D448" s="23" t="e">
        <f t="shared" si="34"/>
        <v>#NUM!</v>
      </c>
      <c r="E448" s="28" t="e">
        <f t="shared" si="32"/>
        <v>#NUM!</v>
      </c>
      <c r="F448" s="23" t="e">
        <f t="shared" si="36"/>
        <v>#NUM!</v>
      </c>
    </row>
    <row r="449" spans="1:6" x14ac:dyDescent="0.35">
      <c r="A449" s="9">
        <v>443</v>
      </c>
      <c r="B449" s="23" t="e">
        <f t="shared" si="35"/>
        <v>#NUM!</v>
      </c>
      <c r="C449" s="23" t="e">
        <f t="shared" si="33"/>
        <v>#NUM!</v>
      </c>
      <c r="D449" s="23" t="e">
        <f t="shared" si="34"/>
        <v>#NUM!</v>
      </c>
      <c r="E449" s="28" t="e">
        <f t="shared" si="32"/>
        <v>#NUM!</v>
      </c>
      <c r="F449" s="23" t="e">
        <f t="shared" si="36"/>
        <v>#NUM!</v>
      </c>
    </row>
    <row r="450" spans="1:6" x14ac:dyDescent="0.35">
      <c r="A450" s="9">
        <v>444</v>
      </c>
      <c r="B450" s="23" t="e">
        <f t="shared" si="35"/>
        <v>#NUM!</v>
      </c>
      <c r="C450" s="23" t="e">
        <f t="shared" si="33"/>
        <v>#NUM!</v>
      </c>
      <c r="D450" s="23" t="e">
        <f t="shared" si="34"/>
        <v>#NUM!</v>
      </c>
      <c r="E450" s="28" t="e">
        <f t="shared" si="32"/>
        <v>#NUM!</v>
      </c>
      <c r="F450" s="23" t="e">
        <f t="shared" si="36"/>
        <v>#NUM!</v>
      </c>
    </row>
    <row r="451" spans="1:6" x14ac:dyDescent="0.35">
      <c r="A451" s="9">
        <v>445</v>
      </c>
      <c r="B451" s="23" t="e">
        <f t="shared" si="35"/>
        <v>#NUM!</v>
      </c>
      <c r="C451" s="23" t="e">
        <f t="shared" si="33"/>
        <v>#NUM!</v>
      </c>
      <c r="D451" s="23" t="e">
        <f t="shared" si="34"/>
        <v>#NUM!</v>
      </c>
      <c r="E451" s="28" t="e">
        <f t="shared" si="32"/>
        <v>#NUM!</v>
      </c>
      <c r="F451" s="23" t="e">
        <f t="shared" si="36"/>
        <v>#NUM!</v>
      </c>
    </row>
    <row r="452" spans="1:6" x14ac:dyDescent="0.35">
      <c r="A452" s="9">
        <v>446</v>
      </c>
      <c r="B452" s="23" t="e">
        <f t="shared" si="35"/>
        <v>#NUM!</v>
      </c>
      <c r="C452" s="23" t="e">
        <f t="shared" si="33"/>
        <v>#NUM!</v>
      </c>
      <c r="D452" s="23" t="e">
        <f t="shared" si="34"/>
        <v>#NUM!</v>
      </c>
      <c r="E452" s="28" t="e">
        <f t="shared" si="32"/>
        <v>#NUM!</v>
      </c>
      <c r="F452" s="23" t="e">
        <f t="shared" si="36"/>
        <v>#NUM!</v>
      </c>
    </row>
    <row r="453" spans="1:6" x14ac:dyDescent="0.35">
      <c r="A453" s="9">
        <v>447</v>
      </c>
      <c r="B453" s="23" t="e">
        <f t="shared" si="35"/>
        <v>#NUM!</v>
      </c>
      <c r="C453" s="23" t="e">
        <f t="shared" si="33"/>
        <v>#NUM!</v>
      </c>
      <c r="D453" s="23" t="e">
        <f t="shared" si="34"/>
        <v>#NUM!</v>
      </c>
      <c r="E453" s="28" t="e">
        <f t="shared" si="32"/>
        <v>#NUM!</v>
      </c>
      <c r="F453" s="23" t="e">
        <f t="shared" si="36"/>
        <v>#NUM!</v>
      </c>
    </row>
    <row r="454" spans="1:6" x14ac:dyDescent="0.35">
      <c r="A454" s="9">
        <v>448</v>
      </c>
      <c r="B454" s="23" t="e">
        <f t="shared" si="35"/>
        <v>#NUM!</v>
      </c>
      <c r="C454" s="23" t="e">
        <f t="shared" si="33"/>
        <v>#NUM!</v>
      </c>
      <c r="D454" s="23" t="e">
        <f t="shared" si="34"/>
        <v>#NUM!</v>
      </c>
      <c r="E454" s="28" t="e">
        <f t="shared" si="32"/>
        <v>#NUM!</v>
      </c>
      <c r="F454" s="23" t="e">
        <f t="shared" si="36"/>
        <v>#NUM!</v>
      </c>
    </row>
    <row r="455" spans="1:6" x14ac:dyDescent="0.35">
      <c r="A455" s="9">
        <v>449</v>
      </c>
      <c r="B455" s="23" t="e">
        <f t="shared" si="35"/>
        <v>#NUM!</v>
      </c>
      <c r="C455" s="23" t="e">
        <f t="shared" si="33"/>
        <v>#NUM!</v>
      </c>
      <c r="D455" s="23" t="e">
        <f t="shared" si="34"/>
        <v>#NUM!</v>
      </c>
      <c r="E455" s="28" t="e">
        <f t="shared" si="32"/>
        <v>#NUM!</v>
      </c>
      <c r="F455" s="23" t="e">
        <f t="shared" si="36"/>
        <v>#NUM!</v>
      </c>
    </row>
    <row r="456" spans="1:6" x14ac:dyDescent="0.35">
      <c r="A456" s="9">
        <v>450</v>
      </c>
      <c r="B456" s="23" t="e">
        <f t="shared" si="35"/>
        <v>#NUM!</v>
      </c>
      <c r="C456" s="23" t="e">
        <f t="shared" si="33"/>
        <v>#NUM!</v>
      </c>
      <c r="D456" s="23" t="e">
        <f t="shared" si="34"/>
        <v>#NUM!</v>
      </c>
      <c r="E456" s="28" t="e">
        <f t="shared" ref="E456:E519" si="37">PMT($D$2/12,$D$4,-$D$1,,)</f>
        <v>#NUM!</v>
      </c>
      <c r="F456" s="23" t="e">
        <f t="shared" si="36"/>
        <v>#NUM!</v>
      </c>
    </row>
    <row r="457" spans="1:6" x14ac:dyDescent="0.35">
      <c r="A457" s="9">
        <v>451</v>
      </c>
      <c r="B457" s="23" t="e">
        <f t="shared" si="35"/>
        <v>#NUM!</v>
      </c>
      <c r="C457" s="23" t="e">
        <f t="shared" ref="C457:C520" si="38">($D$2/12)*B457</f>
        <v>#NUM!</v>
      </c>
      <c r="D457" s="23" t="e">
        <f t="shared" ref="D457:D520" si="39">E457-C457</f>
        <v>#NUM!</v>
      </c>
      <c r="E457" s="28" t="e">
        <f t="shared" si="37"/>
        <v>#NUM!</v>
      </c>
      <c r="F457" s="23" t="e">
        <f t="shared" si="36"/>
        <v>#NUM!</v>
      </c>
    </row>
    <row r="458" spans="1:6" x14ac:dyDescent="0.35">
      <c r="A458" s="9">
        <v>452</v>
      </c>
      <c r="B458" s="23" t="e">
        <f t="shared" si="35"/>
        <v>#NUM!</v>
      </c>
      <c r="C458" s="23" t="e">
        <f t="shared" si="38"/>
        <v>#NUM!</v>
      </c>
      <c r="D458" s="23" t="e">
        <f t="shared" si="39"/>
        <v>#NUM!</v>
      </c>
      <c r="E458" s="28" t="e">
        <f t="shared" si="37"/>
        <v>#NUM!</v>
      </c>
      <c r="F458" s="23" t="e">
        <f t="shared" si="36"/>
        <v>#NUM!</v>
      </c>
    </row>
    <row r="459" spans="1:6" x14ac:dyDescent="0.35">
      <c r="A459" s="9">
        <v>453</v>
      </c>
      <c r="B459" s="23" t="e">
        <f t="shared" si="35"/>
        <v>#NUM!</v>
      </c>
      <c r="C459" s="23" t="e">
        <f t="shared" si="38"/>
        <v>#NUM!</v>
      </c>
      <c r="D459" s="23" t="e">
        <f t="shared" si="39"/>
        <v>#NUM!</v>
      </c>
      <c r="E459" s="28" t="e">
        <f t="shared" si="37"/>
        <v>#NUM!</v>
      </c>
      <c r="F459" s="23" t="e">
        <f t="shared" si="36"/>
        <v>#NUM!</v>
      </c>
    </row>
    <row r="460" spans="1:6" x14ac:dyDescent="0.35">
      <c r="A460" s="9">
        <v>454</v>
      </c>
      <c r="B460" s="23" t="e">
        <f t="shared" si="35"/>
        <v>#NUM!</v>
      </c>
      <c r="C460" s="23" t="e">
        <f t="shared" si="38"/>
        <v>#NUM!</v>
      </c>
      <c r="D460" s="23" t="e">
        <f t="shared" si="39"/>
        <v>#NUM!</v>
      </c>
      <c r="E460" s="28" t="e">
        <f t="shared" si="37"/>
        <v>#NUM!</v>
      </c>
      <c r="F460" s="23" t="e">
        <f t="shared" si="36"/>
        <v>#NUM!</v>
      </c>
    </row>
    <row r="461" spans="1:6" x14ac:dyDescent="0.35">
      <c r="A461" s="9">
        <v>455</v>
      </c>
      <c r="B461" s="23" t="e">
        <f t="shared" si="35"/>
        <v>#NUM!</v>
      </c>
      <c r="C461" s="23" t="e">
        <f t="shared" si="38"/>
        <v>#NUM!</v>
      </c>
      <c r="D461" s="23" t="e">
        <f t="shared" si="39"/>
        <v>#NUM!</v>
      </c>
      <c r="E461" s="28" t="e">
        <f t="shared" si="37"/>
        <v>#NUM!</v>
      </c>
      <c r="F461" s="23" t="e">
        <f t="shared" si="36"/>
        <v>#NUM!</v>
      </c>
    </row>
    <row r="462" spans="1:6" x14ac:dyDescent="0.35">
      <c r="A462" s="9">
        <v>456</v>
      </c>
      <c r="B462" s="23" t="e">
        <f t="shared" si="35"/>
        <v>#NUM!</v>
      </c>
      <c r="C462" s="23" t="e">
        <f t="shared" si="38"/>
        <v>#NUM!</v>
      </c>
      <c r="D462" s="23" t="e">
        <f t="shared" si="39"/>
        <v>#NUM!</v>
      </c>
      <c r="E462" s="28" t="e">
        <f t="shared" si="37"/>
        <v>#NUM!</v>
      </c>
      <c r="F462" s="23" t="e">
        <f t="shared" si="36"/>
        <v>#NUM!</v>
      </c>
    </row>
    <row r="463" spans="1:6" x14ac:dyDescent="0.35">
      <c r="A463" s="9">
        <v>457</v>
      </c>
      <c r="B463" s="23" t="e">
        <f t="shared" si="35"/>
        <v>#NUM!</v>
      </c>
      <c r="C463" s="23" t="e">
        <f t="shared" si="38"/>
        <v>#NUM!</v>
      </c>
      <c r="D463" s="23" t="e">
        <f t="shared" si="39"/>
        <v>#NUM!</v>
      </c>
      <c r="E463" s="28" t="e">
        <f t="shared" si="37"/>
        <v>#NUM!</v>
      </c>
      <c r="F463" s="23" t="e">
        <f t="shared" si="36"/>
        <v>#NUM!</v>
      </c>
    </row>
    <row r="464" spans="1:6" x14ac:dyDescent="0.35">
      <c r="A464" s="9">
        <v>458</v>
      </c>
      <c r="B464" s="23" t="e">
        <f t="shared" si="35"/>
        <v>#NUM!</v>
      </c>
      <c r="C464" s="23" t="e">
        <f t="shared" si="38"/>
        <v>#NUM!</v>
      </c>
      <c r="D464" s="23" t="e">
        <f t="shared" si="39"/>
        <v>#NUM!</v>
      </c>
      <c r="E464" s="28" t="e">
        <f t="shared" si="37"/>
        <v>#NUM!</v>
      </c>
      <c r="F464" s="23" t="e">
        <f t="shared" si="36"/>
        <v>#NUM!</v>
      </c>
    </row>
    <row r="465" spans="1:6" x14ac:dyDescent="0.35">
      <c r="A465" s="9">
        <v>459</v>
      </c>
      <c r="B465" s="23" t="e">
        <f t="shared" si="35"/>
        <v>#NUM!</v>
      </c>
      <c r="C465" s="23" t="e">
        <f t="shared" si="38"/>
        <v>#NUM!</v>
      </c>
      <c r="D465" s="23" t="e">
        <f t="shared" si="39"/>
        <v>#NUM!</v>
      </c>
      <c r="E465" s="28" t="e">
        <f t="shared" si="37"/>
        <v>#NUM!</v>
      </c>
      <c r="F465" s="23" t="e">
        <f t="shared" si="36"/>
        <v>#NUM!</v>
      </c>
    </row>
    <row r="466" spans="1:6" x14ac:dyDescent="0.35">
      <c r="A466" s="9">
        <v>460</v>
      </c>
      <c r="B466" s="23" t="e">
        <f t="shared" si="35"/>
        <v>#NUM!</v>
      </c>
      <c r="C466" s="23" t="e">
        <f t="shared" si="38"/>
        <v>#NUM!</v>
      </c>
      <c r="D466" s="23" t="e">
        <f t="shared" si="39"/>
        <v>#NUM!</v>
      </c>
      <c r="E466" s="28" t="e">
        <f t="shared" si="37"/>
        <v>#NUM!</v>
      </c>
      <c r="F466" s="23" t="e">
        <f t="shared" si="36"/>
        <v>#NUM!</v>
      </c>
    </row>
    <row r="467" spans="1:6" x14ac:dyDescent="0.35">
      <c r="A467" s="9">
        <v>461</v>
      </c>
      <c r="B467" s="23" t="e">
        <f t="shared" si="35"/>
        <v>#NUM!</v>
      </c>
      <c r="C467" s="23" t="e">
        <f t="shared" si="38"/>
        <v>#NUM!</v>
      </c>
      <c r="D467" s="23" t="e">
        <f t="shared" si="39"/>
        <v>#NUM!</v>
      </c>
      <c r="E467" s="28" t="e">
        <f t="shared" si="37"/>
        <v>#NUM!</v>
      </c>
      <c r="F467" s="23" t="e">
        <f t="shared" si="36"/>
        <v>#NUM!</v>
      </c>
    </row>
    <row r="468" spans="1:6" x14ac:dyDescent="0.35">
      <c r="A468" s="9">
        <v>462</v>
      </c>
      <c r="B468" s="23" t="e">
        <f t="shared" si="35"/>
        <v>#NUM!</v>
      </c>
      <c r="C468" s="23" t="e">
        <f t="shared" si="38"/>
        <v>#NUM!</v>
      </c>
      <c r="D468" s="23" t="e">
        <f t="shared" si="39"/>
        <v>#NUM!</v>
      </c>
      <c r="E468" s="28" t="e">
        <f t="shared" si="37"/>
        <v>#NUM!</v>
      </c>
      <c r="F468" s="23" t="e">
        <f t="shared" si="36"/>
        <v>#NUM!</v>
      </c>
    </row>
    <row r="469" spans="1:6" x14ac:dyDescent="0.35">
      <c r="A469" s="9">
        <v>463</v>
      </c>
      <c r="B469" s="23" t="e">
        <f t="shared" si="35"/>
        <v>#NUM!</v>
      </c>
      <c r="C469" s="23" t="e">
        <f t="shared" si="38"/>
        <v>#NUM!</v>
      </c>
      <c r="D469" s="23" t="e">
        <f t="shared" si="39"/>
        <v>#NUM!</v>
      </c>
      <c r="E469" s="28" t="e">
        <f t="shared" si="37"/>
        <v>#NUM!</v>
      </c>
      <c r="F469" s="23" t="e">
        <f t="shared" si="36"/>
        <v>#NUM!</v>
      </c>
    </row>
    <row r="470" spans="1:6" x14ac:dyDescent="0.35">
      <c r="A470" s="9">
        <v>464</v>
      </c>
      <c r="B470" s="23" t="e">
        <f t="shared" si="35"/>
        <v>#NUM!</v>
      </c>
      <c r="C470" s="23" t="e">
        <f t="shared" si="38"/>
        <v>#NUM!</v>
      </c>
      <c r="D470" s="23" t="e">
        <f t="shared" si="39"/>
        <v>#NUM!</v>
      </c>
      <c r="E470" s="28" t="e">
        <f t="shared" si="37"/>
        <v>#NUM!</v>
      </c>
      <c r="F470" s="23" t="e">
        <f t="shared" si="36"/>
        <v>#NUM!</v>
      </c>
    </row>
    <row r="471" spans="1:6" x14ac:dyDescent="0.35">
      <c r="A471" s="9">
        <v>465</v>
      </c>
      <c r="B471" s="23" t="e">
        <f t="shared" si="35"/>
        <v>#NUM!</v>
      </c>
      <c r="C471" s="23" t="e">
        <f t="shared" si="38"/>
        <v>#NUM!</v>
      </c>
      <c r="D471" s="23" t="e">
        <f t="shared" si="39"/>
        <v>#NUM!</v>
      </c>
      <c r="E471" s="28" t="e">
        <f t="shared" si="37"/>
        <v>#NUM!</v>
      </c>
      <c r="F471" s="23" t="e">
        <f t="shared" si="36"/>
        <v>#NUM!</v>
      </c>
    </row>
    <row r="472" spans="1:6" x14ac:dyDescent="0.35">
      <c r="A472" s="9">
        <v>466</v>
      </c>
      <c r="B472" s="23" t="e">
        <f t="shared" si="35"/>
        <v>#NUM!</v>
      </c>
      <c r="C472" s="23" t="e">
        <f t="shared" si="38"/>
        <v>#NUM!</v>
      </c>
      <c r="D472" s="23" t="e">
        <f t="shared" si="39"/>
        <v>#NUM!</v>
      </c>
      <c r="E472" s="28" t="e">
        <f t="shared" si="37"/>
        <v>#NUM!</v>
      </c>
      <c r="F472" s="23" t="e">
        <f t="shared" si="36"/>
        <v>#NUM!</v>
      </c>
    </row>
    <row r="473" spans="1:6" x14ac:dyDescent="0.35">
      <c r="A473" s="9">
        <v>467</v>
      </c>
      <c r="B473" s="23" t="e">
        <f t="shared" si="35"/>
        <v>#NUM!</v>
      </c>
      <c r="C473" s="23" t="e">
        <f t="shared" si="38"/>
        <v>#NUM!</v>
      </c>
      <c r="D473" s="23" t="e">
        <f t="shared" si="39"/>
        <v>#NUM!</v>
      </c>
      <c r="E473" s="28" t="e">
        <f t="shared" si="37"/>
        <v>#NUM!</v>
      </c>
      <c r="F473" s="23" t="e">
        <f t="shared" si="36"/>
        <v>#NUM!</v>
      </c>
    </row>
    <row r="474" spans="1:6" x14ac:dyDescent="0.35">
      <c r="A474" s="9">
        <v>468</v>
      </c>
      <c r="B474" s="23" t="e">
        <f t="shared" si="35"/>
        <v>#NUM!</v>
      </c>
      <c r="C474" s="23" t="e">
        <f t="shared" si="38"/>
        <v>#NUM!</v>
      </c>
      <c r="D474" s="23" t="e">
        <f t="shared" si="39"/>
        <v>#NUM!</v>
      </c>
      <c r="E474" s="28" t="e">
        <f t="shared" si="37"/>
        <v>#NUM!</v>
      </c>
      <c r="F474" s="23" t="e">
        <f t="shared" si="36"/>
        <v>#NUM!</v>
      </c>
    </row>
    <row r="475" spans="1:6" x14ac:dyDescent="0.35">
      <c r="A475" s="9">
        <v>469</v>
      </c>
      <c r="B475" s="23" t="e">
        <f t="shared" si="35"/>
        <v>#NUM!</v>
      </c>
      <c r="C475" s="23" t="e">
        <f t="shared" si="38"/>
        <v>#NUM!</v>
      </c>
      <c r="D475" s="23" t="e">
        <f t="shared" si="39"/>
        <v>#NUM!</v>
      </c>
      <c r="E475" s="28" t="e">
        <f t="shared" si="37"/>
        <v>#NUM!</v>
      </c>
      <c r="F475" s="23" t="e">
        <f t="shared" si="36"/>
        <v>#NUM!</v>
      </c>
    </row>
    <row r="476" spans="1:6" x14ac:dyDescent="0.35">
      <c r="A476" s="9">
        <v>470</v>
      </c>
      <c r="B476" s="23" t="e">
        <f t="shared" si="35"/>
        <v>#NUM!</v>
      </c>
      <c r="C476" s="23" t="e">
        <f t="shared" si="38"/>
        <v>#NUM!</v>
      </c>
      <c r="D476" s="23" t="e">
        <f t="shared" si="39"/>
        <v>#NUM!</v>
      </c>
      <c r="E476" s="28" t="e">
        <f t="shared" si="37"/>
        <v>#NUM!</v>
      </c>
      <c r="F476" s="23" t="e">
        <f t="shared" si="36"/>
        <v>#NUM!</v>
      </c>
    </row>
    <row r="477" spans="1:6" x14ac:dyDescent="0.35">
      <c r="A477" s="9">
        <v>471</v>
      </c>
      <c r="B477" s="23" t="e">
        <f t="shared" si="35"/>
        <v>#NUM!</v>
      </c>
      <c r="C477" s="23" t="e">
        <f t="shared" si="38"/>
        <v>#NUM!</v>
      </c>
      <c r="D477" s="23" t="e">
        <f t="shared" si="39"/>
        <v>#NUM!</v>
      </c>
      <c r="E477" s="28" t="e">
        <f t="shared" si="37"/>
        <v>#NUM!</v>
      </c>
      <c r="F477" s="23" t="e">
        <f t="shared" si="36"/>
        <v>#NUM!</v>
      </c>
    </row>
    <row r="478" spans="1:6" x14ac:dyDescent="0.35">
      <c r="A478" s="9">
        <v>472</v>
      </c>
      <c r="B478" s="23" t="e">
        <f t="shared" si="35"/>
        <v>#NUM!</v>
      </c>
      <c r="C478" s="23" t="e">
        <f t="shared" si="38"/>
        <v>#NUM!</v>
      </c>
      <c r="D478" s="23" t="e">
        <f t="shared" si="39"/>
        <v>#NUM!</v>
      </c>
      <c r="E478" s="28" t="e">
        <f t="shared" si="37"/>
        <v>#NUM!</v>
      </c>
      <c r="F478" s="23" t="e">
        <f t="shared" si="36"/>
        <v>#NUM!</v>
      </c>
    </row>
    <row r="479" spans="1:6" x14ac:dyDescent="0.35">
      <c r="A479" s="9">
        <v>473</v>
      </c>
      <c r="B479" s="23" t="e">
        <f t="shared" si="35"/>
        <v>#NUM!</v>
      </c>
      <c r="C479" s="23" t="e">
        <f t="shared" si="38"/>
        <v>#NUM!</v>
      </c>
      <c r="D479" s="23" t="e">
        <f t="shared" si="39"/>
        <v>#NUM!</v>
      </c>
      <c r="E479" s="28" t="e">
        <f t="shared" si="37"/>
        <v>#NUM!</v>
      </c>
      <c r="F479" s="23" t="e">
        <f t="shared" si="36"/>
        <v>#NUM!</v>
      </c>
    </row>
    <row r="480" spans="1:6" x14ac:dyDescent="0.35">
      <c r="A480" s="9">
        <v>474</v>
      </c>
      <c r="B480" s="23" t="e">
        <f t="shared" si="35"/>
        <v>#NUM!</v>
      </c>
      <c r="C480" s="23" t="e">
        <f t="shared" si="38"/>
        <v>#NUM!</v>
      </c>
      <c r="D480" s="23" t="e">
        <f t="shared" si="39"/>
        <v>#NUM!</v>
      </c>
      <c r="E480" s="28" t="e">
        <f t="shared" si="37"/>
        <v>#NUM!</v>
      </c>
      <c r="F480" s="23" t="e">
        <f t="shared" si="36"/>
        <v>#NUM!</v>
      </c>
    </row>
    <row r="481" spans="1:6" x14ac:dyDescent="0.35">
      <c r="A481" s="9">
        <v>475</v>
      </c>
      <c r="B481" s="23" t="e">
        <f t="shared" si="35"/>
        <v>#NUM!</v>
      </c>
      <c r="C481" s="23" t="e">
        <f t="shared" si="38"/>
        <v>#NUM!</v>
      </c>
      <c r="D481" s="23" t="e">
        <f t="shared" si="39"/>
        <v>#NUM!</v>
      </c>
      <c r="E481" s="28" t="e">
        <f t="shared" si="37"/>
        <v>#NUM!</v>
      </c>
      <c r="F481" s="23" t="e">
        <f t="shared" si="36"/>
        <v>#NUM!</v>
      </c>
    </row>
    <row r="482" spans="1:6" x14ac:dyDescent="0.35">
      <c r="A482" s="9">
        <v>476</v>
      </c>
      <c r="B482" s="23" t="e">
        <f t="shared" si="35"/>
        <v>#NUM!</v>
      </c>
      <c r="C482" s="23" t="e">
        <f t="shared" si="38"/>
        <v>#NUM!</v>
      </c>
      <c r="D482" s="23" t="e">
        <f t="shared" si="39"/>
        <v>#NUM!</v>
      </c>
      <c r="E482" s="28" t="e">
        <f t="shared" si="37"/>
        <v>#NUM!</v>
      </c>
      <c r="F482" s="23" t="e">
        <f t="shared" si="36"/>
        <v>#NUM!</v>
      </c>
    </row>
    <row r="483" spans="1:6" x14ac:dyDescent="0.35">
      <c r="A483" s="9">
        <v>477</v>
      </c>
      <c r="B483" s="23" t="e">
        <f t="shared" si="35"/>
        <v>#NUM!</v>
      </c>
      <c r="C483" s="23" t="e">
        <f t="shared" si="38"/>
        <v>#NUM!</v>
      </c>
      <c r="D483" s="23" t="e">
        <f t="shared" si="39"/>
        <v>#NUM!</v>
      </c>
      <c r="E483" s="28" t="e">
        <f t="shared" si="37"/>
        <v>#NUM!</v>
      </c>
      <c r="F483" s="23" t="e">
        <f t="shared" si="36"/>
        <v>#NUM!</v>
      </c>
    </row>
    <row r="484" spans="1:6" x14ac:dyDescent="0.35">
      <c r="A484" s="9">
        <v>478</v>
      </c>
      <c r="B484" s="23" t="e">
        <f t="shared" si="35"/>
        <v>#NUM!</v>
      </c>
      <c r="C484" s="23" t="e">
        <f t="shared" si="38"/>
        <v>#NUM!</v>
      </c>
      <c r="D484" s="23" t="e">
        <f t="shared" si="39"/>
        <v>#NUM!</v>
      </c>
      <c r="E484" s="28" t="e">
        <f t="shared" si="37"/>
        <v>#NUM!</v>
      </c>
      <c r="F484" s="23" t="e">
        <f t="shared" si="36"/>
        <v>#NUM!</v>
      </c>
    </row>
    <row r="485" spans="1:6" x14ac:dyDescent="0.35">
      <c r="A485" s="9">
        <v>479</v>
      </c>
      <c r="B485" s="23" t="e">
        <f t="shared" si="35"/>
        <v>#NUM!</v>
      </c>
      <c r="C485" s="23" t="e">
        <f t="shared" si="38"/>
        <v>#NUM!</v>
      </c>
      <c r="D485" s="23" t="e">
        <f t="shared" si="39"/>
        <v>#NUM!</v>
      </c>
      <c r="E485" s="28" t="e">
        <f t="shared" si="37"/>
        <v>#NUM!</v>
      </c>
      <c r="F485" s="23" t="e">
        <f t="shared" si="36"/>
        <v>#NUM!</v>
      </c>
    </row>
    <row r="486" spans="1:6" x14ac:dyDescent="0.35">
      <c r="A486" s="9">
        <v>480</v>
      </c>
      <c r="B486" s="23" t="e">
        <f t="shared" si="35"/>
        <v>#NUM!</v>
      </c>
      <c r="C486" s="23" t="e">
        <f t="shared" si="38"/>
        <v>#NUM!</v>
      </c>
      <c r="D486" s="23" t="e">
        <f t="shared" si="39"/>
        <v>#NUM!</v>
      </c>
      <c r="E486" s="28" t="e">
        <f t="shared" si="37"/>
        <v>#NUM!</v>
      </c>
      <c r="F486" s="23" t="e">
        <f t="shared" si="36"/>
        <v>#NUM!</v>
      </c>
    </row>
    <row r="487" spans="1:6" x14ac:dyDescent="0.35">
      <c r="A487" s="9">
        <v>481</v>
      </c>
      <c r="B487" s="23" t="e">
        <f t="shared" si="35"/>
        <v>#NUM!</v>
      </c>
      <c r="C487" s="23" t="e">
        <f t="shared" si="38"/>
        <v>#NUM!</v>
      </c>
      <c r="D487" s="23" t="e">
        <f t="shared" si="39"/>
        <v>#NUM!</v>
      </c>
      <c r="E487" s="28" t="e">
        <f t="shared" si="37"/>
        <v>#NUM!</v>
      </c>
      <c r="F487" s="23" t="e">
        <f t="shared" si="36"/>
        <v>#NUM!</v>
      </c>
    </row>
    <row r="488" spans="1:6" x14ac:dyDescent="0.35">
      <c r="A488" s="9">
        <v>482</v>
      </c>
      <c r="B488" s="23" t="e">
        <f t="shared" si="35"/>
        <v>#NUM!</v>
      </c>
      <c r="C488" s="23" t="e">
        <f t="shared" si="38"/>
        <v>#NUM!</v>
      </c>
      <c r="D488" s="23" t="e">
        <f t="shared" si="39"/>
        <v>#NUM!</v>
      </c>
      <c r="E488" s="28" t="e">
        <f t="shared" si="37"/>
        <v>#NUM!</v>
      </c>
      <c r="F488" s="23" t="e">
        <f t="shared" si="36"/>
        <v>#NUM!</v>
      </c>
    </row>
    <row r="489" spans="1:6" x14ac:dyDescent="0.35">
      <c r="A489" s="9">
        <v>483</v>
      </c>
      <c r="B489" s="23" t="e">
        <f t="shared" si="35"/>
        <v>#NUM!</v>
      </c>
      <c r="C489" s="23" t="e">
        <f t="shared" si="38"/>
        <v>#NUM!</v>
      </c>
      <c r="D489" s="23" t="e">
        <f t="shared" si="39"/>
        <v>#NUM!</v>
      </c>
      <c r="E489" s="28" t="e">
        <f t="shared" si="37"/>
        <v>#NUM!</v>
      </c>
      <c r="F489" s="23" t="e">
        <f t="shared" si="36"/>
        <v>#NUM!</v>
      </c>
    </row>
    <row r="490" spans="1:6" x14ac:dyDescent="0.35">
      <c r="A490" s="9">
        <v>484</v>
      </c>
      <c r="B490" s="23" t="e">
        <f t="shared" si="35"/>
        <v>#NUM!</v>
      </c>
      <c r="C490" s="23" t="e">
        <f t="shared" si="38"/>
        <v>#NUM!</v>
      </c>
      <c r="D490" s="23" t="e">
        <f t="shared" si="39"/>
        <v>#NUM!</v>
      </c>
      <c r="E490" s="28" t="e">
        <f t="shared" si="37"/>
        <v>#NUM!</v>
      </c>
      <c r="F490" s="23" t="e">
        <f t="shared" si="36"/>
        <v>#NUM!</v>
      </c>
    </row>
    <row r="491" spans="1:6" x14ac:dyDescent="0.35">
      <c r="A491" s="9">
        <v>485</v>
      </c>
      <c r="B491" s="23" t="e">
        <f t="shared" si="35"/>
        <v>#NUM!</v>
      </c>
      <c r="C491" s="23" t="e">
        <f t="shared" si="38"/>
        <v>#NUM!</v>
      </c>
      <c r="D491" s="23" t="e">
        <f t="shared" si="39"/>
        <v>#NUM!</v>
      </c>
      <c r="E491" s="28" t="e">
        <f t="shared" si="37"/>
        <v>#NUM!</v>
      </c>
      <c r="F491" s="23" t="e">
        <f t="shared" si="36"/>
        <v>#NUM!</v>
      </c>
    </row>
    <row r="492" spans="1:6" x14ac:dyDescent="0.35">
      <c r="A492" s="9">
        <v>486</v>
      </c>
      <c r="B492" s="23" t="e">
        <f t="shared" si="35"/>
        <v>#NUM!</v>
      </c>
      <c r="C492" s="23" t="e">
        <f t="shared" si="38"/>
        <v>#NUM!</v>
      </c>
      <c r="D492" s="23" t="e">
        <f t="shared" si="39"/>
        <v>#NUM!</v>
      </c>
      <c r="E492" s="28" t="e">
        <f t="shared" si="37"/>
        <v>#NUM!</v>
      </c>
      <c r="F492" s="23" t="e">
        <f t="shared" si="36"/>
        <v>#NUM!</v>
      </c>
    </row>
    <row r="493" spans="1:6" x14ac:dyDescent="0.35">
      <c r="A493" s="9">
        <v>487</v>
      </c>
      <c r="B493" s="23" t="e">
        <f t="shared" si="35"/>
        <v>#NUM!</v>
      </c>
      <c r="C493" s="23" t="e">
        <f t="shared" si="38"/>
        <v>#NUM!</v>
      </c>
      <c r="D493" s="23" t="e">
        <f t="shared" si="39"/>
        <v>#NUM!</v>
      </c>
      <c r="E493" s="28" t="e">
        <f t="shared" si="37"/>
        <v>#NUM!</v>
      </c>
      <c r="F493" s="23" t="e">
        <f t="shared" si="36"/>
        <v>#NUM!</v>
      </c>
    </row>
    <row r="494" spans="1:6" x14ac:dyDescent="0.35">
      <c r="A494" s="9">
        <v>488</v>
      </c>
      <c r="B494" s="23" t="e">
        <f t="shared" si="35"/>
        <v>#NUM!</v>
      </c>
      <c r="C494" s="23" t="e">
        <f t="shared" si="38"/>
        <v>#NUM!</v>
      </c>
      <c r="D494" s="23" t="e">
        <f t="shared" si="39"/>
        <v>#NUM!</v>
      </c>
      <c r="E494" s="28" t="e">
        <f t="shared" si="37"/>
        <v>#NUM!</v>
      </c>
      <c r="F494" s="23" t="e">
        <f t="shared" si="36"/>
        <v>#NUM!</v>
      </c>
    </row>
    <row r="495" spans="1:6" x14ac:dyDescent="0.35">
      <c r="A495" s="9">
        <v>489</v>
      </c>
      <c r="B495" s="23" t="e">
        <f t="shared" ref="B495:B558" si="40">F494</f>
        <v>#NUM!</v>
      </c>
      <c r="C495" s="23" t="e">
        <f t="shared" si="38"/>
        <v>#NUM!</v>
      </c>
      <c r="D495" s="23" t="e">
        <f t="shared" si="39"/>
        <v>#NUM!</v>
      </c>
      <c r="E495" s="28" t="e">
        <f t="shared" si="37"/>
        <v>#NUM!</v>
      </c>
      <c r="F495" s="23" t="e">
        <f t="shared" ref="F495:F558" si="41">B495-D495</f>
        <v>#NUM!</v>
      </c>
    </row>
    <row r="496" spans="1:6" x14ac:dyDescent="0.35">
      <c r="A496" s="9">
        <v>490</v>
      </c>
      <c r="B496" s="23" t="e">
        <f t="shared" si="40"/>
        <v>#NUM!</v>
      </c>
      <c r="C496" s="23" t="e">
        <f t="shared" si="38"/>
        <v>#NUM!</v>
      </c>
      <c r="D496" s="23" t="e">
        <f t="shared" si="39"/>
        <v>#NUM!</v>
      </c>
      <c r="E496" s="28" t="e">
        <f t="shared" si="37"/>
        <v>#NUM!</v>
      </c>
      <c r="F496" s="23" t="e">
        <f t="shared" si="41"/>
        <v>#NUM!</v>
      </c>
    </row>
    <row r="497" spans="1:6" x14ac:dyDescent="0.35">
      <c r="A497" s="9">
        <v>491</v>
      </c>
      <c r="B497" s="23" t="e">
        <f t="shared" si="40"/>
        <v>#NUM!</v>
      </c>
      <c r="C497" s="23" t="e">
        <f t="shared" si="38"/>
        <v>#NUM!</v>
      </c>
      <c r="D497" s="23" t="e">
        <f t="shared" si="39"/>
        <v>#NUM!</v>
      </c>
      <c r="E497" s="28" t="e">
        <f t="shared" si="37"/>
        <v>#NUM!</v>
      </c>
      <c r="F497" s="23" t="e">
        <f t="shared" si="41"/>
        <v>#NUM!</v>
      </c>
    </row>
    <row r="498" spans="1:6" x14ac:dyDescent="0.35">
      <c r="A498" s="9">
        <v>492</v>
      </c>
      <c r="B498" s="23" t="e">
        <f t="shared" si="40"/>
        <v>#NUM!</v>
      </c>
      <c r="C498" s="23" t="e">
        <f t="shared" si="38"/>
        <v>#NUM!</v>
      </c>
      <c r="D498" s="23" t="e">
        <f t="shared" si="39"/>
        <v>#NUM!</v>
      </c>
      <c r="E498" s="28" t="e">
        <f t="shared" si="37"/>
        <v>#NUM!</v>
      </c>
      <c r="F498" s="23" t="e">
        <f t="shared" si="41"/>
        <v>#NUM!</v>
      </c>
    </row>
    <row r="499" spans="1:6" x14ac:dyDescent="0.35">
      <c r="A499" s="9">
        <v>493</v>
      </c>
      <c r="B499" s="23" t="e">
        <f t="shared" si="40"/>
        <v>#NUM!</v>
      </c>
      <c r="C499" s="23" t="e">
        <f t="shared" si="38"/>
        <v>#NUM!</v>
      </c>
      <c r="D499" s="23" t="e">
        <f t="shared" si="39"/>
        <v>#NUM!</v>
      </c>
      <c r="E499" s="28" t="e">
        <f t="shared" si="37"/>
        <v>#NUM!</v>
      </c>
      <c r="F499" s="23" t="e">
        <f t="shared" si="41"/>
        <v>#NUM!</v>
      </c>
    </row>
    <row r="500" spans="1:6" x14ac:dyDescent="0.35">
      <c r="A500" s="9">
        <v>494</v>
      </c>
      <c r="B500" s="23" t="e">
        <f t="shared" si="40"/>
        <v>#NUM!</v>
      </c>
      <c r="C500" s="23" t="e">
        <f t="shared" si="38"/>
        <v>#NUM!</v>
      </c>
      <c r="D500" s="23" t="e">
        <f t="shared" si="39"/>
        <v>#NUM!</v>
      </c>
      <c r="E500" s="28" t="e">
        <f t="shared" si="37"/>
        <v>#NUM!</v>
      </c>
      <c r="F500" s="23" t="e">
        <f t="shared" si="41"/>
        <v>#NUM!</v>
      </c>
    </row>
    <row r="501" spans="1:6" x14ac:dyDescent="0.35">
      <c r="A501" s="9">
        <v>495</v>
      </c>
      <c r="B501" s="23" t="e">
        <f t="shared" si="40"/>
        <v>#NUM!</v>
      </c>
      <c r="C501" s="23" t="e">
        <f t="shared" si="38"/>
        <v>#NUM!</v>
      </c>
      <c r="D501" s="23" t="e">
        <f t="shared" si="39"/>
        <v>#NUM!</v>
      </c>
      <c r="E501" s="28" t="e">
        <f t="shared" si="37"/>
        <v>#NUM!</v>
      </c>
      <c r="F501" s="23" t="e">
        <f t="shared" si="41"/>
        <v>#NUM!</v>
      </c>
    </row>
    <row r="502" spans="1:6" x14ac:dyDescent="0.35">
      <c r="A502" s="9">
        <v>496</v>
      </c>
      <c r="B502" s="23" t="e">
        <f t="shared" si="40"/>
        <v>#NUM!</v>
      </c>
      <c r="C502" s="23" t="e">
        <f t="shared" si="38"/>
        <v>#NUM!</v>
      </c>
      <c r="D502" s="23" t="e">
        <f t="shared" si="39"/>
        <v>#NUM!</v>
      </c>
      <c r="E502" s="28" t="e">
        <f t="shared" si="37"/>
        <v>#NUM!</v>
      </c>
      <c r="F502" s="23" t="e">
        <f t="shared" si="41"/>
        <v>#NUM!</v>
      </c>
    </row>
    <row r="503" spans="1:6" x14ac:dyDescent="0.35">
      <c r="A503" s="9">
        <v>497</v>
      </c>
      <c r="B503" s="23" t="e">
        <f t="shared" si="40"/>
        <v>#NUM!</v>
      </c>
      <c r="C503" s="23" t="e">
        <f t="shared" si="38"/>
        <v>#NUM!</v>
      </c>
      <c r="D503" s="23" t="e">
        <f t="shared" si="39"/>
        <v>#NUM!</v>
      </c>
      <c r="E503" s="28" t="e">
        <f t="shared" si="37"/>
        <v>#NUM!</v>
      </c>
      <c r="F503" s="23" t="e">
        <f t="shared" si="41"/>
        <v>#NUM!</v>
      </c>
    </row>
    <row r="504" spans="1:6" x14ac:dyDescent="0.35">
      <c r="A504" s="9">
        <v>498</v>
      </c>
      <c r="B504" s="23" t="e">
        <f t="shared" si="40"/>
        <v>#NUM!</v>
      </c>
      <c r="C504" s="23" t="e">
        <f t="shared" si="38"/>
        <v>#NUM!</v>
      </c>
      <c r="D504" s="23" t="e">
        <f t="shared" si="39"/>
        <v>#NUM!</v>
      </c>
      <c r="E504" s="28" t="e">
        <f t="shared" si="37"/>
        <v>#NUM!</v>
      </c>
      <c r="F504" s="23" t="e">
        <f t="shared" si="41"/>
        <v>#NUM!</v>
      </c>
    </row>
    <row r="505" spans="1:6" x14ac:dyDescent="0.35">
      <c r="A505" s="9">
        <v>499</v>
      </c>
      <c r="B505" s="23" t="e">
        <f t="shared" si="40"/>
        <v>#NUM!</v>
      </c>
      <c r="C505" s="23" t="e">
        <f t="shared" si="38"/>
        <v>#NUM!</v>
      </c>
      <c r="D505" s="23" t="e">
        <f t="shared" si="39"/>
        <v>#NUM!</v>
      </c>
      <c r="E505" s="28" t="e">
        <f t="shared" si="37"/>
        <v>#NUM!</v>
      </c>
      <c r="F505" s="23" t="e">
        <f t="shared" si="41"/>
        <v>#NUM!</v>
      </c>
    </row>
    <row r="506" spans="1:6" x14ac:dyDescent="0.35">
      <c r="A506" s="9">
        <v>500</v>
      </c>
      <c r="B506" s="23" t="e">
        <f t="shared" si="40"/>
        <v>#NUM!</v>
      </c>
      <c r="C506" s="23" t="e">
        <f t="shared" si="38"/>
        <v>#NUM!</v>
      </c>
      <c r="D506" s="23" t="e">
        <f t="shared" si="39"/>
        <v>#NUM!</v>
      </c>
      <c r="E506" s="28" t="e">
        <f t="shared" si="37"/>
        <v>#NUM!</v>
      </c>
      <c r="F506" s="23" t="e">
        <f t="shared" si="41"/>
        <v>#NUM!</v>
      </c>
    </row>
    <row r="507" spans="1:6" x14ac:dyDescent="0.35">
      <c r="A507" s="9">
        <v>501</v>
      </c>
      <c r="B507" s="23" t="e">
        <f t="shared" si="40"/>
        <v>#NUM!</v>
      </c>
      <c r="C507" s="23" t="e">
        <f t="shared" si="38"/>
        <v>#NUM!</v>
      </c>
      <c r="D507" s="23" t="e">
        <f t="shared" si="39"/>
        <v>#NUM!</v>
      </c>
      <c r="E507" s="28" t="e">
        <f t="shared" si="37"/>
        <v>#NUM!</v>
      </c>
      <c r="F507" s="23" t="e">
        <f t="shared" si="41"/>
        <v>#NUM!</v>
      </c>
    </row>
    <row r="508" spans="1:6" x14ac:dyDescent="0.35">
      <c r="A508" s="9">
        <v>502</v>
      </c>
      <c r="B508" s="23" t="e">
        <f t="shared" si="40"/>
        <v>#NUM!</v>
      </c>
      <c r="C508" s="23" t="e">
        <f t="shared" si="38"/>
        <v>#NUM!</v>
      </c>
      <c r="D508" s="23" t="e">
        <f t="shared" si="39"/>
        <v>#NUM!</v>
      </c>
      <c r="E508" s="28" t="e">
        <f t="shared" si="37"/>
        <v>#NUM!</v>
      </c>
      <c r="F508" s="23" t="e">
        <f t="shared" si="41"/>
        <v>#NUM!</v>
      </c>
    </row>
    <row r="509" spans="1:6" x14ac:dyDescent="0.35">
      <c r="A509" s="9">
        <v>503</v>
      </c>
      <c r="B509" s="23" t="e">
        <f t="shared" si="40"/>
        <v>#NUM!</v>
      </c>
      <c r="C509" s="23" t="e">
        <f t="shared" si="38"/>
        <v>#NUM!</v>
      </c>
      <c r="D509" s="23" t="e">
        <f t="shared" si="39"/>
        <v>#NUM!</v>
      </c>
      <c r="E509" s="28" t="e">
        <f t="shared" si="37"/>
        <v>#NUM!</v>
      </c>
      <c r="F509" s="23" t="e">
        <f t="shared" si="41"/>
        <v>#NUM!</v>
      </c>
    </row>
    <row r="510" spans="1:6" x14ac:dyDescent="0.35">
      <c r="A510" s="9">
        <v>504</v>
      </c>
      <c r="B510" s="23" t="e">
        <f t="shared" si="40"/>
        <v>#NUM!</v>
      </c>
      <c r="C510" s="23" t="e">
        <f t="shared" si="38"/>
        <v>#NUM!</v>
      </c>
      <c r="D510" s="23" t="e">
        <f t="shared" si="39"/>
        <v>#NUM!</v>
      </c>
      <c r="E510" s="28" t="e">
        <f t="shared" si="37"/>
        <v>#NUM!</v>
      </c>
      <c r="F510" s="23" t="e">
        <f t="shared" si="41"/>
        <v>#NUM!</v>
      </c>
    </row>
    <row r="511" spans="1:6" x14ac:dyDescent="0.35">
      <c r="A511" s="9">
        <v>505</v>
      </c>
      <c r="B511" s="23" t="e">
        <f t="shared" si="40"/>
        <v>#NUM!</v>
      </c>
      <c r="C511" s="23" t="e">
        <f t="shared" si="38"/>
        <v>#NUM!</v>
      </c>
      <c r="D511" s="23" t="e">
        <f t="shared" si="39"/>
        <v>#NUM!</v>
      </c>
      <c r="E511" s="28" t="e">
        <f t="shared" si="37"/>
        <v>#NUM!</v>
      </c>
      <c r="F511" s="23" t="e">
        <f t="shared" si="41"/>
        <v>#NUM!</v>
      </c>
    </row>
    <row r="512" spans="1:6" x14ac:dyDescent="0.35">
      <c r="A512" s="9">
        <v>506</v>
      </c>
      <c r="B512" s="23" t="e">
        <f t="shared" si="40"/>
        <v>#NUM!</v>
      </c>
      <c r="C512" s="23" t="e">
        <f t="shared" si="38"/>
        <v>#NUM!</v>
      </c>
      <c r="D512" s="23" t="e">
        <f t="shared" si="39"/>
        <v>#NUM!</v>
      </c>
      <c r="E512" s="28" t="e">
        <f t="shared" si="37"/>
        <v>#NUM!</v>
      </c>
      <c r="F512" s="23" t="e">
        <f t="shared" si="41"/>
        <v>#NUM!</v>
      </c>
    </row>
    <row r="513" spans="1:6" x14ac:dyDescent="0.35">
      <c r="A513" s="9">
        <v>507</v>
      </c>
      <c r="B513" s="23" t="e">
        <f t="shared" si="40"/>
        <v>#NUM!</v>
      </c>
      <c r="C513" s="23" t="e">
        <f t="shared" si="38"/>
        <v>#NUM!</v>
      </c>
      <c r="D513" s="23" t="e">
        <f t="shared" si="39"/>
        <v>#NUM!</v>
      </c>
      <c r="E513" s="28" t="e">
        <f t="shared" si="37"/>
        <v>#NUM!</v>
      </c>
      <c r="F513" s="23" t="e">
        <f t="shared" si="41"/>
        <v>#NUM!</v>
      </c>
    </row>
    <row r="514" spans="1:6" x14ac:dyDescent="0.35">
      <c r="A514" s="9">
        <v>508</v>
      </c>
      <c r="B514" s="23" t="e">
        <f t="shared" si="40"/>
        <v>#NUM!</v>
      </c>
      <c r="C514" s="23" t="e">
        <f t="shared" si="38"/>
        <v>#NUM!</v>
      </c>
      <c r="D514" s="23" t="e">
        <f t="shared" si="39"/>
        <v>#NUM!</v>
      </c>
      <c r="E514" s="28" t="e">
        <f t="shared" si="37"/>
        <v>#NUM!</v>
      </c>
      <c r="F514" s="23" t="e">
        <f t="shared" si="41"/>
        <v>#NUM!</v>
      </c>
    </row>
    <row r="515" spans="1:6" x14ac:dyDescent="0.35">
      <c r="A515" s="9">
        <v>509</v>
      </c>
      <c r="B515" s="23" t="e">
        <f t="shared" si="40"/>
        <v>#NUM!</v>
      </c>
      <c r="C515" s="23" t="e">
        <f t="shared" si="38"/>
        <v>#NUM!</v>
      </c>
      <c r="D515" s="23" t="e">
        <f t="shared" si="39"/>
        <v>#NUM!</v>
      </c>
      <c r="E515" s="28" t="e">
        <f t="shared" si="37"/>
        <v>#NUM!</v>
      </c>
      <c r="F515" s="23" t="e">
        <f t="shared" si="41"/>
        <v>#NUM!</v>
      </c>
    </row>
    <row r="516" spans="1:6" x14ac:dyDescent="0.35">
      <c r="A516" s="9">
        <v>510</v>
      </c>
      <c r="B516" s="23" t="e">
        <f t="shared" si="40"/>
        <v>#NUM!</v>
      </c>
      <c r="C516" s="23" t="e">
        <f t="shared" si="38"/>
        <v>#NUM!</v>
      </c>
      <c r="D516" s="23" t="e">
        <f t="shared" si="39"/>
        <v>#NUM!</v>
      </c>
      <c r="E516" s="28" t="e">
        <f t="shared" si="37"/>
        <v>#NUM!</v>
      </c>
      <c r="F516" s="23" t="e">
        <f t="shared" si="41"/>
        <v>#NUM!</v>
      </c>
    </row>
    <row r="517" spans="1:6" x14ac:dyDescent="0.35">
      <c r="A517" s="9">
        <v>511</v>
      </c>
      <c r="B517" s="23" t="e">
        <f t="shared" si="40"/>
        <v>#NUM!</v>
      </c>
      <c r="C517" s="23" t="e">
        <f t="shared" si="38"/>
        <v>#NUM!</v>
      </c>
      <c r="D517" s="23" t="e">
        <f t="shared" si="39"/>
        <v>#NUM!</v>
      </c>
      <c r="E517" s="28" t="e">
        <f t="shared" si="37"/>
        <v>#NUM!</v>
      </c>
      <c r="F517" s="23" t="e">
        <f t="shared" si="41"/>
        <v>#NUM!</v>
      </c>
    </row>
    <row r="518" spans="1:6" x14ac:dyDescent="0.35">
      <c r="A518" s="9">
        <v>512</v>
      </c>
      <c r="B518" s="23" t="e">
        <f t="shared" si="40"/>
        <v>#NUM!</v>
      </c>
      <c r="C518" s="23" t="e">
        <f t="shared" si="38"/>
        <v>#NUM!</v>
      </c>
      <c r="D518" s="23" t="e">
        <f t="shared" si="39"/>
        <v>#NUM!</v>
      </c>
      <c r="E518" s="28" t="e">
        <f t="shared" si="37"/>
        <v>#NUM!</v>
      </c>
      <c r="F518" s="23" t="e">
        <f t="shared" si="41"/>
        <v>#NUM!</v>
      </c>
    </row>
    <row r="519" spans="1:6" x14ac:dyDescent="0.35">
      <c r="A519" s="9">
        <v>513</v>
      </c>
      <c r="B519" s="23" t="e">
        <f t="shared" si="40"/>
        <v>#NUM!</v>
      </c>
      <c r="C519" s="23" t="e">
        <f t="shared" si="38"/>
        <v>#NUM!</v>
      </c>
      <c r="D519" s="23" t="e">
        <f t="shared" si="39"/>
        <v>#NUM!</v>
      </c>
      <c r="E519" s="28" t="e">
        <f t="shared" si="37"/>
        <v>#NUM!</v>
      </c>
      <c r="F519" s="23" t="e">
        <f t="shared" si="41"/>
        <v>#NUM!</v>
      </c>
    </row>
    <row r="520" spans="1:6" x14ac:dyDescent="0.35">
      <c r="A520" s="9">
        <v>514</v>
      </c>
      <c r="B520" s="23" t="e">
        <f t="shared" si="40"/>
        <v>#NUM!</v>
      </c>
      <c r="C520" s="23" t="e">
        <f t="shared" si="38"/>
        <v>#NUM!</v>
      </c>
      <c r="D520" s="23" t="e">
        <f t="shared" si="39"/>
        <v>#NUM!</v>
      </c>
      <c r="E520" s="28" t="e">
        <f t="shared" ref="E520:E583" si="42">PMT($D$2/12,$D$4,-$D$1,,)</f>
        <v>#NUM!</v>
      </c>
      <c r="F520" s="23" t="e">
        <f t="shared" si="41"/>
        <v>#NUM!</v>
      </c>
    </row>
    <row r="521" spans="1:6" x14ac:dyDescent="0.35">
      <c r="A521" s="9">
        <v>515</v>
      </c>
      <c r="B521" s="23" t="e">
        <f t="shared" si="40"/>
        <v>#NUM!</v>
      </c>
      <c r="C521" s="23" t="e">
        <f t="shared" ref="C521:C584" si="43">($D$2/12)*B521</f>
        <v>#NUM!</v>
      </c>
      <c r="D521" s="23" t="e">
        <f t="shared" ref="D521:D584" si="44">E521-C521</f>
        <v>#NUM!</v>
      </c>
      <c r="E521" s="28" t="e">
        <f t="shared" si="42"/>
        <v>#NUM!</v>
      </c>
      <c r="F521" s="23" t="e">
        <f t="shared" si="41"/>
        <v>#NUM!</v>
      </c>
    </row>
    <row r="522" spans="1:6" x14ac:dyDescent="0.35">
      <c r="A522" s="9">
        <v>516</v>
      </c>
      <c r="B522" s="23" t="e">
        <f t="shared" si="40"/>
        <v>#NUM!</v>
      </c>
      <c r="C522" s="23" t="e">
        <f t="shared" si="43"/>
        <v>#NUM!</v>
      </c>
      <c r="D522" s="23" t="e">
        <f t="shared" si="44"/>
        <v>#NUM!</v>
      </c>
      <c r="E522" s="28" t="e">
        <f t="shared" si="42"/>
        <v>#NUM!</v>
      </c>
      <c r="F522" s="23" t="e">
        <f t="shared" si="41"/>
        <v>#NUM!</v>
      </c>
    </row>
    <row r="523" spans="1:6" x14ac:dyDescent="0.35">
      <c r="A523" s="9">
        <v>517</v>
      </c>
      <c r="B523" s="23" t="e">
        <f t="shared" si="40"/>
        <v>#NUM!</v>
      </c>
      <c r="C523" s="23" t="e">
        <f t="shared" si="43"/>
        <v>#NUM!</v>
      </c>
      <c r="D523" s="23" t="e">
        <f t="shared" si="44"/>
        <v>#NUM!</v>
      </c>
      <c r="E523" s="28" t="e">
        <f t="shared" si="42"/>
        <v>#NUM!</v>
      </c>
      <c r="F523" s="23" t="e">
        <f t="shared" si="41"/>
        <v>#NUM!</v>
      </c>
    </row>
    <row r="524" spans="1:6" x14ac:dyDescent="0.35">
      <c r="A524" s="9">
        <v>518</v>
      </c>
      <c r="B524" s="23" t="e">
        <f t="shared" si="40"/>
        <v>#NUM!</v>
      </c>
      <c r="C524" s="23" t="e">
        <f t="shared" si="43"/>
        <v>#NUM!</v>
      </c>
      <c r="D524" s="23" t="e">
        <f t="shared" si="44"/>
        <v>#NUM!</v>
      </c>
      <c r="E524" s="28" t="e">
        <f t="shared" si="42"/>
        <v>#NUM!</v>
      </c>
      <c r="F524" s="23" t="e">
        <f t="shared" si="41"/>
        <v>#NUM!</v>
      </c>
    </row>
    <row r="525" spans="1:6" x14ac:dyDescent="0.35">
      <c r="A525" s="9">
        <v>519</v>
      </c>
      <c r="B525" s="23" t="e">
        <f t="shared" si="40"/>
        <v>#NUM!</v>
      </c>
      <c r="C525" s="23" t="e">
        <f t="shared" si="43"/>
        <v>#NUM!</v>
      </c>
      <c r="D525" s="23" t="e">
        <f t="shared" si="44"/>
        <v>#NUM!</v>
      </c>
      <c r="E525" s="28" t="e">
        <f t="shared" si="42"/>
        <v>#NUM!</v>
      </c>
      <c r="F525" s="23" t="e">
        <f t="shared" si="41"/>
        <v>#NUM!</v>
      </c>
    </row>
    <row r="526" spans="1:6" x14ac:dyDescent="0.35">
      <c r="A526" s="9">
        <v>520</v>
      </c>
      <c r="B526" s="23" t="e">
        <f t="shared" si="40"/>
        <v>#NUM!</v>
      </c>
      <c r="C526" s="23" t="e">
        <f t="shared" si="43"/>
        <v>#NUM!</v>
      </c>
      <c r="D526" s="23" t="e">
        <f t="shared" si="44"/>
        <v>#NUM!</v>
      </c>
      <c r="E526" s="28" t="e">
        <f t="shared" si="42"/>
        <v>#NUM!</v>
      </c>
      <c r="F526" s="23" t="e">
        <f t="shared" si="41"/>
        <v>#NUM!</v>
      </c>
    </row>
    <row r="527" spans="1:6" x14ac:dyDescent="0.35">
      <c r="A527" s="9">
        <v>521</v>
      </c>
      <c r="B527" s="23" t="e">
        <f t="shared" si="40"/>
        <v>#NUM!</v>
      </c>
      <c r="C527" s="23" t="e">
        <f t="shared" si="43"/>
        <v>#NUM!</v>
      </c>
      <c r="D527" s="23" t="e">
        <f t="shared" si="44"/>
        <v>#NUM!</v>
      </c>
      <c r="E527" s="28" t="e">
        <f t="shared" si="42"/>
        <v>#NUM!</v>
      </c>
      <c r="F527" s="23" t="e">
        <f t="shared" si="41"/>
        <v>#NUM!</v>
      </c>
    </row>
    <row r="528" spans="1:6" x14ac:dyDescent="0.35">
      <c r="A528" s="9">
        <v>522</v>
      </c>
      <c r="B528" s="23" t="e">
        <f t="shared" si="40"/>
        <v>#NUM!</v>
      </c>
      <c r="C528" s="23" t="e">
        <f t="shared" si="43"/>
        <v>#NUM!</v>
      </c>
      <c r="D528" s="23" t="e">
        <f t="shared" si="44"/>
        <v>#NUM!</v>
      </c>
      <c r="E528" s="28" t="e">
        <f t="shared" si="42"/>
        <v>#NUM!</v>
      </c>
      <c r="F528" s="23" t="e">
        <f t="shared" si="41"/>
        <v>#NUM!</v>
      </c>
    </row>
    <row r="529" spans="1:6" x14ac:dyDescent="0.35">
      <c r="A529" s="9">
        <v>523</v>
      </c>
      <c r="B529" s="23" t="e">
        <f t="shared" si="40"/>
        <v>#NUM!</v>
      </c>
      <c r="C529" s="23" t="e">
        <f t="shared" si="43"/>
        <v>#NUM!</v>
      </c>
      <c r="D529" s="23" t="e">
        <f t="shared" si="44"/>
        <v>#NUM!</v>
      </c>
      <c r="E529" s="28" t="e">
        <f t="shared" si="42"/>
        <v>#NUM!</v>
      </c>
      <c r="F529" s="23" t="e">
        <f t="shared" si="41"/>
        <v>#NUM!</v>
      </c>
    </row>
    <row r="530" spans="1:6" x14ac:dyDescent="0.35">
      <c r="A530" s="9">
        <v>524</v>
      </c>
      <c r="B530" s="23" t="e">
        <f t="shared" si="40"/>
        <v>#NUM!</v>
      </c>
      <c r="C530" s="23" t="e">
        <f t="shared" si="43"/>
        <v>#NUM!</v>
      </c>
      <c r="D530" s="23" t="e">
        <f t="shared" si="44"/>
        <v>#NUM!</v>
      </c>
      <c r="E530" s="28" t="e">
        <f t="shared" si="42"/>
        <v>#NUM!</v>
      </c>
      <c r="F530" s="23" t="e">
        <f t="shared" si="41"/>
        <v>#NUM!</v>
      </c>
    </row>
    <row r="531" spans="1:6" x14ac:dyDescent="0.35">
      <c r="A531" s="9">
        <v>525</v>
      </c>
      <c r="B531" s="23" t="e">
        <f t="shared" si="40"/>
        <v>#NUM!</v>
      </c>
      <c r="C531" s="23" t="e">
        <f t="shared" si="43"/>
        <v>#NUM!</v>
      </c>
      <c r="D531" s="23" t="e">
        <f t="shared" si="44"/>
        <v>#NUM!</v>
      </c>
      <c r="E531" s="28" t="e">
        <f t="shared" si="42"/>
        <v>#NUM!</v>
      </c>
      <c r="F531" s="23" t="e">
        <f t="shared" si="41"/>
        <v>#NUM!</v>
      </c>
    </row>
    <row r="532" spans="1:6" x14ac:dyDescent="0.35">
      <c r="A532" s="9">
        <v>526</v>
      </c>
      <c r="B532" s="23" t="e">
        <f t="shared" si="40"/>
        <v>#NUM!</v>
      </c>
      <c r="C532" s="23" t="e">
        <f t="shared" si="43"/>
        <v>#NUM!</v>
      </c>
      <c r="D532" s="23" t="e">
        <f t="shared" si="44"/>
        <v>#NUM!</v>
      </c>
      <c r="E532" s="28" t="e">
        <f t="shared" si="42"/>
        <v>#NUM!</v>
      </c>
      <c r="F532" s="23" t="e">
        <f t="shared" si="41"/>
        <v>#NUM!</v>
      </c>
    </row>
    <row r="533" spans="1:6" x14ac:dyDescent="0.35">
      <c r="A533" s="9">
        <v>527</v>
      </c>
      <c r="B533" s="23" t="e">
        <f t="shared" si="40"/>
        <v>#NUM!</v>
      </c>
      <c r="C533" s="23" t="e">
        <f t="shared" si="43"/>
        <v>#NUM!</v>
      </c>
      <c r="D533" s="23" t="e">
        <f t="shared" si="44"/>
        <v>#NUM!</v>
      </c>
      <c r="E533" s="28" t="e">
        <f t="shared" si="42"/>
        <v>#NUM!</v>
      </c>
      <c r="F533" s="23" t="e">
        <f t="shared" si="41"/>
        <v>#NUM!</v>
      </c>
    </row>
    <row r="534" spans="1:6" x14ac:dyDescent="0.35">
      <c r="A534" s="9">
        <v>528</v>
      </c>
      <c r="B534" s="23" t="e">
        <f t="shared" si="40"/>
        <v>#NUM!</v>
      </c>
      <c r="C534" s="23" t="e">
        <f t="shared" si="43"/>
        <v>#NUM!</v>
      </c>
      <c r="D534" s="23" t="e">
        <f t="shared" si="44"/>
        <v>#NUM!</v>
      </c>
      <c r="E534" s="28" t="e">
        <f t="shared" si="42"/>
        <v>#NUM!</v>
      </c>
      <c r="F534" s="23" t="e">
        <f t="shared" si="41"/>
        <v>#NUM!</v>
      </c>
    </row>
    <row r="535" spans="1:6" x14ac:dyDescent="0.35">
      <c r="A535" s="9">
        <v>529</v>
      </c>
      <c r="B535" s="23" t="e">
        <f t="shared" si="40"/>
        <v>#NUM!</v>
      </c>
      <c r="C535" s="23" t="e">
        <f t="shared" si="43"/>
        <v>#NUM!</v>
      </c>
      <c r="D535" s="23" t="e">
        <f t="shared" si="44"/>
        <v>#NUM!</v>
      </c>
      <c r="E535" s="28" t="e">
        <f t="shared" si="42"/>
        <v>#NUM!</v>
      </c>
      <c r="F535" s="23" t="e">
        <f t="shared" si="41"/>
        <v>#NUM!</v>
      </c>
    </row>
    <row r="536" spans="1:6" x14ac:dyDescent="0.35">
      <c r="A536" s="9">
        <v>530</v>
      </c>
      <c r="B536" s="23" t="e">
        <f t="shared" si="40"/>
        <v>#NUM!</v>
      </c>
      <c r="C536" s="23" t="e">
        <f t="shared" si="43"/>
        <v>#NUM!</v>
      </c>
      <c r="D536" s="23" t="e">
        <f t="shared" si="44"/>
        <v>#NUM!</v>
      </c>
      <c r="E536" s="28" t="e">
        <f t="shared" si="42"/>
        <v>#NUM!</v>
      </c>
      <c r="F536" s="23" t="e">
        <f t="shared" si="41"/>
        <v>#NUM!</v>
      </c>
    </row>
    <row r="537" spans="1:6" x14ac:dyDescent="0.35">
      <c r="A537" s="9">
        <v>531</v>
      </c>
      <c r="B537" s="23" t="e">
        <f t="shared" si="40"/>
        <v>#NUM!</v>
      </c>
      <c r="C537" s="23" t="e">
        <f t="shared" si="43"/>
        <v>#NUM!</v>
      </c>
      <c r="D537" s="23" t="e">
        <f t="shared" si="44"/>
        <v>#NUM!</v>
      </c>
      <c r="E537" s="28" t="e">
        <f t="shared" si="42"/>
        <v>#NUM!</v>
      </c>
      <c r="F537" s="23" t="e">
        <f t="shared" si="41"/>
        <v>#NUM!</v>
      </c>
    </row>
    <row r="538" spans="1:6" x14ac:dyDescent="0.35">
      <c r="A538" s="9">
        <v>532</v>
      </c>
      <c r="B538" s="23" t="e">
        <f t="shared" si="40"/>
        <v>#NUM!</v>
      </c>
      <c r="C538" s="23" t="e">
        <f t="shared" si="43"/>
        <v>#NUM!</v>
      </c>
      <c r="D538" s="23" t="e">
        <f t="shared" si="44"/>
        <v>#NUM!</v>
      </c>
      <c r="E538" s="28" t="e">
        <f t="shared" si="42"/>
        <v>#NUM!</v>
      </c>
      <c r="F538" s="23" t="e">
        <f t="shared" si="41"/>
        <v>#NUM!</v>
      </c>
    </row>
    <row r="539" spans="1:6" x14ac:dyDescent="0.35">
      <c r="A539" s="9">
        <v>533</v>
      </c>
      <c r="B539" s="23" t="e">
        <f t="shared" si="40"/>
        <v>#NUM!</v>
      </c>
      <c r="C539" s="23" t="e">
        <f t="shared" si="43"/>
        <v>#NUM!</v>
      </c>
      <c r="D539" s="23" t="e">
        <f t="shared" si="44"/>
        <v>#NUM!</v>
      </c>
      <c r="E539" s="28" t="e">
        <f t="shared" si="42"/>
        <v>#NUM!</v>
      </c>
      <c r="F539" s="23" t="e">
        <f t="shared" si="41"/>
        <v>#NUM!</v>
      </c>
    </row>
    <row r="540" spans="1:6" x14ac:dyDescent="0.35">
      <c r="A540" s="9">
        <v>534</v>
      </c>
      <c r="B540" s="23" t="e">
        <f t="shared" si="40"/>
        <v>#NUM!</v>
      </c>
      <c r="C540" s="23" t="e">
        <f t="shared" si="43"/>
        <v>#NUM!</v>
      </c>
      <c r="D540" s="23" t="e">
        <f t="shared" si="44"/>
        <v>#NUM!</v>
      </c>
      <c r="E540" s="28" t="e">
        <f t="shared" si="42"/>
        <v>#NUM!</v>
      </c>
      <c r="F540" s="23" t="e">
        <f t="shared" si="41"/>
        <v>#NUM!</v>
      </c>
    </row>
    <row r="541" spans="1:6" x14ac:dyDescent="0.35">
      <c r="A541" s="9">
        <v>535</v>
      </c>
      <c r="B541" s="23" t="e">
        <f t="shared" si="40"/>
        <v>#NUM!</v>
      </c>
      <c r="C541" s="23" t="e">
        <f t="shared" si="43"/>
        <v>#NUM!</v>
      </c>
      <c r="D541" s="23" t="e">
        <f t="shared" si="44"/>
        <v>#NUM!</v>
      </c>
      <c r="E541" s="28" t="e">
        <f t="shared" si="42"/>
        <v>#NUM!</v>
      </c>
      <c r="F541" s="23" t="e">
        <f t="shared" si="41"/>
        <v>#NUM!</v>
      </c>
    </row>
    <row r="542" spans="1:6" x14ac:dyDescent="0.35">
      <c r="A542" s="9">
        <v>536</v>
      </c>
      <c r="B542" s="23" t="e">
        <f t="shared" si="40"/>
        <v>#NUM!</v>
      </c>
      <c r="C542" s="23" t="e">
        <f t="shared" si="43"/>
        <v>#NUM!</v>
      </c>
      <c r="D542" s="23" t="e">
        <f t="shared" si="44"/>
        <v>#NUM!</v>
      </c>
      <c r="E542" s="28" t="e">
        <f t="shared" si="42"/>
        <v>#NUM!</v>
      </c>
      <c r="F542" s="23" t="e">
        <f t="shared" si="41"/>
        <v>#NUM!</v>
      </c>
    </row>
    <row r="543" spans="1:6" x14ac:dyDescent="0.35">
      <c r="A543" s="9">
        <v>537</v>
      </c>
      <c r="B543" s="23" t="e">
        <f t="shared" si="40"/>
        <v>#NUM!</v>
      </c>
      <c r="C543" s="23" t="e">
        <f t="shared" si="43"/>
        <v>#NUM!</v>
      </c>
      <c r="D543" s="23" t="e">
        <f t="shared" si="44"/>
        <v>#NUM!</v>
      </c>
      <c r="E543" s="28" t="e">
        <f t="shared" si="42"/>
        <v>#NUM!</v>
      </c>
      <c r="F543" s="23" t="e">
        <f t="shared" si="41"/>
        <v>#NUM!</v>
      </c>
    </row>
    <row r="544" spans="1:6" x14ac:dyDescent="0.35">
      <c r="A544" s="9">
        <v>538</v>
      </c>
      <c r="B544" s="23" t="e">
        <f t="shared" si="40"/>
        <v>#NUM!</v>
      </c>
      <c r="C544" s="23" t="e">
        <f t="shared" si="43"/>
        <v>#NUM!</v>
      </c>
      <c r="D544" s="23" t="e">
        <f t="shared" si="44"/>
        <v>#NUM!</v>
      </c>
      <c r="E544" s="28" t="e">
        <f t="shared" si="42"/>
        <v>#NUM!</v>
      </c>
      <c r="F544" s="23" t="e">
        <f t="shared" si="41"/>
        <v>#NUM!</v>
      </c>
    </row>
    <row r="545" spans="1:6" x14ac:dyDescent="0.35">
      <c r="A545" s="9">
        <v>539</v>
      </c>
      <c r="B545" s="23" t="e">
        <f t="shared" si="40"/>
        <v>#NUM!</v>
      </c>
      <c r="C545" s="23" t="e">
        <f t="shared" si="43"/>
        <v>#NUM!</v>
      </c>
      <c r="D545" s="23" t="e">
        <f t="shared" si="44"/>
        <v>#NUM!</v>
      </c>
      <c r="E545" s="28" t="e">
        <f t="shared" si="42"/>
        <v>#NUM!</v>
      </c>
      <c r="F545" s="23" t="e">
        <f t="shared" si="41"/>
        <v>#NUM!</v>
      </c>
    </row>
    <row r="546" spans="1:6" x14ac:dyDescent="0.35">
      <c r="A546" s="9">
        <v>540</v>
      </c>
      <c r="B546" s="23" t="e">
        <f t="shared" si="40"/>
        <v>#NUM!</v>
      </c>
      <c r="C546" s="23" t="e">
        <f t="shared" si="43"/>
        <v>#NUM!</v>
      </c>
      <c r="D546" s="23" t="e">
        <f t="shared" si="44"/>
        <v>#NUM!</v>
      </c>
      <c r="E546" s="28" t="e">
        <f t="shared" si="42"/>
        <v>#NUM!</v>
      </c>
      <c r="F546" s="23" t="e">
        <f t="shared" si="41"/>
        <v>#NUM!</v>
      </c>
    </row>
    <row r="547" spans="1:6" x14ac:dyDescent="0.35">
      <c r="A547" s="9">
        <v>541</v>
      </c>
      <c r="B547" s="23" t="e">
        <f t="shared" si="40"/>
        <v>#NUM!</v>
      </c>
      <c r="C547" s="23" t="e">
        <f t="shared" si="43"/>
        <v>#NUM!</v>
      </c>
      <c r="D547" s="23" t="e">
        <f t="shared" si="44"/>
        <v>#NUM!</v>
      </c>
      <c r="E547" s="28" t="e">
        <f t="shared" si="42"/>
        <v>#NUM!</v>
      </c>
      <c r="F547" s="23" t="e">
        <f t="shared" si="41"/>
        <v>#NUM!</v>
      </c>
    </row>
    <row r="548" spans="1:6" x14ac:dyDescent="0.35">
      <c r="A548" s="9">
        <v>542</v>
      </c>
      <c r="B548" s="23" t="e">
        <f t="shared" si="40"/>
        <v>#NUM!</v>
      </c>
      <c r="C548" s="23" t="e">
        <f t="shared" si="43"/>
        <v>#NUM!</v>
      </c>
      <c r="D548" s="23" t="e">
        <f t="shared" si="44"/>
        <v>#NUM!</v>
      </c>
      <c r="E548" s="28" t="e">
        <f t="shared" si="42"/>
        <v>#NUM!</v>
      </c>
      <c r="F548" s="23" t="e">
        <f t="shared" si="41"/>
        <v>#NUM!</v>
      </c>
    </row>
    <row r="549" spans="1:6" x14ac:dyDescent="0.35">
      <c r="A549" s="9">
        <v>543</v>
      </c>
      <c r="B549" s="23" t="e">
        <f t="shared" si="40"/>
        <v>#NUM!</v>
      </c>
      <c r="C549" s="23" t="e">
        <f t="shared" si="43"/>
        <v>#NUM!</v>
      </c>
      <c r="D549" s="23" t="e">
        <f t="shared" si="44"/>
        <v>#NUM!</v>
      </c>
      <c r="E549" s="28" t="e">
        <f t="shared" si="42"/>
        <v>#NUM!</v>
      </c>
      <c r="F549" s="23" t="e">
        <f t="shared" si="41"/>
        <v>#NUM!</v>
      </c>
    </row>
    <row r="550" spans="1:6" x14ac:dyDescent="0.35">
      <c r="A550" s="9">
        <v>544</v>
      </c>
      <c r="B550" s="23" t="e">
        <f t="shared" si="40"/>
        <v>#NUM!</v>
      </c>
      <c r="C550" s="23" t="e">
        <f t="shared" si="43"/>
        <v>#NUM!</v>
      </c>
      <c r="D550" s="23" t="e">
        <f t="shared" si="44"/>
        <v>#NUM!</v>
      </c>
      <c r="E550" s="28" t="e">
        <f t="shared" si="42"/>
        <v>#NUM!</v>
      </c>
      <c r="F550" s="23" t="e">
        <f t="shared" si="41"/>
        <v>#NUM!</v>
      </c>
    </row>
    <row r="551" spans="1:6" x14ac:dyDescent="0.35">
      <c r="A551" s="9">
        <v>545</v>
      </c>
      <c r="B551" s="23" t="e">
        <f t="shared" si="40"/>
        <v>#NUM!</v>
      </c>
      <c r="C551" s="23" t="e">
        <f t="shared" si="43"/>
        <v>#NUM!</v>
      </c>
      <c r="D551" s="23" t="e">
        <f t="shared" si="44"/>
        <v>#NUM!</v>
      </c>
      <c r="E551" s="28" t="e">
        <f t="shared" si="42"/>
        <v>#NUM!</v>
      </c>
      <c r="F551" s="23" t="e">
        <f t="shared" si="41"/>
        <v>#NUM!</v>
      </c>
    </row>
    <row r="552" spans="1:6" x14ac:dyDescent="0.35">
      <c r="A552" s="9">
        <v>546</v>
      </c>
      <c r="B552" s="23" t="e">
        <f t="shared" si="40"/>
        <v>#NUM!</v>
      </c>
      <c r="C552" s="23" t="e">
        <f t="shared" si="43"/>
        <v>#NUM!</v>
      </c>
      <c r="D552" s="23" t="e">
        <f t="shared" si="44"/>
        <v>#NUM!</v>
      </c>
      <c r="E552" s="28" t="e">
        <f t="shared" si="42"/>
        <v>#NUM!</v>
      </c>
      <c r="F552" s="23" t="e">
        <f t="shared" si="41"/>
        <v>#NUM!</v>
      </c>
    </row>
    <row r="553" spans="1:6" x14ac:dyDescent="0.35">
      <c r="A553" s="9">
        <v>547</v>
      </c>
      <c r="B553" s="23" t="e">
        <f t="shared" si="40"/>
        <v>#NUM!</v>
      </c>
      <c r="C553" s="23" t="e">
        <f t="shared" si="43"/>
        <v>#NUM!</v>
      </c>
      <c r="D553" s="23" t="e">
        <f t="shared" si="44"/>
        <v>#NUM!</v>
      </c>
      <c r="E553" s="28" t="e">
        <f t="shared" si="42"/>
        <v>#NUM!</v>
      </c>
      <c r="F553" s="23" t="e">
        <f t="shared" si="41"/>
        <v>#NUM!</v>
      </c>
    </row>
    <row r="554" spans="1:6" x14ac:dyDescent="0.35">
      <c r="A554" s="9">
        <v>548</v>
      </c>
      <c r="B554" s="23" t="e">
        <f t="shared" si="40"/>
        <v>#NUM!</v>
      </c>
      <c r="C554" s="23" t="e">
        <f t="shared" si="43"/>
        <v>#NUM!</v>
      </c>
      <c r="D554" s="23" t="e">
        <f t="shared" si="44"/>
        <v>#NUM!</v>
      </c>
      <c r="E554" s="28" t="e">
        <f t="shared" si="42"/>
        <v>#NUM!</v>
      </c>
      <c r="F554" s="23" t="e">
        <f t="shared" si="41"/>
        <v>#NUM!</v>
      </c>
    </row>
    <row r="555" spans="1:6" x14ac:dyDescent="0.35">
      <c r="A555" s="9">
        <v>549</v>
      </c>
      <c r="B555" s="23" t="e">
        <f t="shared" si="40"/>
        <v>#NUM!</v>
      </c>
      <c r="C555" s="23" t="e">
        <f t="shared" si="43"/>
        <v>#NUM!</v>
      </c>
      <c r="D555" s="23" t="e">
        <f t="shared" si="44"/>
        <v>#NUM!</v>
      </c>
      <c r="E555" s="28" t="e">
        <f t="shared" si="42"/>
        <v>#NUM!</v>
      </c>
      <c r="F555" s="23" t="e">
        <f t="shared" si="41"/>
        <v>#NUM!</v>
      </c>
    </row>
    <row r="556" spans="1:6" x14ac:dyDescent="0.35">
      <c r="A556" s="9">
        <v>550</v>
      </c>
      <c r="B556" s="23" t="e">
        <f t="shared" si="40"/>
        <v>#NUM!</v>
      </c>
      <c r="C556" s="23" t="e">
        <f t="shared" si="43"/>
        <v>#NUM!</v>
      </c>
      <c r="D556" s="23" t="e">
        <f t="shared" si="44"/>
        <v>#NUM!</v>
      </c>
      <c r="E556" s="28" t="e">
        <f t="shared" si="42"/>
        <v>#NUM!</v>
      </c>
      <c r="F556" s="23" t="e">
        <f t="shared" si="41"/>
        <v>#NUM!</v>
      </c>
    </row>
    <row r="557" spans="1:6" x14ac:dyDescent="0.35">
      <c r="A557" s="9">
        <v>551</v>
      </c>
      <c r="B557" s="23" t="e">
        <f t="shared" si="40"/>
        <v>#NUM!</v>
      </c>
      <c r="C557" s="23" t="e">
        <f t="shared" si="43"/>
        <v>#NUM!</v>
      </c>
      <c r="D557" s="23" t="e">
        <f t="shared" si="44"/>
        <v>#NUM!</v>
      </c>
      <c r="E557" s="28" t="e">
        <f t="shared" si="42"/>
        <v>#NUM!</v>
      </c>
      <c r="F557" s="23" t="e">
        <f t="shared" si="41"/>
        <v>#NUM!</v>
      </c>
    </row>
    <row r="558" spans="1:6" x14ac:dyDescent="0.35">
      <c r="A558" s="9">
        <v>552</v>
      </c>
      <c r="B558" s="23" t="e">
        <f t="shared" si="40"/>
        <v>#NUM!</v>
      </c>
      <c r="C558" s="23" t="e">
        <f t="shared" si="43"/>
        <v>#NUM!</v>
      </c>
      <c r="D558" s="23" t="e">
        <f t="shared" si="44"/>
        <v>#NUM!</v>
      </c>
      <c r="E558" s="28" t="e">
        <f t="shared" si="42"/>
        <v>#NUM!</v>
      </c>
      <c r="F558" s="23" t="e">
        <f t="shared" si="41"/>
        <v>#NUM!</v>
      </c>
    </row>
    <row r="559" spans="1:6" x14ac:dyDescent="0.35">
      <c r="A559" s="9">
        <v>553</v>
      </c>
      <c r="B559" s="23" t="e">
        <f t="shared" ref="B559:B606" si="45">F558</f>
        <v>#NUM!</v>
      </c>
      <c r="C559" s="23" t="e">
        <f t="shared" si="43"/>
        <v>#NUM!</v>
      </c>
      <c r="D559" s="23" t="e">
        <f t="shared" si="44"/>
        <v>#NUM!</v>
      </c>
      <c r="E559" s="28" t="e">
        <f t="shared" si="42"/>
        <v>#NUM!</v>
      </c>
      <c r="F559" s="23" t="e">
        <f t="shared" ref="F559:F606" si="46">B559-D559</f>
        <v>#NUM!</v>
      </c>
    </row>
    <row r="560" spans="1:6" x14ac:dyDescent="0.35">
      <c r="A560" s="9">
        <v>554</v>
      </c>
      <c r="B560" s="23" t="e">
        <f t="shared" si="45"/>
        <v>#NUM!</v>
      </c>
      <c r="C560" s="23" t="e">
        <f t="shared" si="43"/>
        <v>#NUM!</v>
      </c>
      <c r="D560" s="23" t="e">
        <f t="shared" si="44"/>
        <v>#NUM!</v>
      </c>
      <c r="E560" s="28" t="e">
        <f t="shared" si="42"/>
        <v>#NUM!</v>
      </c>
      <c r="F560" s="23" t="e">
        <f t="shared" si="46"/>
        <v>#NUM!</v>
      </c>
    </row>
    <row r="561" spans="1:6" x14ac:dyDescent="0.35">
      <c r="A561" s="9">
        <v>555</v>
      </c>
      <c r="B561" s="23" t="e">
        <f t="shared" si="45"/>
        <v>#NUM!</v>
      </c>
      <c r="C561" s="23" t="e">
        <f t="shared" si="43"/>
        <v>#NUM!</v>
      </c>
      <c r="D561" s="23" t="e">
        <f t="shared" si="44"/>
        <v>#NUM!</v>
      </c>
      <c r="E561" s="28" t="e">
        <f t="shared" si="42"/>
        <v>#NUM!</v>
      </c>
      <c r="F561" s="23" t="e">
        <f t="shared" si="46"/>
        <v>#NUM!</v>
      </c>
    </row>
    <row r="562" spans="1:6" x14ac:dyDescent="0.35">
      <c r="A562" s="9">
        <v>556</v>
      </c>
      <c r="B562" s="23" t="e">
        <f t="shared" si="45"/>
        <v>#NUM!</v>
      </c>
      <c r="C562" s="23" t="e">
        <f t="shared" si="43"/>
        <v>#NUM!</v>
      </c>
      <c r="D562" s="23" t="e">
        <f t="shared" si="44"/>
        <v>#NUM!</v>
      </c>
      <c r="E562" s="28" t="e">
        <f t="shared" si="42"/>
        <v>#NUM!</v>
      </c>
      <c r="F562" s="23" t="e">
        <f t="shared" si="46"/>
        <v>#NUM!</v>
      </c>
    </row>
    <row r="563" spans="1:6" x14ac:dyDescent="0.35">
      <c r="A563" s="9">
        <v>557</v>
      </c>
      <c r="B563" s="23" t="e">
        <f t="shared" si="45"/>
        <v>#NUM!</v>
      </c>
      <c r="C563" s="23" t="e">
        <f t="shared" si="43"/>
        <v>#NUM!</v>
      </c>
      <c r="D563" s="23" t="e">
        <f t="shared" si="44"/>
        <v>#NUM!</v>
      </c>
      <c r="E563" s="28" t="e">
        <f t="shared" si="42"/>
        <v>#NUM!</v>
      </c>
      <c r="F563" s="23" t="e">
        <f t="shared" si="46"/>
        <v>#NUM!</v>
      </c>
    </row>
    <row r="564" spans="1:6" x14ac:dyDescent="0.35">
      <c r="A564" s="9">
        <v>558</v>
      </c>
      <c r="B564" s="23" t="e">
        <f t="shared" si="45"/>
        <v>#NUM!</v>
      </c>
      <c r="C564" s="23" t="e">
        <f t="shared" si="43"/>
        <v>#NUM!</v>
      </c>
      <c r="D564" s="23" t="e">
        <f t="shared" si="44"/>
        <v>#NUM!</v>
      </c>
      <c r="E564" s="28" t="e">
        <f t="shared" si="42"/>
        <v>#NUM!</v>
      </c>
      <c r="F564" s="23" t="e">
        <f t="shared" si="46"/>
        <v>#NUM!</v>
      </c>
    </row>
    <row r="565" spans="1:6" x14ac:dyDescent="0.35">
      <c r="A565" s="9">
        <v>559</v>
      </c>
      <c r="B565" s="23" t="e">
        <f t="shared" si="45"/>
        <v>#NUM!</v>
      </c>
      <c r="C565" s="23" t="e">
        <f t="shared" si="43"/>
        <v>#NUM!</v>
      </c>
      <c r="D565" s="23" t="e">
        <f t="shared" si="44"/>
        <v>#NUM!</v>
      </c>
      <c r="E565" s="28" t="e">
        <f t="shared" si="42"/>
        <v>#NUM!</v>
      </c>
      <c r="F565" s="23" t="e">
        <f t="shared" si="46"/>
        <v>#NUM!</v>
      </c>
    </row>
    <row r="566" spans="1:6" x14ac:dyDescent="0.35">
      <c r="A566" s="9">
        <v>560</v>
      </c>
      <c r="B566" s="23" t="e">
        <f t="shared" si="45"/>
        <v>#NUM!</v>
      </c>
      <c r="C566" s="23" t="e">
        <f t="shared" si="43"/>
        <v>#NUM!</v>
      </c>
      <c r="D566" s="23" t="e">
        <f t="shared" si="44"/>
        <v>#NUM!</v>
      </c>
      <c r="E566" s="28" t="e">
        <f t="shared" si="42"/>
        <v>#NUM!</v>
      </c>
      <c r="F566" s="23" t="e">
        <f t="shared" si="46"/>
        <v>#NUM!</v>
      </c>
    </row>
    <row r="567" spans="1:6" x14ac:dyDescent="0.35">
      <c r="A567" s="9">
        <v>561</v>
      </c>
      <c r="B567" s="23" t="e">
        <f t="shared" si="45"/>
        <v>#NUM!</v>
      </c>
      <c r="C567" s="23" t="e">
        <f t="shared" si="43"/>
        <v>#NUM!</v>
      </c>
      <c r="D567" s="23" t="e">
        <f t="shared" si="44"/>
        <v>#NUM!</v>
      </c>
      <c r="E567" s="28" t="e">
        <f t="shared" si="42"/>
        <v>#NUM!</v>
      </c>
      <c r="F567" s="23" t="e">
        <f t="shared" si="46"/>
        <v>#NUM!</v>
      </c>
    </row>
    <row r="568" spans="1:6" x14ac:dyDescent="0.35">
      <c r="A568" s="9">
        <v>562</v>
      </c>
      <c r="B568" s="23" t="e">
        <f t="shared" si="45"/>
        <v>#NUM!</v>
      </c>
      <c r="C568" s="23" t="e">
        <f t="shared" si="43"/>
        <v>#NUM!</v>
      </c>
      <c r="D568" s="23" t="e">
        <f t="shared" si="44"/>
        <v>#NUM!</v>
      </c>
      <c r="E568" s="28" t="e">
        <f t="shared" si="42"/>
        <v>#NUM!</v>
      </c>
      <c r="F568" s="23" t="e">
        <f t="shared" si="46"/>
        <v>#NUM!</v>
      </c>
    </row>
    <row r="569" spans="1:6" x14ac:dyDescent="0.35">
      <c r="A569" s="9">
        <v>563</v>
      </c>
      <c r="B569" s="23" t="e">
        <f t="shared" si="45"/>
        <v>#NUM!</v>
      </c>
      <c r="C569" s="23" t="e">
        <f t="shared" si="43"/>
        <v>#NUM!</v>
      </c>
      <c r="D569" s="23" t="e">
        <f t="shared" si="44"/>
        <v>#NUM!</v>
      </c>
      <c r="E569" s="28" t="e">
        <f t="shared" si="42"/>
        <v>#NUM!</v>
      </c>
      <c r="F569" s="23" t="e">
        <f t="shared" si="46"/>
        <v>#NUM!</v>
      </c>
    </row>
    <row r="570" spans="1:6" x14ac:dyDescent="0.35">
      <c r="A570" s="9">
        <v>564</v>
      </c>
      <c r="B570" s="23" t="e">
        <f t="shared" si="45"/>
        <v>#NUM!</v>
      </c>
      <c r="C570" s="23" t="e">
        <f t="shared" si="43"/>
        <v>#NUM!</v>
      </c>
      <c r="D570" s="23" t="e">
        <f t="shared" si="44"/>
        <v>#NUM!</v>
      </c>
      <c r="E570" s="28" t="e">
        <f t="shared" si="42"/>
        <v>#NUM!</v>
      </c>
      <c r="F570" s="23" t="e">
        <f t="shared" si="46"/>
        <v>#NUM!</v>
      </c>
    </row>
    <row r="571" spans="1:6" x14ac:dyDescent="0.35">
      <c r="A571" s="9">
        <v>565</v>
      </c>
      <c r="B571" s="23" t="e">
        <f t="shared" si="45"/>
        <v>#NUM!</v>
      </c>
      <c r="C571" s="23" t="e">
        <f t="shared" si="43"/>
        <v>#NUM!</v>
      </c>
      <c r="D571" s="23" t="e">
        <f t="shared" si="44"/>
        <v>#NUM!</v>
      </c>
      <c r="E571" s="28" t="e">
        <f t="shared" si="42"/>
        <v>#NUM!</v>
      </c>
      <c r="F571" s="23" t="e">
        <f t="shared" si="46"/>
        <v>#NUM!</v>
      </c>
    </row>
    <row r="572" spans="1:6" x14ac:dyDescent="0.35">
      <c r="A572" s="9">
        <v>566</v>
      </c>
      <c r="B572" s="23" t="e">
        <f t="shared" si="45"/>
        <v>#NUM!</v>
      </c>
      <c r="C572" s="23" t="e">
        <f t="shared" si="43"/>
        <v>#NUM!</v>
      </c>
      <c r="D572" s="23" t="e">
        <f t="shared" si="44"/>
        <v>#NUM!</v>
      </c>
      <c r="E572" s="28" t="e">
        <f t="shared" si="42"/>
        <v>#NUM!</v>
      </c>
      <c r="F572" s="23" t="e">
        <f t="shared" si="46"/>
        <v>#NUM!</v>
      </c>
    </row>
    <row r="573" spans="1:6" x14ac:dyDescent="0.35">
      <c r="A573" s="9">
        <v>567</v>
      </c>
      <c r="B573" s="23" t="e">
        <f t="shared" si="45"/>
        <v>#NUM!</v>
      </c>
      <c r="C573" s="23" t="e">
        <f t="shared" si="43"/>
        <v>#NUM!</v>
      </c>
      <c r="D573" s="23" t="e">
        <f t="shared" si="44"/>
        <v>#NUM!</v>
      </c>
      <c r="E573" s="28" t="e">
        <f t="shared" si="42"/>
        <v>#NUM!</v>
      </c>
      <c r="F573" s="23" t="e">
        <f t="shared" si="46"/>
        <v>#NUM!</v>
      </c>
    </row>
    <row r="574" spans="1:6" x14ac:dyDescent="0.35">
      <c r="A574" s="9">
        <v>568</v>
      </c>
      <c r="B574" s="23" t="e">
        <f t="shared" si="45"/>
        <v>#NUM!</v>
      </c>
      <c r="C574" s="23" t="e">
        <f t="shared" si="43"/>
        <v>#NUM!</v>
      </c>
      <c r="D574" s="23" t="e">
        <f t="shared" si="44"/>
        <v>#NUM!</v>
      </c>
      <c r="E574" s="28" t="e">
        <f t="shared" si="42"/>
        <v>#NUM!</v>
      </c>
      <c r="F574" s="23" t="e">
        <f t="shared" si="46"/>
        <v>#NUM!</v>
      </c>
    </row>
    <row r="575" spans="1:6" x14ac:dyDescent="0.35">
      <c r="A575" s="9">
        <v>569</v>
      </c>
      <c r="B575" s="23" t="e">
        <f t="shared" si="45"/>
        <v>#NUM!</v>
      </c>
      <c r="C575" s="23" t="e">
        <f t="shared" si="43"/>
        <v>#NUM!</v>
      </c>
      <c r="D575" s="23" t="e">
        <f t="shared" si="44"/>
        <v>#NUM!</v>
      </c>
      <c r="E575" s="28" t="e">
        <f t="shared" si="42"/>
        <v>#NUM!</v>
      </c>
      <c r="F575" s="23" t="e">
        <f t="shared" si="46"/>
        <v>#NUM!</v>
      </c>
    </row>
    <row r="576" spans="1:6" x14ac:dyDescent="0.35">
      <c r="A576" s="9">
        <v>570</v>
      </c>
      <c r="B576" s="23" t="e">
        <f t="shared" si="45"/>
        <v>#NUM!</v>
      </c>
      <c r="C576" s="23" t="e">
        <f t="shared" si="43"/>
        <v>#NUM!</v>
      </c>
      <c r="D576" s="23" t="e">
        <f t="shared" si="44"/>
        <v>#NUM!</v>
      </c>
      <c r="E576" s="28" t="e">
        <f t="shared" si="42"/>
        <v>#NUM!</v>
      </c>
      <c r="F576" s="23" t="e">
        <f t="shared" si="46"/>
        <v>#NUM!</v>
      </c>
    </row>
    <row r="577" spans="1:6" x14ac:dyDescent="0.35">
      <c r="A577" s="9">
        <v>571</v>
      </c>
      <c r="B577" s="23" t="e">
        <f t="shared" si="45"/>
        <v>#NUM!</v>
      </c>
      <c r="C577" s="23" t="e">
        <f t="shared" si="43"/>
        <v>#NUM!</v>
      </c>
      <c r="D577" s="23" t="e">
        <f t="shared" si="44"/>
        <v>#NUM!</v>
      </c>
      <c r="E577" s="28" t="e">
        <f t="shared" si="42"/>
        <v>#NUM!</v>
      </c>
      <c r="F577" s="23" t="e">
        <f t="shared" si="46"/>
        <v>#NUM!</v>
      </c>
    </row>
    <row r="578" spans="1:6" x14ac:dyDescent="0.35">
      <c r="A578" s="9">
        <v>572</v>
      </c>
      <c r="B578" s="23" t="e">
        <f t="shared" si="45"/>
        <v>#NUM!</v>
      </c>
      <c r="C578" s="23" t="e">
        <f t="shared" si="43"/>
        <v>#NUM!</v>
      </c>
      <c r="D578" s="23" t="e">
        <f t="shared" si="44"/>
        <v>#NUM!</v>
      </c>
      <c r="E578" s="28" t="e">
        <f t="shared" si="42"/>
        <v>#NUM!</v>
      </c>
      <c r="F578" s="23" t="e">
        <f t="shared" si="46"/>
        <v>#NUM!</v>
      </c>
    </row>
    <row r="579" spans="1:6" x14ac:dyDescent="0.35">
      <c r="A579" s="9">
        <v>573</v>
      </c>
      <c r="B579" s="23" t="e">
        <f t="shared" si="45"/>
        <v>#NUM!</v>
      </c>
      <c r="C579" s="23" t="e">
        <f t="shared" si="43"/>
        <v>#NUM!</v>
      </c>
      <c r="D579" s="23" t="e">
        <f t="shared" si="44"/>
        <v>#NUM!</v>
      </c>
      <c r="E579" s="28" t="e">
        <f t="shared" si="42"/>
        <v>#NUM!</v>
      </c>
      <c r="F579" s="23" t="e">
        <f t="shared" si="46"/>
        <v>#NUM!</v>
      </c>
    </row>
    <row r="580" spans="1:6" x14ac:dyDescent="0.35">
      <c r="A580" s="9">
        <v>574</v>
      </c>
      <c r="B580" s="23" t="e">
        <f t="shared" si="45"/>
        <v>#NUM!</v>
      </c>
      <c r="C580" s="23" t="e">
        <f t="shared" si="43"/>
        <v>#NUM!</v>
      </c>
      <c r="D580" s="23" t="e">
        <f t="shared" si="44"/>
        <v>#NUM!</v>
      </c>
      <c r="E580" s="28" t="e">
        <f t="shared" si="42"/>
        <v>#NUM!</v>
      </c>
      <c r="F580" s="23" t="e">
        <f t="shared" si="46"/>
        <v>#NUM!</v>
      </c>
    </row>
    <row r="581" spans="1:6" x14ac:dyDescent="0.35">
      <c r="A581" s="9">
        <v>575</v>
      </c>
      <c r="B581" s="23" t="e">
        <f t="shared" si="45"/>
        <v>#NUM!</v>
      </c>
      <c r="C581" s="23" t="e">
        <f t="shared" si="43"/>
        <v>#NUM!</v>
      </c>
      <c r="D581" s="23" t="e">
        <f t="shared" si="44"/>
        <v>#NUM!</v>
      </c>
      <c r="E581" s="28" t="e">
        <f t="shared" si="42"/>
        <v>#NUM!</v>
      </c>
      <c r="F581" s="23" t="e">
        <f t="shared" si="46"/>
        <v>#NUM!</v>
      </c>
    </row>
    <row r="582" spans="1:6" x14ac:dyDescent="0.35">
      <c r="A582" s="9">
        <v>576</v>
      </c>
      <c r="B582" s="23" t="e">
        <f t="shared" si="45"/>
        <v>#NUM!</v>
      </c>
      <c r="C582" s="23" t="e">
        <f t="shared" si="43"/>
        <v>#NUM!</v>
      </c>
      <c r="D582" s="23" t="e">
        <f t="shared" si="44"/>
        <v>#NUM!</v>
      </c>
      <c r="E582" s="28" t="e">
        <f t="shared" si="42"/>
        <v>#NUM!</v>
      </c>
      <c r="F582" s="23" t="e">
        <f t="shared" si="46"/>
        <v>#NUM!</v>
      </c>
    </row>
    <row r="583" spans="1:6" x14ac:dyDescent="0.35">
      <c r="A583" s="9">
        <v>577</v>
      </c>
      <c r="B583" s="23" t="e">
        <f t="shared" si="45"/>
        <v>#NUM!</v>
      </c>
      <c r="C583" s="23" t="e">
        <f t="shared" si="43"/>
        <v>#NUM!</v>
      </c>
      <c r="D583" s="23" t="e">
        <f t="shared" si="44"/>
        <v>#NUM!</v>
      </c>
      <c r="E583" s="28" t="e">
        <f t="shared" si="42"/>
        <v>#NUM!</v>
      </c>
      <c r="F583" s="23" t="e">
        <f t="shared" si="46"/>
        <v>#NUM!</v>
      </c>
    </row>
    <row r="584" spans="1:6" x14ac:dyDescent="0.35">
      <c r="A584" s="9">
        <v>578</v>
      </c>
      <c r="B584" s="23" t="e">
        <f t="shared" si="45"/>
        <v>#NUM!</v>
      </c>
      <c r="C584" s="23" t="e">
        <f t="shared" si="43"/>
        <v>#NUM!</v>
      </c>
      <c r="D584" s="23" t="e">
        <f t="shared" si="44"/>
        <v>#NUM!</v>
      </c>
      <c r="E584" s="28" t="e">
        <f t="shared" ref="E584:E606" si="47">PMT($D$2/12,$D$4,-$D$1,,)</f>
        <v>#NUM!</v>
      </c>
      <c r="F584" s="23" t="e">
        <f t="shared" si="46"/>
        <v>#NUM!</v>
      </c>
    </row>
    <row r="585" spans="1:6" x14ac:dyDescent="0.35">
      <c r="A585" s="9">
        <v>579</v>
      </c>
      <c r="B585" s="23" t="e">
        <f t="shared" si="45"/>
        <v>#NUM!</v>
      </c>
      <c r="C585" s="23" t="e">
        <f t="shared" ref="C585:C606" si="48">($D$2/12)*B585</f>
        <v>#NUM!</v>
      </c>
      <c r="D585" s="23" t="e">
        <f t="shared" ref="D585:D606" si="49">E585-C585</f>
        <v>#NUM!</v>
      </c>
      <c r="E585" s="28" t="e">
        <f t="shared" si="47"/>
        <v>#NUM!</v>
      </c>
      <c r="F585" s="23" t="e">
        <f t="shared" si="46"/>
        <v>#NUM!</v>
      </c>
    </row>
    <row r="586" spans="1:6" x14ac:dyDescent="0.35">
      <c r="A586" s="9">
        <v>580</v>
      </c>
      <c r="B586" s="23" t="e">
        <f t="shared" si="45"/>
        <v>#NUM!</v>
      </c>
      <c r="C586" s="23" t="e">
        <f t="shared" si="48"/>
        <v>#NUM!</v>
      </c>
      <c r="D586" s="23" t="e">
        <f t="shared" si="49"/>
        <v>#NUM!</v>
      </c>
      <c r="E586" s="28" t="e">
        <f t="shared" si="47"/>
        <v>#NUM!</v>
      </c>
      <c r="F586" s="23" t="e">
        <f t="shared" si="46"/>
        <v>#NUM!</v>
      </c>
    </row>
    <row r="587" spans="1:6" x14ac:dyDescent="0.35">
      <c r="A587" s="9">
        <v>581</v>
      </c>
      <c r="B587" s="23" t="e">
        <f t="shared" si="45"/>
        <v>#NUM!</v>
      </c>
      <c r="C587" s="23" t="e">
        <f t="shared" si="48"/>
        <v>#NUM!</v>
      </c>
      <c r="D587" s="23" t="e">
        <f t="shared" si="49"/>
        <v>#NUM!</v>
      </c>
      <c r="E587" s="28" t="e">
        <f t="shared" si="47"/>
        <v>#NUM!</v>
      </c>
      <c r="F587" s="23" t="e">
        <f t="shared" si="46"/>
        <v>#NUM!</v>
      </c>
    </row>
    <row r="588" spans="1:6" x14ac:dyDescent="0.35">
      <c r="A588" s="9">
        <v>582</v>
      </c>
      <c r="B588" s="23" t="e">
        <f t="shared" si="45"/>
        <v>#NUM!</v>
      </c>
      <c r="C588" s="23" t="e">
        <f t="shared" si="48"/>
        <v>#NUM!</v>
      </c>
      <c r="D588" s="23" t="e">
        <f t="shared" si="49"/>
        <v>#NUM!</v>
      </c>
      <c r="E588" s="28" t="e">
        <f t="shared" si="47"/>
        <v>#NUM!</v>
      </c>
      <c r="F588" s="23" t="e">
        <f t="shared" si="46"/>
        <v>#NUM!</v>
      </c>
    </row>
    <row r="589" spans="1:6" x14ac:dyDescent="0.35">
      <c r="A589" s="9">
        <v>583</v>
      </c>
      <c r="B589" s="23" t="e">
        <f t="shared" si="45"/>
        <v>#NUM!</v>
      </c>
      <c r="C589" s="23" t="e">
        <f t="shared" si="48"/>
        <v>#NUM!</v>
      </c>
      <c r="D589" s="23" t="e">
        <f t="shared" si="49"/>
        <v>#NUM!</v>
      </c>
      <c r="E589" s="28" t="e">
        <f t="shared" si="47"/>
        <v>#NUM!</v>
      </c>
      <c r="F589" s="23" t="e">
        <f t="shared" si="46"/>
        <v>#NUM!</v>
      </c>
    </row>
    <row r="590" spans="1:6" x14ac:dyDescent="0.35">
      <c r="A590" s="9">
        <v>584</v>
      </c>
      <c r="B590" s="23" t="e">
        <f t="shared" si="45"/>
        <v>#NUM!</v>
      </c>
      <c r="C590" s="23" t="e">
        <f t="shared" si="48"/>
        <v>#NUM!</v>
      </c>
      <c r="D590" s="23" t="e">
        <f t="shared" si="49"/>
        <v>#NUM!</v>
      </c>
      <c r="E590" s="28" t="e">
        <f t="shared" si="47"/>
        <v>#NUM!</v>
      </c>
      <c r="F590" s="23" t="e">
        <f t="shared" si="46"/>
        <v>#NUM!</v>
      </c>
    </row>
    <row r="591" spans="1:6" x14ac:dyDescent="0.35">
      <c r="A591" s="9">
        <v>585</v>
      </c>
      <c r="B591" s="23" t="e">
        <f t="shared" si="45"/>
        <v>#NUM!</v>
      </c>
      <c r="C591" s="23" t="e">
        <f t="shared" si="48"/>
        <v>#NUM!</v>
      </c>
      <c r="D591" s="23" t="e">
        <f t="shared" si="49"/>
        <v>#NUM!</v>
      </c>
      <c r="E591" s="28" t="e">
        <f t="shared" si="47"/>
        <v>#NUM!</v>
      </c>
      <c r="F591" s="23" t="e">
        <f t="shared" si="46"/>
        <v>#NUM!</v>
      </c>
    </row>
    <row r="592" spans="1:6" x14ac:dyDescent="0.35">
      <c r="A592" s="9">
        <v>586</v>
      </c>
      <c r="B592" s="23" t="e">
        <f t="shared" si="45"/>
        <v>#NUM!</v>
      </c>
      <c r="C592" s="23" t="e">
        <f t="shared" si="48"/>
        <v>#NUM!</v>
      </c>
      <c r="D592" s="23" t="e">
        <f t="shared" si="49"/>
        <v>#NUM!</v>
      </c>
      <c r="E592" s="28" t="e">
        <f t="shared" si="47"/>
        <v>#NUM!</v>
      </c>
      <c r="F592" s="23" t="e">
        <f t="shared" si="46"/>
        <v>#NUM!</v>
      </c>
    </row>
    <row r="593" spans="1:6" x14ac:dyDescent="0.35">
      <c r="A593" s="9">
        <v>587</v>
      </c>
      <c r="B593" s="23" t="e">
        <f t="shared" si="45"/>
        <v>#NUM!</v>
      </c>
      <c r="C593" s="23" t="e">
        <f t="shared" si="48"/>
        <v>#NUM!</v>
      </c>
      <c r="D593" s="23" t="e">
        <f t="shared" si="49"/>
        <v>#NUM!</v>
      </c>
      <c r="E593" s="28" t="e">
        <f t="shared" si="47"/>
        <v>#NUM!</v>
      </c>
      <c r="F593" s="23" t="e">
        <f t="shared" si="46"/>
        <v>#NUM!</v>
      </c>
    </row>
    <row r="594" spans="1:6" x14ac:dyDescent="0.35">
      <c r="A594" s="9">
        <v>588</v>
      </c>
      <c r="B594" s="23" t="e">
        <f t="shared" si="45"/>
        <v>#NUM!</v>
      </c>
      <c r="C594" s="23" t="e">
        <f t="shared" si="48"/>
        <v>#NUM!</v>
      </c>
      <c r="D594" s="23" t="e">
        <f t="shared" si="49"/>
        <v>#NUM!</v>
      </c>
      <c r="E594" s="28" t="e">
        <f t="shared" si="47"/>
        <v>#NUM!</v>
      </c>
      <c r="F594" s="23" t="e">
        <f t="shared" si="46"/>
        <v>#NUM!</v>
      </c>
    </row>
    <row r="595" spans="1:6" x14ac:dyDescent="0.35">
      <c r="A595" s="9">
        <v>589</v>
      </c>
      <c r="B595" s="23" t="e">
        <f t="shared" si="45"/>
        <v>#NUM!</v>
      </c>
      <c r="C595" s="23" t="e">
        <f t="shared" si="48"/>
        <v>#NUM!</v>
      </c>
      <c r="D595" s="23" t="e">
        <f t="shared" si="49"/>
        <v>#NUM!</v>
      </c>
      <c r="E595" s="28" t="e">
        <f t="shared" si="47"/>
        <v>#NUM!</v>
      </c>
      <c r="F595" s="23" t="e">
        <f t="shared" si="46"/>
        <v>#NUM!</v>
      </c>
    </row>
    <row r="596" spans="1:6" x14ac:dyDescent="0.35">
      <c r="A596" s="9">
        <v>590</v>
      </c>
      <c r="B596" s="23" t="e">
        <f t="shared" si="45"/>
        <v>#NUM!</v>
      </c>
      <c r="C596" s="23" t="e">
        <f t="shared" si="48"/>
        <v>#NUM!</v>
      </c>
      <c r="D596" s="23" t="e">
        <f t="shared" si="49"/>
        <v>#NUM!</v>
      </c>
      <c r="E596" s="28" t="e">
        <f t="shared" si="47"/>
        <v>#NUM!</v>
      </c>
      <c r="F596" s="23" t="e">
        <f t="shared" si="46"/>
        <v>#NUM!</v>
      </c>
    </row>
    <row r="597" spans="1:6" x14ac:dyDescent="0.35">
      <c r="A597" s="9">
        <v>591</v>
      </c>
      <c r="B597" s="23" t="e">
        <f t="shared" si="45"/>
        <v>#NUM!</v>
      </c>
      <c r="C597" s="23" t="e">
        <f t="shared" si="48"/>
        <v>#NUM!</v>
      </c>
      <c r="D597" s="23" t="e">
        <f t="shared" si="49"/>
        <v>#NUM!</v>
      </c>
      <c r="E597" s="28" t="e">
        <f t="shared" si="47"/>
        <v>#NUM!</v>
      </c>
      <c r="F597" s="23" t="e">
        <f t="shared" si="46"/>
        <v>#NUM!</v>
      </c>
    </row>
    <row r="598" spans="1:6" x14ac:dyDescent="0.35">
      <c r="A598" s="9">
        <v>592</v>
      </c>
      <c r="B598" s="23" t="e">
        <f t="shared" si="45"/>
        <v>#NUM!</v>
      </c>
      <c r="C598" s="23" t="e">
        <f t="shared" si="48"/>
        <v>#NUM!</v>
      </c>
      <c r="D598" s="23" t="e">
        <f t="shared" si="49"/>
        <v>#NUM!</v>
      </c>
      <c r="E598" s="28" t="e">
        <f t="shared" si="47"/>
        <v>#NUM!</v>
      </c>
      <c r="F598" s="23" t="e">
        <f t="shared" si="46"/>
        <v>#NUM!</v>
      </c>
    </row>
    <row r="599" spans="1:6" x14ac:dyDescent="0.35">
      <c r="A599" s="9">
        <v>593</v>
      </c>
      <c r="B599" s="23" t="e">
        <f t="shared" si="45"/>
        <v>#NUM!</v>
      </c>
      <c r="C599" s="23" t="e">
        <f t="shared" si="48"/>
        <v>#NUM!</v>
      </c>
      <c r="D599" s="23" t="e">
        <f t="shared" si="49"/>
        <v>#NUM!</v>
      </c>
      <c r="E599" s="28" t="e">
        <f t="shared" si="47"/>
        <v>#NUM!</v>
      </c>
      <c r="F599" s="23" t="e">
        <f t="shared" si="46"/>
        <v>#NUM!</v>
      </c>
    </row>
    <row r="600" spans="1:6" x14ac:dyDescent="0.35">
      <c r="A600" s="9">
        <v>594</v>
      </c>
      <c r="B600" s="23" t="e">
        <f t="shared" si="45"/>
        <v>#NUM!</v>
      </c>
      <c r="C600" s="23" t="e">
        <f t="shared" si="48"/>
        <v>#NUM!</v>
      </c>
      <c r="D600" s="23" t="e">
        <f t="shared" si="49"/>
        <v>#NUM!</v>
      </c>
      <c r="E600" s="28" t="e">
        <f t="shared" si="47"/>
        <v>#NUM!</v>
      </c>
      <c r="F600" s="23" t="e">
        <f t="shared" si="46"/>
        <v>#NUM!</v>
      </c>
    </row>
    <row r="601" spans="1:6" x14ac:dyDescent="0.35">
      <c r="A601" s="9">
        <v>595</v>
      </c>
      <c r="B601" s="23" t="e">
        <f t="shared" si="45"/>
        <v>#NUM!</v>
      </c>
      <c r="C601" s="23" t="e">
        <f t="shared" si="48"/>
        <v>#NUM!</v>
      </c>
      <c r="D601" s="23" t="e">
        <f t="shared" si="49"/>
        <v>#NUM!</v>
      </c>
      <c r="E601" s="28" t="e">
        <f t="shared" si="47"/>
        <v>#NUM!</v>
      </c>
      <c r="F601" s="23" t="e">
        <f t="shared" si="46"/>
        <v>#NUM!</v>
      </c>
    </row>
    <row r="602" spans="1:6" x14ac:dyDescent="0.35">
      <c r="A602" s="9">
        <v>596</v>
      </c>
      <c r="B602" s="23" t="e">
        <f t="shared" si="45"/>
        <v>#NUM!</v>
      </c>
      <c r="C602" s="23" t="e">
        <f t="shared" si="48"/>
        <v>#NUM!</v>
      </c>
      <c r="D602" s="23" t="e">
        <f t="shared" si="49"/>
        <v>#NUM!</v>
      </c>
      <c r="E602" s="28" t="e">
        <f t="shared" si="47"/>
        <v>#NUM!</v>
      </c>
      <c r="F602" s="23" t="e">
        <f t="shared" si="46"/>
        <v>#NUM!</v>
      </c>
    </row>
    <row r="603" spans="1:6" x14ac:dyDescent="0.35">
      <c r="A603" s="9">
        <v>597</v>
      </c>
      <c r="B603" s="23" t="e">
        <f t="shared" si="45"/>
        <v>#NUM!</v>
      </c>
      <c r="C603" s="23" t="e">
        <f t="shared" si="48"/>
        <v>#NUM!</v>
      </c>
      <c r="D603" s="23" t="e">
        <f t="shared" si="49"/>
        <v>#NUM!</v>
      </c>
      <c r="E603" s="28" t="e">
        <f t="shared" si="47"/>
        <v>#NUM!</v>
      </c>
      <c r="F603" s="23" t="e">
        <f t="shared" si="46"/>
        <v>#NUM!</v>
      </c>
    </row>
    <row r="604" spans="1:6" x14ac:dyDescent="0.35">
      <c r="A604" s="9">
        <v>598</v>
      </c>
      <c r="B604" s="23" t="e">
        <f t="shared" si="45"/>
        <v>#NUM!</v>
      </c>
      <c r="C604" s="23" t="e">
        <f t="shared" si="48"/>
        <v>#NUM!</v>
      </c>
      <c r="D604" s="23" t="e">
        <f t="shared" si="49"/>
        <v>#NUM!</v>
      </c>
      <c r="E604" s="28" t="e">
        <f t="shared" si="47"/>
        <v>#NUM!</v>
      </c>
      <c r="F604" s="23" t="e">
        <f t="shared" si="46"/>
        <v>#NUM!</v>
      </c>
    </row>
    <row r="605" spans="1:6" x14ac:dyDescent="0.35">
      <c r="A605" s="9">
        <v>599</v>
      </c>
      <c r="B605" s="23" t="e">
        <f t="shared" si="45"/>
        <v>#NUM!</v>
      </c>
      <c r="C605" s="23" t="e">
        <f t="shared" si="48"/>
        <v>#NUM!</v>
      </c>
      <c r="D605" s="23" t="e">
        <f t="shared" si="49"/>
        <v>#NUM!</v>
      </c>
      <c r="E605" s="28" t="e">
        <f t="shared" si="47"/>
        <v>#NUM!</v>
      </c>
      <c r="F605" s="23" t="e">
        <f t="shared" si="46"/>
        <v>#NUM!</v>
      </c>
    </row>
    <row r="606" spans="1:6" x14ac:dyDescent="0.35">
      <c r="A606" s="9">
        <v>600</v>
      </c>
      <c r="B606" s="23" t="e">
        <f t="shared" si="45"/>
        <v>#NUM!</v>
      </c>
      <c r="C606" s="23" t="e">
        <f t="shared" si="48"/>
        <v>#NUM!</v>
      </c>
      <c r="D606" s="23" t="e">
        <f t="shared" si="49"/>
        <v>#NUM!</v>
      </c>
      <c r="E606" s="28" t="e">
        <f t="shared" si="47"/>
        <v>#NUM!</v>
      </c>
      <c r="F606" s="23" t="e">
        <f t="shared" si="46"/>
        <v>#NUM!</v>
      </c>
    </row>
  </sheetData>
  <conditionalFormatting sqref="A7:F606">
    <cfRule type="expression" dxfId="0" priority="1">
      <formula>$F7&lt;-0.1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Simulator</vt:lpstr>
      <vt:lpstr>Revenue model</vt:lpstr>
      <vt:lpstr>Credit scores &amp; Interest rates</vt:lpstr>
      <vt:lpstr>Statewise Insurance</vt:lpstr>
      <vt:lpstr>Insurance</vt:lpstr>
      <vt:lpstr>Tax rates</vt:lpstr>
      <vt:lpstr>Loan Amortization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Bhatia</dc:creator>
  <cp:lastModifiedBy>Purva Bhatia</cp:lastModifiedBy>
  <dcterms:created xsi:type="dcterms:W3CDTF">2025-11-01T06:38:37Z</dcterms:created>
  <dcterms:modified xsi:type="dcterms:W3CDTF">2026-04-03T06:46:31Z</dcterms:modified>
</cp:coreProperties>
</file>