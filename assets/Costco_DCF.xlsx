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rva Bhatia\Desktop\Purva\Study\SJSU\Semester 2\270A FP&amp;A\Term project\Final Term Project Excel Costco\"/>
    </mc:Choice>
  </mc:AlternateContent>
  <xr:revisionPtr revIDLastSave="0" documentId="13_ncr:1_{78923E26-F6B7-47BC-A20E-B50580FF5EC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shboard" sheetId="1" r:id="rId1"/>
    <sheet name="Revenue Forecast ETS" sheetId="2" r:id="rId2"/>
    <sheet name="Forecast" sheetId="3" r:id="rId3"/>
    <sheet name="WACC" sheetId="4" r:id="rId4"/>
    <sheet name="Beta Calculation" sheetId="5" r:id="rId5"/>
    <sheet name="Valuation DCF " sheetId="6" r:id="rId6"/>
    <sheet name="AFN" sheetId="7" r:id="rId7"/>
    <sheet name="Cash flow forecast" sheetId="8" r:id="rId8"/>
    <sheet name="WCM" sheetId="9" r:id="rId9"/>
    <sheet name="INCOME_STATEMENT" sheetId="10" r:id="rId10"/>
    <sheet name="BALANCE_SHEET" sheetId="11" r:id="rId11"/>
    <sheet name="CASH_FLOW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vC7hhtCLTJbW4TJHQqRtAHHMIgXMm0g3qWBYK2vfRcs="/>
    </ext>
  </extLst>
</workbook>
</file>

<file path=xl/calcChain.xml><?xml version="1.0" encoding="utf-8"?>
<calcChain xmlns="http://schemas.openxmlformats.org/spreadsheetml/2006/main">
  <c r="M11" i="1" l="1"/>
  <c r="N11" i="1"/>
  <c r="O11" i="1"/>
  <c r="P11" i="1" s="1"/>
  <c r="K12" i="1"/>
  <c r="K13" i="1"/>
  <c r="K14" i="1"/>
  <c r="K15" i="1"/>
  <c r="K16" i="1" s="1"/>
  <c r="N22" i="3"/>
  <c r="N14" i="3"/>
  <c r="N21" i="3"/>
  <c r="N18" i="3"/>
  <c r="N17" i="3"/>
  <c r="N13" i="3"/>
  <c r="N12" i="3"/>
  <c r="L60" i="11" l="1"/>
  <c r="J60" i="11"/>
  <c r="H60" i="11"/>
  <c r="F60" i="11"/>
  <c r="F61" i="11" s="1"/>
  <c r="D60" i="11"/>
  <c r="D61" i="11" s="1"/>
  <c r="L59" i="11"/>
  <c r="L61" i="11" s="1"/>
  <c r="J59" i="11"/>
  <c r="J61" i="11" s="1"/>
  <c r="H59" i="11"/>
  <c r="H61" i="11" s="1"/>
  <c r="F59" i="11"/>
  <c r="D59" i="11"/>
  <c r="L50" i="10"/>
  <c r="J50" i="10"/>
  <c r="I50" i="10"/>
  <c r="H50" i="10"/>
  <c r="F50" i="10"/>
  <c r="E50" i="10"/>
  <c r="D50" i="10"/>
  <c r="L48" i="10"/>
  <c r="J48" i="10"/>
  <c r="H48" i="10"/>
  <c r="F48" i="10"/>
  <c r="D48" i="10"/>
  <c r="L41" i="10"/>
  <c r="J41" i="10"/>
  <c r="H41" i="10"/>
  <c r="F41" i="10"/>
  <c r="D41" i="10"/>
  <c r="B29" i="9"/>
  <c r="B28" i="9"/>
  <c r="B27" i="9"/>
  <c r="G18" i="9"/>
  <c r="F18" i="9"/>
  <c r="E18" i="9"/>
  <c r="D18" i="9"/>
  <c r="E26" i="9" s="1"/>
  <c r="C18" i="9"/>
  <c r="H18" i="9" s="1"/>
  <c r="G17" i="9"/>
  <c r="F17" i="9"/>
  <c r="F15" i="9" s="1"/>
  <c r="E17" i="9"/>
  <c r="D17" i="9"/>
  <c r="D26" i="9" s="1"/>
  <c r="C17" i="9"/>
  <c r="G16" i="9"/>
  <c r="F16" i="9"/>
  <c r="E16" i="9"/>
  <c r="D16" i="9"/>
  <c r="C16" i="9"/>
  <c r="G15" i="9"/>
  <c r="E15" i="9"/>
  <c r="G12" i="9"/>
  <c r="F12" i="9"/>
  <c r="E12" i="9"/>
  <c r="D12" i="9"/>
  <c r="C12" i="9"/>
  <c r="H12" i="9" s="1"/>
  <c r="G11" i="9"/>
  <c r="F11" i="9"/>
  <c r="E11" i="9"/>
  <c r="D11" i="9"/>
  <c r="C11" i="9"/>
  <c r="H11" i="9" s="1"/>
  <c r="G10" i="9"/>
  <c r="F10" i="9"/>
  <c r="E10" i="9"/>
  <c r="D10" i="9"/>
  <c r="C10" i="9"/>
  <c r="H10" i="9" s="1"/>
  <c r="G9" i="9"/>
  <c r="H9" i="9" s="1"/>
  <c r="F9" i="9"/>
  <c r="E9" i="9"/>
  <c r="D9" i="9"/>
  <c r="C9" i="9"/>
  <c r="G8" i="9"/>
  <c r="F8" i="9"/>
  <c r="E8" i="9"/>
  <c r="H8" i="9" s="1"/>
  <c r="C8" i="9"/>
  <c r="H7" i="9" a="1"/>
  <c r="H7" i="9" s="1"/>
  <c r="G7" i="9" a="1"/>
  <c r="G7" i="9" s="1"/>
  <c r="F7" i="9" a="1"/>
  <c r="F7" i="9" s="1"/>
  <c r="E7" i="9" a="1"/>
  <c r="E7" i="9" s="1"/>
  <c r="D7" i="9" a="1"/>
  <c r="D7" i="9" s="1"/>
  <c r="C7" i="9" a="1"/>
  <c r="C7" i="9" s="1"/>
  <c r="G6" i="9"/>
  <c r="F6" i="9"/>
  <c r="E6" i="9"/>
  <c r="D6" i="9"/>
  <c r="H6" i="9" s="1"/>
  <c r="C6" i="9"/>
  <c r="G5" i="9"/>
  <c r="F5" i="9"/>
  <c r="E5" i="9"/>
  <c r="D5" i="9"/>
  <c r="C5" i="9"/>
  <c r="G4" i="9"/>
  <c r="F4" i="9"/>
  <c r="E4" i="9"/>
  <c r="D4" i="9"/>
  <c r="C4" i="9"/>
  <c r="H4" i="9" s="1"/>
  <c r="H3" i="9"/>
  <c r="G3" i="9"/>
  <c r="F3" i="9"/>
  <c r="E3" i="9"/>
  <c r="D3" i="9"/>
  <c r="C3" i="9"/>
  <c r="B39" i="8"/>
  <c r="F37" i="8"/>
  <c r="E37" i="8"/>
  <c r="E38" i="8" s="1"/>
  <c r="D37" i="8"/>
  <c r="D38" i="8" s="1"/>
  <c r="C37" i="8"/>
  <c r="B37" i="8"/>
  <c r="F35" i="8"/>
  <c r="E35" i="8"/>
  <c r="D35" i="8"/>
  <c r="C35" i="8"/>
  <c r="B35" i="8"/>
  <c r="F34" i="8"/>
  <c r="E34" i="8"/>
  <c r="D34" i="8"/>
  <c r="C34" i="8"/>
  <c r="B34" i="8"/>
  <c r="F33" i="8"/>
  <c r="E33" i="8"/>
  <c r="D33" i="8"/>
  <c r="C33" i="8"/>
  <c r="B33" i="8"/>
  <c r="F32" i="8"/>
  <c r="E32" i="8"/>
  <c r="D32" i="8"/>
  <c r="C32" i="8"/>
  <c r="B32" i="8"/>
  <c r="I31" i="8"/>
  <c r="G31" i="8"/>
  <c r="F30" i="8"/>
  <c r="E30" i="8"/>
  <c r="D30" i="8"/>
  <c r="C30" i="8"/>
  <c r="B30" i="8"/>
  <c r="I29" i="8"/>
  <c r="H29" i="8"/>
  <c r="G29" i="8"/>
  <c r="F29" i="8"/>
  <c r="E29" i="8"/>
  <c r="D29" i="8"/>
  <c r="C29" i="8"/>
  <c r="B29" i="8"/>
  <c r="F28" i="8"/>
  <c r="K28" i="8" s="1"/>
  <c r="E28" i="8"/>
  <c r="D28" i="8"/>
  <c r="C28" i="8"/>
  <c r="B28" i="8"/>
  <c r="F27" i="8"/>
  <c r="E27" i="8"/>
  <c r="D27" i="8"/>
  <c r="C27" i="8"/>
  <c r="B27" i="8"/>
  <c r="I26" i="8"/>
  <c r="H26" i="8"/>
  <c r="G26" i="8"/>
  <c r="F26" i="8"/>
  <c r="E26" i="8"/>
  <c r="D26" i="8"/>
  <c r="C26" i="8"/>
  <c r="B26" i="8"/>
  <c r="F25" i="8"/>
  <c r="E25" i="8"/>
  <c r="D25" i="8"/>
  <c r="C25" i="8"/>
  <c r="B25" i="8"/>
  <c r="I24" i="8"/>
  <c r="H24" i="8"/>
  <c r="G24" i="8"/>
  <c r="F24" i="8"/>
  <c r="E24" i="8"/>
  <c r="D24" i="8"/>
  <c r="C24" i="8"/>
  <c r="B24" i="8"/>
  <c r="F22" i="8"/>
  <c r="F38" i="8" s="1"/>
  <c r="E22" i="8"/>
  <c r="D22" i="8"/>
  <c r="C22" i="8"/>
  <c r="B22" i="8"/>
  <c r="H21" i="8"/>
  <c r="I21" i="8" s="1"/>
  <c r="G21" i="8"/>
  <c r="F21" i="8"/>
  <c r="E21" i="8"/>
  <c r="D21" i="8"/>
  <c r="C21" i="8"/>
  <c r="B21" i="8"/>
  <c r="H20" i="8"/>
  <c r="I20" i="8" s="1"/>
  <c r="G20" i="8"/>
  <c r="F20" i="8"/>
  <c r="E20" i="8"/>
  <c r="D20" i="8"/>
  <c r="C20" i="8"/>
  <c r="B20" i="8"/>
  <c r="H19" i="8"/>
  <c r="I19" i="8" s="1"/>
  <c r="G19" i="8"/>
  <c r="F19" i="8"/>
  <c r="E19" i="8"/>
  <c r="D19" i="8"/>
  <c r="C19" i="8"/>
  <c r="B19" i="8"/>
  <c r="F18" i="8"/>
  <c r="E18" i="8"/>
  <c r="D18" i="8"/>
  <c r="C18" i="8"/>
  <c r="B18" i="8"/>
  <c r="F16" i="8"/>
  <c r="E16" i="8"/>
  <c r="D16" i="8"/>
  <c r="C16" i="8"/>
  <c r="B16" i="8"/>
  <c r="F15" i="8"/>
  <c r="E15" i="8"/>
  <c r="D15" i="8"/>
  <c r="C15" i="8"/>
  <c r="B15" i="8"/>
  <c r="F14" i="8"/>
  <c r="E14" i="8"/>
  <c r="D14" i="8"/>
  <c r="C14" i="8"/>
  <c r="B14" i="8"/>
  <c r="F13" i="8"/>
  <c r="E13" i="8"/>
  <c r="D13" i="8"/>
  <c r="C13" i="8"/>
  <c r="B13" i="8"/>
  <c r="F11" i="8"/>
  <c r="E11" i="8"/>
  <c r="D11" i="8"/>
  <c r="C11" i="8"/>
  <c r="B11" i="8"/>
  <c r="F9" i="8"/>
  <c r="E9" i="8"/>
  <c r="D9" i="8"/>
  <c r="C9" i="8"/>
  <c r="B9" i="8"/>
  <c r="K8" i="8"/>
  <c r="F8" i="8"/>
  <c r="E8" i="8"/>
  <c r="D8" i="8"/>
  <c r="C8" i="8"/>
  <c r="B8" i="8"/>
  <c r="F7" i="8"/>
  <c r="E7" i="8"/>
  <c r="D7" i="8"/>
  <c r="C7" i="8"/>
  <c r="B7" i="8"/>
  <c r="F4" i="8"/>
  <c r="E4" i="8"/>
  <c r="D4" i="8"/>
  <c r="C4" i="8"/>
  <c r="B4" i="8"/>
  <c r="B96" i="6"/>
  <c r="B97" i="6" s="1"/>
  <c r="B98" i="6" s="1"/>
  <c r="B99" i="6" s="1"/>
  <c r="B95" i="6"/>
  <c r="D94" i="6"/>
  <c r="E94" i="6" s="1"/>
  <c r="F94" i="6" s="1"/>
  <c r="G94" i="6" s="1"/>
  <c r="L71" i="6"/>
  <c r="B70" i="6" s="1"/>
  <c r="B53" i="6"/>
  <c r="B81" i="6" s="1"/>
  <c r="B28" i="6"/>
  <c r="C21" i="6"/>
  <c r="D15" i="6" s="1"/>
  <c r="E15" i="6" s="1"/>
  <c r="G62" i="5"/>
  <c r="H62" i="5" s="1"/>
  <c r="E62" i="5"/>
  <c r="C62" i="5"/>
  <c r="J61" i="5"/>
  <c r="H61" i="5"/>
  <c r="I61" i="5" s="1"/>
  <c r="G61" i="5"/>
  <c r="E61" i="5"/>
  <c r="C61" i="5"/>
  <c r="G60" i="5"/>
  <c r="H60" i="5" s="1"/>
  <c r="E60" i="5"/>
  <c r="C60" i="5"/>
  <c r="J60" i="5" s="1"/>
  <c r="H59" i="5"/>
  <c r="I59" i="5" s="1"/>
  <c r="G59" i="5"/>
  <c r="E59" i="5"/>
  <c r="C59" i="5"/>
  <c r="J59" i="5" s="1"/>
  <c r="J58" i="5"/>
  <c r="H58" i="5"/>
  <c r="G58" i="5"/>
  <c r="E58" i="5"/>
  <c r="I58" i="5" s="1"/>
  <c r="C58" i="5"/>
  <c r="G57" i="5"/>
  <c r="H57" i="5" s="1"/>
  <c r="I57" i="5" s="1"/>
  <c r="E57" i="5"/>
  <c r="C57" i="5"/>
  <c r="G56" i="5"/>
  <c r="H56" i="5" s="1"/>
  <c r="J56" i="5" s="1"/>
  <c r="E56" i="5"/>
  <c r="C56" i="5"/>
  <c r="J55" i="5"/>
  <c r="I55" i="5"/>
  <c r="H55" i="5"/>
  <c r="G55" i="5"/>
  <c r="E55" i="5"/>
  <c r="C55" i="5"/>
  <c r="J54" i="5"/>
  <c r="H54" i="5"/>
  <c r="I54" i="5" s="1"/>
  <c r="G54" i="5"/>
  <c r="E54" i="5"/>
  <c r="C54" i="5"/>
  <c r="H53" i="5"/>
  <c r="G53" i="5"/>
  <c r="E53" i="5"/>
  <c r="I53" i="5" s="1"/>
  <c r="C53" i="5"/>
  <c r="J53" i="5" s="1"/>
  <c r="H52" i="5"/>
  <c r="G52" i="5"/>
  <c r="E52" i="5"/>
  <c r="C52" i="5"/>
  <c r="J52" i="5" s="1"/>
  <c r="J51" i="5"/>
  <c r="H51" i="5"/>
  <c r="G51" i="5"/>
  <c r="E51" i="5"/>
  <c r="I51" i="5" s="1"/>
  <c r="C51" i="5"/>
  <c r="G50" i="5"/>
  <c r="H50" i="5" s="1"/>
  <c r="E50" i="5"/>
  <c r="C50" i="5"/>
  <c r="G49" i="5"/>
  <c r="H49" i="5" s="1"/>
  <c r="J49" i="5" s="1"/>
  <c r="E49" i="5"/>
  <c r="C49" i="5"/>
  <c r="G48" i="5"/>
  <c r="H48" i="5" s="1"/>
  <c r="J48" i="5" s="1"/>
  <c r="E48" i="5"/>
  <c r="C48" i="5"/>
  <c r="J47" i="5"/>
  <c r="H47" i="5"/>
  <c r="I47" i="5" s="1"/>
  <c r="G47" i="5"/>
  <c r="E47" i="5"/>
  <c r="C47" i="5"/>
  <c r="H46" i="5"/>
  <c r="J46" i="5" s="1"/>
  <c r="G46" i="5"/>
  <c r="E46" i="5"/>
  <c r="I46" i="5" s="1"/>
  <c r="C46" i="5"/>
  <c r="G45" i="5"/>
  <c r="H45" i="5" s="1"/>
  <c r="E45" i="5"/>
  <c r="C45" i="5"/>
  <c r="J44" i="5"/>
  <c r="H44" i="5"/>
  <c r="G44" i="5"/>
  <c r="E44" i="5"/>
  <c r="I44" i="5" s="1"/>
  <c r="C44" i="5"/>
  <c r="I43" i="5"/>
  <c r="H43" i="5"/>
  <c r="G43" i="5"/>
  <c r="E43" i="5"/>
  <c r="C43" i="5"/>
  <c r="J43" i="5" s="1"/>
  <c r="G42" i="5"/>
  <c r="H42" i="5" s="1"/>
  <c r="J42" i="5" s="1"/>
  <c r="E42" i="5"/>
  <c r="C42" i="5"/>
  <c r="H41" i="5"/>
  <c r="I41" i="5" s="1"/>
  <c r="G41" i="5"/>
  <c r="E41" i="5"/>
  <c r="C41" i="5"/>
  <c r="J41" i="5" s="1"/>
  <c r="H40" i="5"/>
  <c r="G40" i="5"/>
  <c r="E40" i="5"/>
  <c r="C40" i="5"/>
  <c r="J40" i="5" s="1"/>
  <c r="H39" i="5"/>
  <c r="G39" i="5"/>
  <c r="E39" i="5"/>
  <c r="I39" i="5" s="1"/>
  <c r="C39" i="5"/>
  <c r="J39" i="5" s="1"/>
  <c r="G38" i="5"/>
  <c r="H38" i="5" s="1"/>
  <c r="J38" i="5" s="1"/>
  <c r="E38" i="5"/>
  <c r="I38" i="5" s="1"/>
  <c r="C38" i="5"/>
  <c r="G37" i="5"/>
  <c r="H37" i="5" s="1"/>
  <c r="E37" i="5"/>
  <c r="C37" i="5"/>
  <c r="G36" i="5"/>
  <c r="H36" i="5" s="1"/>
  <c r="J36" i="5" s="1"/>
  <c r="E36" i="5"/>
  <c r="C36" i="5"/>
  <c r="J35" i="5"/>
  <c r="H35" i="5"/>
  <c r="G35" i="5"/>
  <c r="E35" i="5"/>
  <c r="I35" i="5" s="1"/>
  <c r="C35" i="5"/>
  <c r="H34" i="5"/>
  <c r="J34" i="5" s="1"/>
  <c r="G34" i="5"/>
  <c r="E34" i="5"/>
  <c r="C34" i="5"/>
  <c r="H33" i="5"/>
  <c r="J33" i="5" s="1"/>
  <c r="G33" i="5"/>
  <c r="E33" i="5"/>
  <c r="I33" i="5" s="1"/>
  <c r="C33" i="5"/>
  <c r="H32" i="5"/>
  <c r="G32" i="5"/>
  <c r="E32" i="5"/>
  <c r="C32" i="5"/>
  <c r="J32" i="5" s="1"/>
  <c r="H31" i="5"/>
  <c r="G31" i="5"/>
  <c r="E31" i="5"/>
  <c r="I31" i="5" s="1"/>
  <c r="C31" i="5"/>
  <c r="J31" i="5" s="1"/>
  <c r="G30" i="5"/>
  <c r="H30" i="5" s="1"/>
  <c r="E30" i="5"/>
  <c r="C30" i="5"/>
  <c r="J29" i="5"/>
  <c r="H29" i="5"/>
  <c r="I29" i="5" s="1"/>
  <c r="G29" i="5"/>
  <c r="E29" i="5"/>
  <c r="C29" i="5"/>
  <c r="G28" i="5"/>
  <c r="H28" i="5" s="1"/>
  <c r="E28" i="5"/>
  <c r="C28" i="5"/>
  <c r="J28" i="5" s="1"/>
  <c r="H27" i="5"/>
  <c r="I27" i="5" s="1"/>
  <c r="G27" i="5"/>
  <c r="E27" i="5"/>
  <c r="C27" i="5"/>
  <c r="J27" i="5" s="1"/>
  <c r="J26" i="5"/>
  <c r="H26" i="5"/>
  <c r="G26" i="5"/>
  <c r="E26" i="5"/>
  <c r="I26" i="5" s="1"/>
  <c r="C26" i="5"/>
  <c r="G25" i="5"/>
  <c r="H25" i="5" s="1"/>
  <c r="I25" i="5" s="1"/>
  <c r="E25" i="5"/>
  <c r="C25" i="5"/>
  <c r="J25" i="5" s="1"/>
  <c r="G24" i="5"/>
  <c r="H24" i="5" s="1"/>
  <c r="J24" i="5" s="1"/>
  <c r="E24" i="5"/>
  <c r="C24" i="5"/>
  <c r="J23" i="5"/>
  <c r="I23" i="5"/>
  <c r="H23" i="5"/>
  <c r="G23" i="5"/>
  <c r="E23" i="5"/>
  <c r="C23" i="5"/>
  <c r="J22" i="5"/>
  <c r="H22" i="5"/>
  <c r="I22" i="5" s="1"/>
  <c r="G22" i="5"/>
  <c r="E22" i="5"/>
  <c r="C22" i="5"/>
  <c r="H21" i="5"/>
  <c r="G21" i="5"/>
  <c r="E21" i="5"/>
  <c r="I21" i="5" s="1"/>
  <c r="C21" i="5"/>
  <c r="J21" i="5" s="1"/>
  <c r="H20" i="5"/>
  <c r="G20" i="5"/>
  <c r="E20" i="5"/>
  <c r="C20" i="5"/>
  <c r="J20" i="5" s="1"/>
  <c r="J19" i="5"/>
  <c r="H19" i="5"/>
  <c r="G19" i="5"/>
  <c r="E19" i="5"/>
  <c r="I19" i="5" s="1"/>
  <c r="C19" i="5"/>
  <c r="G18" i="5"/>
  <c r="H18" i="5" s="1"/>
  <c r="E18" i="5"/>
  <c r="C18" i="5"/>
  <c r="G17" i="5"/>
  <c r="H17" i="5" s="1"/>
  <c r="J17" i="5" s="1"/>
  <c r="E17" i="5"/>
  <c r="I17" i="5" s="1"/>
  <c r="C17" i="5"/>
  <c r="G16" i="5"/>
  <c r="H16" i="5" s="1"/>
  <c r="J16" i="5" s="1"/>
  <c r="E16" i="5"/>
  <c r="C16" i="5"/>
  <c r="J15" i="5"/>
  <c r="H15" i="5"/>
  <c r="I15" i="5" s="1"/>
  <c r="G15" i="5"/>
  <c r="E15" i="5"/>
  <c r="C15" i="5"/>
  <c r="H14" i="5"/>
  <c r="J14" i="5" s="1"/>
  <c r="G14" i="5"/>
  <c r="E14" i="5"/>
  <c r="I14" i="5" s="1"/>
  <c r="C14" i="5"/>
  <c r="G13" i="5"/>
  <c r="H13" i="5" s="1"/>
  <c r="E13" i="5"/>
  <c r="I13" i="5" s="1"/>
  <c r="C13" i="5"/>
  <c r="J13" i="5" s="1"/>
  <c r="J12" i="5"/>
  <c r="H12" i="5"/>
  <c r="G12" i="5"/>
  <c r="E12" i="5"/>
  <c r="I12" i="5" s="1"/>
  <c r="C12" i="5"/>
  <c r="I11" i="5"/>
  <c r="H11" i="5"/>
  <c r="G11" i="5"/>
  <c r="E11" i="5"/>
  <c r="C11" i="5"/>
  <c r="J11" i="5" s="1"/>
  <c r="G10" i="5"/>
  <c r="H10" i="5" s="1"/>
  <c r="J10" i="5" s="1"/>
  <c r="E10" i="5"/>
  <c r="C10" i="5"/>
  <c r="H9" i="5"/>
  <c r="I9" i="5" s="1"/>
  <c r="G9" i="5"/>
  <c r="E9" i="5"/>
  <c r="C9" i="5"/>
  <c r="J9" i="5" s="1"/>
  <c r="H8" i="5"/>
  <c r="G8" i="5"/>
  <c r="E8" i="5"/>
  <c r="C8" i="5"/>
  <c r="J8" i="5" s="1"/>
  <c r="H7" i="5"/>
  <c r="G7" i="5"/>
  <c r="E7" i="5"/>
  <c r="I7" i="5" s="1"/>
  <c r="C7" i="5"/>
  <c r="J7" i="5" s="1"/>
  <c r="G6" i="5"/>
  <c r="H6" i="5" s="1"/>
  <c r="J6" i="5" s="1"/>
  <c r="E6" i="5"/>
  <c r="I6" i="5" s="1"/>
  <c r="C6" i="5"/>
  <c r="G5" i="5"/>
  <c r="H5" i="5" s="1"/>
  <c r="E5" i="5"/>
  <c r="C5" i="5"/>
  <c r="G4" i="5"/>
  <c r="H4" i="5" s="1"/>
  <c r="J4" i="5" s="1"/>
  <c r="E4" i="5"/>
  <c r="C4" i="5"/>
  <c r="J3" i="5"/>
  <c r="H3" i="5"/>
  <c r="G3" i="5"/>
  <c r="E3" i="5"/>
  <c r="I3" i="5" s="1"/>
  <c r="C3" i="5"/>
  <c r="O1" i="5"/>
  <c r="B2" i="6" s="1"/>
  <c r="B5" i="6" s="1"/>
  <c r="B32" i="6" s="1"/>
  <c r="D32" i="6" s="1"/>
  <c r="C31" i="4"/>
  <c r="B28" i="4"/>
  <c r="C32" i="4" s="1"/>
  <c r="C21" i="4"/>
  <c r="D19" i="4"/>
  <c r="E19" i="4" s="1"/>
  <c r="B5" i="4"/>
  <c r="B32" i="4" s="1"/>
  <c r="D32" i="4" s="1"/>
  <c r="T163" i="3"/>
  <c r="T161" i="3" s="1"/>
  <c r="S163" i="3"/>
  <c r="R163" i="3"/>
  <c r="Q163" i="3"/>
  <c r="P163" i="3"/>
  <c r="P161" i="3" s="1"/>
  <c r="O163" i="3"/>
  <c r="P159" i="3" s="1"/>
  <c r="T162" i="3"/>
  <c r="S162" i="3"/>
  <c r="R162" i="3"/>
  <c r="Q162" i="3"/>
  <c r="P162" i="3"/>
  <c r="Q160" i="3" s="1"/>
  <c r="O162" i="3"/>
  <c r="P160" i="3" s="1"/>
  <c r="E162" i="3"/>
  <c r="F160" i="3" s="1"/>
  <c r="S160" i="3"/>
  <c r="T159" i="3"/>
  <c r="S159" i="3"/>
  <c r="S161" i="3" s="1"/>
  <c r="R159" i="3"/>
  <c r="F159" i="3"/>
  <c r="H157" i="3"/>
  <c r="N148" i="3"/>
  <c r="M148" i="3"/>
  <c r="L148" i="3"/>
  <c r="K148" i="3"/>
  <c r="K144" i="3"/>
  <c r="J144" i="3"/>
  <c r="J146" i="3" s="1"/>
  <c r="I144" i="3"/>
  <c r="H144" i="3"/>
  <c r="H146" i="3" s="1"/>
  <c r="G144" i="3"/>
  <c r="J137" i="3"/>
  <c r="J145" i="3" s="1"/>
  <c r="I137" i="3"/>
  <c r="I145" i="3" s="1"/>
  <c r="I146" i="3" s="1"/>
  <c r="H137" i="3"/>
  <c r="H145" i="3" s="1"/>
  <c r="G137" i="3"/>
  <c r="G145" i="3" s="1"/>
  <c r="F137" i="3"/>
  <c r="F145" i="3" s="1"/>
  <c r="F146" i="3" s="1"/>
  <c r="F136" i="3"/>
  <c r="F116" i="3"/>
  <c r="J114" i="3"/>
  <c r="J116" i="3" s="1"/>
  <c r="G114" i="3"/>
  <c r="J112" i="3"/>
  <c r="G112" i="3"/>
  <c r="G113" i="3" s="1"/>
  <c r="F112" i="3"/>
  <c r="J104" i="3"/>
  <c r="K98" i="3"/>
  <c r="L90" i="3"/>
  <c r="J90" i="3"/>
  <c r="I90" i="3"/>
  <c r="H90" i="3"/>
  <c r="G90" i="3"/>
  <c r="F90" i="3"/>
  <c r="K90" i="3" s="1"/>
  <c r="O89" i="3"/>
  <c r="M89" i="3"/>
  <c r="L89" i="3"/>
  <c r="J89" i="3"/>
  <c r="I89" i="3"/>
  <c r="H89" i="3"/>
  <c r="G89" i="3"/>
  <c r="K89" i="3" s="1"/>
  <c r="N89" i="3" s="1"/>
  <c r="F89" i="3"/>
  <c r="O88" i="3"/>
  <c r="M88" i="3"/>
  <c r="L88" i="3"/>
  <c r="J88" i="3"/>
  <c r="I88" i="3"/>
  <c r="H88" i="3"/>
  <c r="G88" i="3"/>
  <c r="K88" i="3" s="1"/>
  <c r="N88" i="3" s="1"/>
  <c r="F88" i="3"/>
  <c r="M87" i="3"/>
  <c r="L87" i="3"/>
  <c r="O87" i="3" s="1"/>
  <c r="J87" i="3"/>
  <c r="I87" i="3"/>
  <c r="H87" i="3"/>
  <c r="G87" i="3"/>
  <c r="K87" i="3" s="1"/>
  <c r="N87" i="3" s="1"/>
  <c r="F87" i="3"/>
  <c r="M86" i="3"/>
  <c r="L86" i="3"/>
  <c r="O86" i="3" s="1"/>
  <c r="K86" i="3"/>
  <c r="N86" i="3" s="1"/>
  <c r="N90" i="3" s="1"/>
  <c r="I82" i="3" s="1"/>
  <c r="J86" i="3"/>
  <c r="I86" i="3"/>
  <c r="H86" i="3"/>
  <c r="G86" i="3"/>
  <c r="F86" i="3"/>
  <c r="U69" i="3"/>
  <c r="J67" i="3"/>
  <c r="I67" i="3"/>
  <c r="H67" i="3"/>
  <c r="G67" i="3"/>
  <c r="F67" i="3"/>
  <c r="J66" i="3"/>
  <c r="I66" i="3"/>
  <c r="H66" i="3"/>
  <c r="G66" i="3"/>
  <c r="F66" i="3"/>
  <c r="J64" i="3"/>
  <c r="I64" i="3"/>
  <c r="H64" i="3"/>
  <c r="G64" i="3"/>
  <c r="F64" i="3"/>
  <c r="N63" i="3"/>
  <c r="M63" i="3"/>
  <c r="J63" i="3"/>
  <c r="L63" i="3" s="1"/>
  <c r="I63" i="3"/>
  <c r="H63" i="3"/>
  <c r="G63" i="3"/>
  <c r="F63" i="3"/>
  <c r="N62" i="3"/>
  <c r="M62" i="3"/>
  <c r="L62" i="3"/>
  <c r="K62" i="3"/>
  <c r="J62" i="3"/>
  <c r="I62" i="3"/>
  <c r="H62" i="3"/>
  <c r="G62" i="3"/>
  <c r="F62" i="3"/>
  <c r="L61" i="3"/>
  <c r="J61" i="3"/>
  <c r="K61" i="3" s="1"/>
  <c r="I61" i="3"/>
  <c r="H61" i="3"/>
  <c r="G61" i="3"/>
  <c r="F61" i="3"/>
  <c r="N58" i="3"/>
  <c r="M58" i="3"/>
  <c r="L58" i="3"/>
  <c r="K58" i="3"/>
  <c r="J58" i="3"/>
  <c r="I58" i="3"/>
  <c r="H58" i="3"/>
  <c r="G58" i="3"/>
  <c r="F58" i="3"/>
  <c r="J54" i="3"/>
  <c r="I54" i="3"/>
  <c r="H54" i="3"/>
  <c r="G54" i="3"/>
  <c r="F54" i="3"/>
  <c r="J53" i="3"/>
  <c r="I53" i="3"/>
  <c r="H53" i="3"/>
  <c r="G53" i="3"/>
  <c r="F53" i="3"/>
  <c r="K52" i="3"/>
  <c r="J52" i="3"/>
  <c r="M52" i="3" s="1"/>
  <c r="N52" i="3" s="1"/>
  <c r="I52" i="3"/>
  <c r="H52" i="3"/>
  <c r="G52" i="3"/>
  <c r="F52" i="3"/>
  <c r="J51" i="3"/>
  <c r="I51" i="3"/>
  <c r="I114" i="3" s="1"/>
  <c r="H51" i="3"/>
  <c r="H114" i="3" s="1"/>
  <c r="G51" i="3"/>
  <c r="F51" i="3"/>
  <c r="F114" i="3" s="1"/>
  <c r="F113" i="3" s="1"/>
  <c r="J49" i="3"/>
  <c r="I49" i="3"/>
  <c r="H49" i="3"/>
  <c r="G49" i="3"/>
  <c r="F49" i="3"/>
  <c r="J48" i="3"/>
  <c r="I48" i="3"/>
  <c r="H48" i="3"/>
  <c r="G48" i="3"/>
  <c r="F48" i="3"/>
  <c r="J47" i="3"/>
  <c r="Q47" i="3" s="1"/>
  <c r="I47" i="3"/>
  <c r="H47" i="3"/>
  <c r="G47" i="3"/>
  <c r="F47" i="3"/>
  <c r="J46" i="3"/>
  <c r="Q46" i="3" s="1"/>
  <c r="I46" i="3"/>
  <c r="H46" i="3"/>
  <c r="G46" i="3"/>
  <c r="F46" i="3"/>
  <c r="J45" i="3"/>
  <c r="I45" i="3"/>
  <c r="H45" i="3"/>
  <c r="G45" i="3"/>
  <c r="F45" i="3"/>
  <c r="Q44" i="3"/>
  <c r="J44" i="3"/>
  <c r="I44" i="3"/>
  <c r="H44" i="3"/>
  <c r="G44" i="3"/>
  <c r="F44" i="3"/>
  <c r="J41" i="3"/>
  <c r="I41" i="3"/>
  <c r="H41" i="3"/>
  <c r="G41" i="3"/>
  <c r="F41" i="3"/>
  <c r="L40" i="3"/>
  <c r="J40" i="3"/>
  <c r="M40" i="3" s="1"/>
  <c r="N40" i="3" s="1"/>
  <c r="I40" i="3"/>
  <c r="H40" i="3"/>
  <c r="G40" i="3"/>
  <c r="F40" i="3"/>
  <c r="J39" i="3"/>
  <c r="M39" i="3" s="1"/>
  <c r="N39" i="3" s="1"/>
  <c r="I39" i="3"/>
  <c r="H39" i="3"/>
  <c r="G39" i="3"/>
  <c r="F39" i="3"/>
  <c r="J38" i="3"/>
  <c r="J139" i="3" s="1"/>
  <c r="I38" i="3"/>
  <c r="I139" i="3" s="1"/>
  <c r="H38" i="3"/>
  <c r="H139" i="3" s="1"/>
  <c r="I136" i="3" s="1"/>
  <c r="G38" i="3"/>
  <c r="G139" i="3" s="1"/>
  <c r="F38" i="3"/>
  <c r="F139" i="3" s="1"/>
  <c r="J36" i="3"/>
  <c r="I36" i="3"/>
  <c r="H36" i="3"/>
  <c r="G36" i="3"/>
  <c r="F36" i="3"/>
  <c r="J35" i="3"/>
  <c r="Q35" i="3" s="1"/>
  <c r="I35" i="3"/>
  <c r="H35" i="3"/>
  <c r="G35" i="3"/>
  <c r="F35" i="3"/>
  <c r="Q34" i="3"/>
  <c r="J34" i="3"/>
  <c r="I34" i="3"/>
  <c r="H34" i="3"/>
  <c r="G34" i="3"/>
  <c r="F34" i="3"/>
  <c r="J33" i="3"/>
  <c r="I33" i="3"/>
  <c r="G15" i="8" s="1"/>
  <c r="H33" i="3"/>
  <c r="G33" i="3"/>
  <c r="F33" i="3"/>
  <c r="J32" i="3"/>
  <c r="J167" i="3" s="1"/>
  <c r="I32" i="3"/>
  <c r="H32" i="3"/>
  <c r="G32" i="3"/>
  <c r="F32" i="3"/>
  <c r="J31" i="3"/>
  <c r="I31" i="3"/>
  <c r="H31" i="3"/>
  <c r="H162" i="3" s="1"/>
  <c r="I160" i="3" s="1"/>
  <c r="G31" i="3"/>
  <c r="F31" i="3"/>
  <c r="K27" i="3"/>
  <c r="L27" i="3" s="1"/>
  <c r="M27" i="3" s="1"/>
  <c r="J22" i="3"/>
  <c r="I22" i="3"/>
  <c r="H22" i="3"/>
  <c r="G22" i="3"/>
  <c r="F22" i="3"/>
  <c r="Q21" i="3"/>
  <c r="U23" i="3" s="1"/>
  <c r="J21" i="3"/>
  <c r="I21" i="3"/>
  <c r="H21" i="3"/>
  <c r="G21" i="3"/>
  <c r="F21" i="3"/>
  <c r="J20" i="3"/>
  <c r="I20" i="3"/>
  <c r="H20" i="3"/>
  <c r="G20" i="3"/>
  <c r="F20" i="3"/>
  <c r="L18" i="3"/>
  <c r="J18" i="3"/>
  <c r="I18" i="3"/>
  <c r="H18" i="3"/>
  <c r="G18" i="3"/>
  <c r="F18" i="3"/>
  <c r="J17" i="3"/>
  <c r="J118" i="3" s="1"/>
  <c r="J117" i="3" s="1"/>
  <c r="I17" i="3"/>
  <c r="I118" i="3" s="1"/>
  <c r="H17" i="3"/>
  <c r="H118" i="3" s="1"/>
  <c r="G17" i="3"/>
  <c r="G118" i="3" s="1"/>
  <c r="F17" i="3"/>
  <c r="F118" i="3" s="1"/>
  <c r="F117" i="3" s="1"/>
  <c r="J14" i="3"/>
  <c r="I14" i="3"/>
  <c r="H14" i="3"/>
  <c r="G14" i="3"/>
  <c r="F14" i="3"/>
  <c r="J13" i="3"/>
  <c r="J105" i="3" s="1"/>
  <c r="I13" i="3"/>
  <c r="I105" i="3" s="1"/>
  <c r="H13" i="3"/>
  <c r="H105" i="3" s="1"/>
  <c r="G13" i="3"/>
  <c r="G105" i="3" s="1"/>
  <c r="F13" i="3"/>
  <c r="F105" i="3" s="1"/>
  <c r="J12" i="3"/>
  <c r="I12" i="3"/>
  <c r="H12" i="3"/>
  <c r="G12" i="3"/>
  <c r="G104" i="3" s="1"/>
  <c r="F12" i="3"/>
  <c r="F104" i="3" s="1"/>
  <c r="J9" i="3"/>
  <c r="O137" i="3" s="1"/>
  <c r="I9" i="3"/>
  <c r="H9" i="3"/>
  <c r="G9" i="3"/>
  <c r="F9" i="3"/>
  <c r="J8" i="3"/>
  <c r="I8" i="3"/>
  <c r="I92" i="3" s="1"/>
  <c r="H8" i="3"/>
  <c r="H92" i="3" s="1"/>
  <c r="G8" i="3"/>
  <c r="G92" i="3" s="1"/>
  <c r="F8" i="3"/>
  <c r="J7" i="3"/>
  <c r="C3" i="7" s="1"/>
  <c r="I7" i="3"/>
  <c r="H7" i="3"/>
  <c r="G7" i="3"/>
  <c r="F7" i="3"/>
  <c r="K5" i="3"/>
  <c r="L5" i="3" s="1"/>
  <c r="M5" i="3" s="1"/>
  <c r="A17" i="2"/>
  <c r="A16" i="2"/>
  <c r="D15" i="2"/>
  <c r="A15" i="2"/>
  <c r="D14" i="2"/>
  <c r="D13" i="2"/>
  <c r="A13" i="2"/>
  <c r="D12" i="2"/>
  <c r="K14" i="2" s="1"/>
  <c r="A12" i="2"/>
  <c r="D11" i="2"/>
  <c r="A11" i="2"/>
  <c r="D10" i="2"/>
  <c r="D9" i="2"/>
  <c r="D8" i="2"/>
  <c r="D7" i="2"/>
  <c r="K10" i="2" s="1"/>
  <c r="A7" i="2"/>
  <c r="A8" i="2" s="1"/>
  <c r="A9" i="2" s="1"/>
  <c r="D6" i="2"/>
  <c r="D5" i="2"/>
  <c r="A5" i="2"/>
  <c r="D4" i="2"/>
  <c r="A4" i="2"/>
  <c r="D3" i="2"/>
  <c r="K6" i="2" s="1"/>
  <c r="C16" i="2"/>
  <c r="C17" i="2"/>
  <c r="I112" i="3" l="1"/>
  <c r="H116" i="3"/>
  <c r="H117" i="3" s="1"/>
  <c r="O90" i="3"/>
  <c r="L14" i="2"/>
  <c r="L10" i="2"/>
  <c r="K105" i="3"/>
  <c r="Q13" i="3" s="1"/>
  <c r="K136" i="3"/>
  <c r="J92" i="3"/>
  <c r="K92" i="3" s="1"/>
  <c r="A18" i="2"/>
  <c r="B40" i="6"/>
  <c r="J162" i="3"/>
  <c r="K160" i="3" s="1"/>
  <c r="J157" i="3"/>
  <c r="J154" i="3"/>
  <c r="I163" i="3"/>
  <c r="I167" i="3"/>
  <c r="I138" i="3"/>
  <c r="I148" i="3" s="1"/>
  <c r="J136" i="3"/>
  <c r="J138" i="3" s="1"/>
  <c r="J148" i="3" s="1"/>
  <c r="J37" i="5"/>
  <c r="I37" i="5"/>
  <c r="D23" i="9"/>
  <c r="D22" i="9"/>
  <c r="S117" i="3"/>
  <c r="K117" i="3"/>
  <c r="T117" i="3"/>
  <c r="R117" i="3"/>
  <c r="P117" i="3"/>
  <c r="N117" i="3"/>
  <c r="M117" i="3"/>
  <c r="I113" i="3"/>
  <c r="I42" i="5"/>
  <c r="J50" i="5"/>
  <c r="I50" i="5"/>
  <c r="K9" i="8"/>
  <c r="K8" i="3"/>
  <c r="I104" i="3"/>
  <c r="K39" i="3"/>
  <c r="Q45" i="3"/>
  <c r="J163" i="3"/>
  <c r="J5" i="5"/>
  <c r="I5" i="5"/>
  <c r="H104" i="3"/>
  <c r="K104" i="3" s="1"/>
  <c r="Q12" i="3" s="1"/>
  <c r="K18" i="3"/>
  <c r="J23" i="3"/>
  <c r="F154" i="3"/>
  <c r="F157" i="3"/>
  <c r="F162" i="3"/>
  <c r="G160" i="3" s="1"/>
  <c r="G68" i="11"/>
  <c r="L39" i="3"/>
  <c r="K40" i="3"/>
  <c r="B41" i="6"/>
  <c r="B48" i="6" s="1"/>
  <c r="C7" i="7"/>
  <c r="C9" i="7" s="1"/>
  <c r="Q53" i="3"/>
  <c r="K112" i="3"/>
  <c r="L117" i="3"/>
  <c r="I10" i="5"/>
  <c r="J18" i="5"/>
  <c r="I18" i="5"/>
  <c r="J62" i="5"/>
  <c r="I62" i="5"/>
  <c r="K32" i="3"/>
  <c r="G157" i="3"/>
  <c r="G154" i="3"/>
  <c r="G162" i="3"/>
  <c r="H160" i="3" s="1"/>
  <c r="F163" i="3"/>
  <c r="F167" i="3"/>
  <c r="F138" i="3"/>
  <c r="F148" i="3" s="1"/>
  <c r="G136" i="3"/>
  <c r="G138" i="3" s="1"/>
  <c r="G148" i="3" s="1"/>
  <c r="C8" i="7"/>
  <c r="C10" i="7" s="1"/>
  <c r="Q48" i="3"/>
  <c r="L92" i="3"/>
  <c r="I83" i="3" s="1"/>
  <c r="J113" i="3"/>
  <c r="O117" i="3"/>
  <c r="I8" i="8"/>
  <c r="K7" i="3"/>
  <c r="G66" i="11"/>
  <c r="B67" i="6"/>
  <c r="Q17" i="3"/>
  <c r="M18" i="3"/>
  <c r="H154" i="3"/>
  <c r="G167" i="3"/>
  <c r="G163" i="3"/>
  <c r="H136" i="3"/>
  <c r="L52" i="3"/>
  <c r="M61" i="3"/>
  <c r="K63" i="3"/>
  <c r="G116" i="3"/>
  <c r="G117" i="3" s="1"/>
  <c r="H112" i="3"/>
  <c r="H113" i="3" s="1"/>
  <c r="Q117" i="3"/>
  <c r="J30" i="5"/>
  <c r="I30" i="5"/>
  <c r="J45" i="5"/>
  <c r="I49" i="5"/>
  <c r="J57" i="5"/>
  <c r="E23" i="9"/>
  <c r="E22" i="9"/>
  <c r="C12" i="7"/>
  <c r="C11" i="7"/>
  <c r="I157" i="3"/>
  <c r="I162" i="3"/>
  <c r="J160" i="3" s="1"/>
  <c r="I154" i="3"/>
  <c r="H163" i="3"/>
  <c r="H167" i="3"/>
  <c r="Q33" i="3"/>
  <c r="H138" i="3"/>
  <c r="H148" i="3" s="1"/>
  <c r="N61" i="3"/>
  <c r="R160" i="3"/>
  <c r="I45" i="5"/>
  <c r="D20" i="4"/>
  <c r="E20" i="4" s="1"/>
  <c r="D16" i="4"/>
  <c r="E16" i="4" s="1"/>
  <c r="D12" i="4"/>
  <c r="E12" i="4" s="1"/>
  <c r="D18" i="6"/>
  <c r="E18" i="6" s="1"/>
  <c r="C26" i="9"/>
  <c r="D15" i="9"/>
  <c r="B26" i="9" s="1"/>
  <c r="I116" i="3"/>
  <c r="I117" i="3" s="1"/>
  <c r="D17" i="4"/>
  <c r="E17" i="4" s="1"/>
  <c r="I8" i="5"/>
  <c r="I34" i="5"/>
  <c r="I40" i="5"/>
  <c r="D14" i="6"/>
  <c r="E14" i="6" s="1"/>
  <c r="B38" i="8"/>
  <c r="B40" i="8" s="1"/>
  <c r="C39" i="8" s="1"/>
  <c r="Q159" i="3"/>
  <c r="Q161" i="3" s="1"/>
  <c r="T160" i="3"/>
  <c r="R161" i="3"/>
  <c r="D13" i="4"/>
  <c r="E13" i="4" s="1"/>
  <c r="I4" i="5"/>
  <c r="I36" i="5"/>
  <c r="D19" i="6"/>
  <c r="E19" i="6" s="1"/>
  <c r="C38" i="8"/>
  <c r="H5" i="9"/>
  <c r="D18" i="4"/>
  <c r="E18" i="4" s="1"/>
  <c r="I32" i="5"/>
  <c r="D14" i="4"/>
  <c r="E14" i="4" s="1"/>
  <c r="I28" i="5"/>
  <c r="I60" i="5"/>
  <c r="H16" i="9"/>
  <c r="I24" i="5"/>
  <c r="I56" i="5"/>
  <c r="D20" i="6"/>
  <c r="E20" i="6" s="1"/>
  <c r="D16" i="6"/>
  <c r="E16" i="6" s="1"/>
  <c r="D12" i="6"/>
  <c r="E12" i="6" s="1"/>
  <c r="G8" i="8"/>
  <c r="H17" i="9"/>
  <c r="G146" i="3"/>
  <c r="D15" i="4"/>
  <c r="E15" i="4" s="1"/>
  <c r="I20" i="5"/>
  <c r="I52" i="5"/>
  <c r="D17" i="6"/>
  <c r="E17" i="6" s="1"/>
  <c r="B79" i="6"/>
  <c r="H8" i="8"/>
  <c r="K30" i="8"/>
  <c r="G67" i="11"/>
  <c r="I16" i="5"/>
  <c r="I48" i="5"/>
  <c r="D13" i="6"/>
  <c r="E13" i="6" s="1"/>
  <c r="C15" i="9"/>
  <c r="F17" i="2"/>
  <c r="I17" i="2"/>
  <c r="B16" i="2"/>
  <c r="I16" i="2"/>
  <c r="B17" i="2"/>
  <c r="F16" i="2"/>
  <c r="D17" i="2" l="1"/>
  <c r="D16" i="2"/>
  <c r="K163" i="3"/>
  <c r="L32" i="3"/>
  <c r="B22" i="9"/>
  <c r="B23" i="9"/>
  <c r="H159" i="3"/>
  <c r="H161" i="3" s="1"/>
  <c r="K154" i="3"/>
  <c r="I159" i="3"/>
  <c r="D3" i="7"/>
  <c r="K9" i="3"/>
  <c r="L7" i="3"/>
  <c r="N92" i="3"/>
  <c r="C40" i="8"/>
  <c r="D39" i="8" s="1"/>
  <c r="D40" i="8" s="1"/>
  <c r="E39" i="8" s="1"/>
  <c r="E40" i="8" s="1"/>
  <c r="F39" i="8" s="1"/>
  <c r="F40" i="8" s="1"/>
  <c r="G39" i="8" s="1"/>
  <c r="J168" i="3"/>
  <c r="K47" i="3"/>
  <c r="L8" i="3"/>
  <c r="K46" i="3"/>
  <c r="G159" i="3"/>
  <c r="G161" i="3" s="1"/>
  <c r="F161" i="3"/>
  <c r="A19" i="2"/>
  <c r="H15" i="9"/>
  <c r="E21" i="6"/>
  <c r="E23" i="6" s="1"/>
  <c r="B31" i="6" s="1"/>
  <c r="D31" i="6" s="1"/>
  <c r="D33" i="6" s="1"/>
  <c r="C22" i="9"/>
  <c r="C23" i="9"/>
  <c r="E21" i="4"/>
  <c r="E23" i="4" s="1"/>
  <c r="B31" i="4" s="1"/>
  <c r="D31" i="4" s="1"/>
  <c r="D33" i="4" s="1"/>
  <c r="K51" i="3"/>
  <c r="K114" i="3"/>
  <c r="K159" i="3"/>
  <c r="I161" i="3"/>
  <c r="J159" i="3"/>
  <c r="J161" i="3" s="1"/>
  <c r="E16" i="2"/>
  <c r="E17" i="2"/>
  <c r="C18" i="2"/>
  <c r="H17" i="2"/>
  <c r="H16" i="2"/>
  <c r="B18" i="2"/>
  <c r="D18" i="2" l="1"/>
  <c r="N8" i="2" s="1"/>
  <c r="N5" i="2" s="1"/>
  <c r="N6" i="2" s="1"/>
  <c r="N27" i="2"/>
  <c r="J16" i="2"/>
  <c r="J17" i="2"/>
  <c r="N18" i="2"/>
  <c r="G17" i="2"/>
  <c r="G16" i="2"/>
  <c r="O167" i="3"/>
  <c r="E44" i="6"/>
  <c r="D44" i="6"/>
  <c r="C44" i="6"/>
  <c r="C6" i="7"/>
  <c r="C5" i="7"/>
  <c r="D4" i="7"/>
  <c r="L163" i="3"/>
  <c r="M32" i="3"/>
  <c r="K161" i="3"/>
  <c r="L159" i="3"/>
  <c r="E3" i="7"/>
  <c r="L9" i="3"/>
  <c r="M7" i="3"/>
  <c r="K18" i="2"/>
  <c r="L18" i="2" s="1"/>
  <c r="L47" i="3"/>
  <c r="L46" i="3"/>
  <c r="M8" i="3"/>
  <c r="K35" i="3"/>
  <c r="K13" i="3"/>
  <c r="K44" i="3"/>
  <c r="K48" i="3"/>
  <c r="K53" i="3"/>
  <c r="K34" i="3"/>
  <c r="K12" i="3"/>
  <c r="G60" i="8" s="1"/>
  <c r="K33" i="3"/>
  <c r="K137" i="3"/>
  <c r="A20" i="2"/>
  <c r="K116" i="3"/>
  <c r="K118" i="3" s="1"/>
  <c r="K17" i="3" s="1"/>
  <c r="L112" i="3"/>
  <c r="O157" i="3"/>
  <c r="O165" i="3" s="1"/>
  <c r="S157" i="3"/>
  <c r="S165" i="3" s="1"/>
  <c r="R157" i="3"/>
  <c r="R165" i="3" s="1"/>
  <c r="P157" i="3"/>
  <c r="P165" i="3" s="1"/>
  <c r="T157" i="3"/>
  <c r="T165" i="3" s="1"/>
  <c r="K157" i="3"/>
  <c r="Q157" i="3"/>
  <c r="Q165" i="3" s="1"/>
  <c r="H18" i="2"/>
  <c r="I18" i="2"/>
  <c r="B19" i="2"/>
  <c r="E18" i="2"/>
  <c r="C19" i="2"/>
  <c r="F18" i="2"/>
  <c r="N19" i="2" l="1"/>
  <c r="G18" i="2"/>
  <c r="N28" i="2"/>
  <c r="D19" i="2"/>
  <c r="N17" i="2"/>
  <c r="N15" i="2" s="1"/>
  <c r="J18" i="2"/>
  <c r="N7" i="2" s="1"/>
  <c r="N26" i="2"/>
  <c r="N24" i="2" s="1"/>
  <c r="K45" i="3"/>
  <c r="K49" i="3" s="1"/>
  <c r="K54" i="3" s="1"/>
  <c r="G9" i="8"/>
  <c r="G28" i="8" s="1"/>
  <c r="D8" i="7"/>
  <c r="D10" i="7" s="1"/>
  <c r="G14" i="8"/>
  <c r="G18" i="8"/>
  <c r="G22" i="8" s="1"/>
  <c r="C62" i="6"/>
  <c r="K145" i="3"/>
  <c r="L48" i="3"/>
  <c r="L44" i="3"/>
  <c r="L53" i="3"/>
  <c r="L34" i="3"/>
  <c r="L12" i="3"/>
  <c r="L14" i="3" s="1"/>
  <c r="L33" i="3"/>
  <c r="D67" i="6" s="1"/>
  <c r="L35" i="3"/>
  <c r="L13" i="3"/>
  <c r="L137" i="3"/>
  <c r="F3" i="7"/>
  <c r="M9" i="3"/>
  <c r="N7" i="3"/>
  <c r="C67" i="6"/>
  <c r="C68" i="6" s="1"/>
  <c r="C63" i="6" s="1"/>
  <c r="H15" i="8"/>
  <c r="L114" i="3"/>
  <c r="L51" i="3"/>
  <c r="H13" i="8"/>
  <c r="G13" i="8"/>
  <c r="D5" i="7"/>
  <c r="E4" i="7"/>
  <c r="D6" i="7"/>
  <c r="N8" i="3"/>
  <c r="M47" i="3"/>
  <c r="N47" i="3" s="1"/>
  <c r="M46" i="3"/>
  <c r="N46" i="3" s="1"/>
  <c r="M163" i="3"/>
  <c r="N32" i="3"/>
  <c r="N163" i="3" s="1"/>
  <c r="A21" i="2"/>
  <c r="N9" i="2"/>
  <c r="L157" i="3"/>
  <c r="K14" i="3"/>
  <c r="M159" i="3"/>
  <c r="L161" i="3"/>
  <c r="B20" i="2"/>
  <c r="F19" i="2"/>
  <c r="I19" i="2"/>
  <c r="C20" i="2"/>
  <c r="H19" i="2"/>
  <c r="E19" i="2"/>
  <c r="D68" i="6" l="1"/>
  <c r="D63" i="6" s="1"/>
  <c r="G19" i="2"/>
  <c r="J19" i="2"/>
  <c r="D20" i="2"/>
  <c r="D40" i="6"/>
  <c r="D59" i="6"/>
  <c r="H14" i="8"/>
  <c r="E8" i="7"/>
  <c r="E10" i="7" s="1"/>
  <c r="L49" i="3"/>
  <c r="L54" i="3" s="1"/>
  <c r="H18" i="8"/>
  <c r="H22" i="8" s="1"/>
  <c r="D62" i="6"/>
  <c r="L145" i="3"/>
  <c r="L45" i="3"/>
  <c r="H9" i="8"/>
  <c r="H28" i="8" s="1"/>
  <c r="I15" i="8"/>
  <c r="K138" i="3"/>
  <c r="K147" i="3"/>
  <c r="L144" i="3" s="1"/>
  <c r="M112" i="3"/>
  <c r="L116" i="3"/>
  <c r="L118" i="3" s="1"/>
  <c r="L17" i="3" s="1"/>
  <c r="L20" i="3" s="1"/>
  <c r="A22" i="2"/>
  <c r="N9" i="3"/>
  <c r="O159" i="3"/>
  <c r="O161" i="3" s="1"/>
  <c r="M53" i="3"/>
  <c r="N53" i="3" s="1"/>
  <c r="M44" i="3"/>
  <c r="M34" i="3"/>
  <c r="N34" i="3" s="1"/>
  <c r="M12" i="3"/>
  <c r="M33" i="3"/>
  <c r="M13" i="3"/>
  <c r="M14" i="3" s="1"/>
  <c r="M48" i="3"/>
  <c r="N48" i="3" s="1"/>
  <c r="M35" i="3"/>
  <c r="N35" i="3" s="1"/>
  <c r="M137" i="3"/>
  <c r="M157" i="3"/>
  <c r="M161" i="3"/>
  <c r="N159" i="3"/>
  <c r="N161" i="3" s="1"/>
  <c r="E5" i="7"/>
  <c r="F4" i="7"/>
  <c r="E6" i="7"/>
  <c r="I13" i="8"/>
  <c r="C59" i="6"/>
  <c r="C40" i="6"/>
  <c r="K20" i="3"/>
  <c r="B21" i="2"/>
  <c r="H20" i="2"/>
  <c r="E20" i="2"/>
  <c r="I20" i="2"/>
  <c r="F20" i="2"/>
  <c r="C21" i="2"/>
  <c r="G20" i="2" l="1"/>
  <c r="J20" i="2"/>
  <c r="D21" i="2"/>
  <c r="E59" i="6"/>
  <c r="E40" i="6"/>
  <c r="L21" i="3"/>
  <c r="L22" i="3"/>
  <c r="A23" i="2"/>
  <c r="D60" i="6"/>
  <c r="I18" i="8"/>
  <c r="I22" i="8" s="1"/>
  <c r="E62" i="6"/>
  <c r="M145" i="3"/>
  <c r="I14" i="8"/>
  <c r="F8" i="7"/>
  <c r="F10" i="7" s="1"/>
  <c r="M49" i="3"/>
  <c r="M54" i="3" s="1"/>
  <c r="N44" i="3"/>
  <c r="M114" i="3"/>
  <c r="M51" i="3"/>
  <c r="N51" i="3" s="1"/>
  <c r="L138" i="3"/>
  <c r="L147" i="3"/>
  <c r="M144" i="3" s="1"/>
  <c r="C61" i="6"/>
  <c r="G7" i="8"/>
  <c r="K139" i="3"/>
  <c r="C60" i="6"/>
  <c r="C64" i="6" s="1"/>
  <c r="C72" i="6" s="1"/>
  <c r="C75" i="6" s="1"/>
  <c r="K21" i="3"/>
  <c r="K22" i="3" s="1"/>
  <c r="M45" i="3"/>
  <c r="N45" i="3" s="1"/>
  <c r="I9" i="8"/>
  <c r="I28" i="8" s="1"/>
  <c r="N137" i="3"/>
  <c r="N157" i="3"/>
  <c r="E67" i="6"/>
  <c r="E68" i="6" s="1"/>
  <c r="E63" i="6" s="1"/>
  <c r="N33" i="3"/>
  <c r="F67" i="6" s="1"/>
  <c r="F68" i="6" s="1"/>
  <c r="F63" i="6" s="1"/>
  <c r="F21" i="2"/>
  <c r="I21" i="2"/>
  <c r="H21" i="2"/>
  <c r="B22" i="2"/>
  <c r="E21" i="2"/>
  <c r="C22" i="2"/>
  <c r="O18" i="2" l="1"/>
  <c r="G21" i="2"/>
  <c r="D22" i="2"/>
  <c r="O27" i="2"/>
  <c r="J21" i="2"/>
  <c r="G4" i="8"/>
  <c r="D11" i="7"/>
  <c r="B87" i="6"/>
  <c r="B89" i="6" s="1"/>
  <c r="K23" i="3"/>
  <c r="K64" i="3"/>
  <c r="L136" i="3"/>
  <c r="L139" i="3" s="1"/>
  <c r="K38" i="3"/>
  <c r="N49" i="3"/>
  <c r="N54" i="3" s="1"/>
  <c r="E60" i="6"/>
  <c r="F59" i="6"/>
  <c r="F40" i="6"/>
  <c r="M147" i="3"/>
  <c r="N144" i="3" s="1"/>
  <c r="M138" i="3"/>
  <c r="A24" i="2"/>
  <c r="K22" i="2"/>
  <c r="L22" i="2" s="1"/>
  <c r="O8" i="2"/>
  <c r="O5" i="2" s="1"/>
  <c r="O6" i="2" s="1"/>
  <c r="D61" i="6"/>
  <c r="D64" i="6" s="1"/>
  <c r="D72" i="6" s="1"/>
  <c r="D75" i="6" s="1"/>
  <c r="H7" i="8"/>
  <c r="F62" i="6"/>
  <c r="N145" i="3"/>
  <c r="H4" i="8"/>
  <c r="E11" i="7"/>
  <c r="L23" i="3"/>
  <c r="N112" i="3"/>
  <c r="N114" i="3" s="1"/>
  <c r="M116" i="3"/>
  <c r="M118" i="3" s="1"/>
  <c r="M17" i="3" s="1"/>
  <c r="F22" i="2"/>
  <c r="I22" i="2"/>
  <c r="C23" i="2"/>
  <c r="E22" i="2"/>
  <c r="B23" i="2"/>
  <c r="H22" i="2"/>
  <c r="J22" i="2" l="1"/>
  <c r="O26" i="2"/>
  <c r="O24" i="2" s="1"/>
  <c r="D23" i="2"/>
  <c r="G22" i="2"/>
  <c r="O28" i="2"/>
  <c r="O17" i="2"/>
  <c r="O15" i="2" s="1"/>
  <c r="O16" i="2" s="1"/>
  <c r="O19" i="2"/>
  <c r="H16" i="8"/>
  <c r="H30" i="8"/>
  <c r="A25" i="2"/>
  <c r="I7" i="8"/>
  <c r="E61" i="6"/>
  <c r="E64" i="6" s="1"/>
  <c r="E72" i="6" s="1"/>
  <c r="E75" i="6" s="1"/>
  <c r="G16" i="8"/>
  <c r="G30" i="8"/>
  <c r="N20" i="3"/>
  <c r="M20" i="3"/>
  <c r="N138" i="3"/>
  <c r="F61" i="6" s="1"/>
  <c r="N147" i="3"/>
  <c r="O112" i="3"/>
  <c r="O114" i="3" s="1"/>
  <c r="N116" i="3"/>
  <c r="N118" i="3" s="1"/>
  <c r="O9" i="2"/>
  <c r="F60" i="6"/>
  <c r="F64" i="6" s="1"/>
  <c r="F73" i="6"/>
  <c r="E76" i="6" s="1"/>
  <c r="M136" i="3"/>
  <c r="M139" i="3" s="1"/>
  <c r="L38" i="3"/>
  <c r="L64" i="3"/>
  <c r="K66" i="3"/>
  <c r="K67" i="3" s="1"/>
  <c r="K31" i="3" s="1"/>
  <c r="O7" i="2"/>
  <c r="I23" i="2"/>
  <c r="C24" i="2"/>
  <c r="F23" i="2"/>
  <c r="B24" i="2"/>
  <c r="H23" i="2"/>
  <c r="E23" i="2"/>
  <c r="G23" i="2" l="1"/>
  <c r="J23" i="2"/>
  <c r="D24" i="2"/>
  <c r="D12" i="7"/>
  <c r="G35" i="8"/>
  <c r="G38" i="8" s="1"/>
  <c r="G40" i="8" s="1"/>
  <c r="H39" i="8" s="1"/>
  <c r="M21" i="3"/>
  <c r="M22" i="3"/>
  <c r="A26" i="2"/>
  <c r="E12" i="7"/>
  <c r="H35" i="8"/>
  <c r="H38" i="8" s="1"/>
  <c r="H40" i="8" s="1"/>
  <c r="I39" i="8" s="1"/>
  <c r="K162" i="3"/>
  <c r="K36" i="3"/>
  <c r="K41" i="3" s="1"/>
  <c r="P112" i="3"/>
  <c r="P114" i="3" s="1"/>
  <c r="O116" i="3"/>
  <c r="O118" i="3" s="1"/>
  <c r="L66" i="3"/>
  <c r="L67" i="3" s="1"/>
  <c r="L31" i="3" s="1"/>
  <c r="B78" i="6"/>
  <c r="B80" i="6" s="1"/>
  <c r="B83" i="6" s="1"/>
  <c r="N136" i="3"/>
  <c r="N139" i="3" s="1"/>
  <c r="M38" i="3"/>
  <c r="N38" i="3" s="1"/>
  <c r="I24" i="2"/>
  <c r="B25" i="2"/>
  <c r="H24" i="2"/>
  <c r="C25" i="2"/>
  <c r="E24" i="2"/>
  <c r="F24" i="2"/>
  <c r="G24" i="2" l="1"/>
  <c r="J24" i="2"/>
  <c r="D25" i="2"/>
  <c r="F11" i="7"/>
  <c r="I4" i="8"/>
  <c r="M23" i="3"/>
  <c r="L162" i="3"/>
  <c r="L36" i="3"/>
  <c r="L41" i="3" s="1"/>
  <c r="M64" i="3"/>
  <c r="D7" i="7"/>
  <c r="D9" i="7" s="1"/>
  <c r="D15" i="7" s="1"/>
  <c r="C41" i="6"/>
  <c r="C42" i="6" s="1"/>
  <c r="C43" i="6" s="1"/>
  <c r="C45" i="6" s="1"/>
  <c r="K167" i="3"/>
  <c r="P116" i="3"/>
  <c r="P118" i="3" s="1"/>
  <c r="Q112" i="3"/>
  <c r="Q114" i="3" s="1"/>
  <c r="K165" i="3"/>
  <c r="L160" i="3"/>
  <c r="A27" i="2"/>
  <c r="E25" i="2"/>
  <c r="I25" i="2"/>
  <c r="C26" i="2"/>
  <c r="B26" i="2"/>
  <c r="F25" i="2"/>
  <c r="H25" i="2"/>
  <c r="J25" i="2" l="1"/>
  <c r="D26" i="2"/>
  <c r="K26" i="2" s="1"/>
  <c r="L26" i="2" s="1"/>
  <c r="P27" i="2"/>
  <c r="P18" i="2"/>
  <c r="G25" i="2"/>
  <c r="I16" i="8"/>
  <c r="I30" i="8"/>
  <c r="A28" i="2"/>
  <c r="N64" i="3"/>
  <c r="N66" i="3" s="1"/>
  <c r="N67" i="3" s="1"/>
  <c r="N31" i="3" s="1"/>
  <c r="M66" i="3"/>
  <c r="M67" i="3" s="1"/>
  <c r="M31" i="3" s="1"/>
  <c r="D16" i="7"/>
  <c r="G41" i="8"/>
  <c r="G44" i="8" s="1"/>
  <c r="D23" i="7"/>
  <c r="E7" i="7"/>
  <c r="E9" i="7" s="1"/>
  <c r="E15" i="7" s="1"/>
  <c r="D41" i="6"/>
  <c r="D42" i="6" s="1"/>
  <c r="D43" i="6" s="1"/>
  <c r="D45" i="6" s="1"/>
  <c r="L167" i="3"/>
  <c r="L165" i="3"/>
  <c r="M160" i="3"/>
  <c r="P8" i="2"/>
  <c r="P5" i="2" s="1"/>
  <c r="P6" i="2" s="1"/>
  <c r="Q116" i="3"/>
  <c r="Q118" i="3" s="1"/>
  <c r="R112" i="3"/>
  <c r="R114" i="3" s="1"/>
  <c r="H26" i="2"/>
  <c r="C27" i="2"/>
  <c r="E26" i="2"/>
  <c r="B27" i="2"/>
  <c r="F26" i="2"/>
  <c r="I26" i="2"/>
  <c r="P26" i="2" l="1"/>
  <c r="P24" i="2" s="1"/>
  <c r="P17" i="2"/>
  <c r="P15" i="2" s="1"/>
  <c r="P16" i="2" s="1"/>
  <c r="P19" i="2"/>
  <c r="D27" i="2"/>
  <c r="G26" i="2"/>
  <c r="P9" i="2" s="1"/>
  <c r="P28" i="2"/>
  <c r="J26" i="2"/>
  <c r="P7" i="2" s="1"/>
  <c r="M162" i="3"/>
  <c r="M36" i="3"/>
  <c r="M41" i="3" s="1"/>
  <c r="N162" i="3"/>
  <c r="N36" i="3"/>
  <c r="N41" i="3" s="1"/>
  <c r="H41" i="8"/>
  <c r="H44" i="8" s="1"/>
  <c r="E23" i="7"/>
  <c r="E16" i="7"/>
  <c r="A29" i="2"/>
  <c r="R116" i="3"/>
  <c r="R118" i="3" s="1"/>
  <c r="S112" i="3"/>
  <c r="S114" i="3" s="1"/>
  <c r="F12" i="7"/>
  <c r="I35" i="8"/>
  <c r="I38" i="8" s="1"/>
  <c r="I40" i="8" s="1"/>
  <c r="F27" i="2"/>
  <c r="H27" i="2"/>
  <c r="I27" i="2"/>
  <c r="E27" i="2"/>
  <c r="B28" i="2"/>
  <c r="C28" i="2"/>
  <c r="D28" i="2" l="1"/>
  <c r="G27" i="2"/>
  <c r="J27" i="2"/>
  <c r="O160" i="3"/>
  <c r="N165" i="3"/>
  <c r="F7" i="7"/>
  <c r="F9" i="7" s="1"/>
  <c r="E41" i="6"/>
  <c r="E42" i="6" s="1"/>
  <c r="E43" i="6" s="1"/>
  <c r="E45" i="6" s="1"/>
  <c r="M167" i="3"/>
  <c r="M165" i="3"/>
  <c r="N160" i="3"/>
  <c r="A30" i="2"/>
  <c r="S116" i="3"/>
  <c r="S118" i="3" s="1"/>
  <c r="T112" i="3"/>
  <c r="T114" i="3" s="1"/>
  <c r="T116" i="3" s="1"/>
  <c r="T118" i="3" s="1"/>
  <c r="F41" i="6"/>
  <c r="N167" i="3"/>
  <c r="I28" i="2"/>
  <c r="B29" i="2"/>
  <c r="F28" i="2"/>
  <c r="H28" i="2"/>
  <c r="E28" i="2"/>
  <c r="C29" i="2"/>
  <c r="F42" i="6" l="1"/>
  <c r="F43" i="6" s="1"/>
  <c r="F46" i="6" s="1"/>
  <c r="B47" i="6" s="1"/>
  <c r="B52" i="6" s="1"/>
  <c r="G28" i="2"/>
  <c r="J28" i="2"/>
  <c r="D29" i="2"/>
  <c r="I29" i="2"/>
  <c r="B30" i="2"/>
  <c r="H29" i="2"/>
  <c r="C30" i="2"/>
  <c r="F29" i="2"/>
  <c r="E29" i="2"/>
  <c r="B54" i="6" l="1"/>
  <c r="B94" i="6" s="1"/>
  <c r="G29" i="2"/>
  <c r="Q18" i="2"/>
  <c r="J29" i="2"/>
  <c r="D30" i="2"/>
  <c r="Q27" i="2"/>
  <c r="E30" i="2"/>
  <c r="I30" i="2"/>
  <c r="F30" i="2"/>
  <c r="H30" i="2"/>
  <c r="J30" i="2" l="1"/>
  <c r="Q7" i="2" s="1"/>
  <c r="Q26" i="2"/>
  <c r="Q24" i="2" s="1"/>
  <c r="Q19" i="2"/>
  <c r="Q17" i="2"/>
  <c r="Q15" i="2" s="1"/>
  <c r="Q16" i="2" s="1"/>
  <c r="G30" i="2"/>
  <c r="Q9" i="2" s="1"/>
  <c r="Q28" i="2"/>
  <c r="K30" i="2"/>
  <c r="L30" i="2" s="1"/>
  <c r="Q8" i="2"/>
  <c r="Q5" i="2" s="1"/>
  <c r="G3" i="7" l="1"/>
  <c r="Q6" i="2"/>
  <c r="F5" i="7" l="1"/>
  <c r="F6" i="7"/>
  <c r="F15" i="7" l="1"/>
  <c r="F23" i="7" l="1"/>
  <c r="F16" i="7"/>
  <c r="I41" i="8"/>
  <c r="I44" i="8" s="1"/>
</calcChain>
</file>

<file path=xl/sharedStrings.xml><?xml version="1.0" encoding="utf-8"?>
<sst xmlns="http://schemas.openxmlformats.org/spreadsheetml/2006/main" count="929" uniqueCount="462">
  <si>
    <t>Q4 FY'25</t>
  </si>
  <si>
    <t>FY'26 Q1</t>
  </si>
  <si>
    <t>Rest of FY'26 (Estimated)</t>
  </si>
  <si>
    <t>FY'26 End (Estimated)</t>
  </si>
  <si>
    <t>United States of America</t>
  </si>
  <si>
    <t>Canada</t>
  </si>
  <si>
    <t>Other International</t>
  </si>
  <si>
    <t>Stores</t>
  </si>
  <si>
    <t>WACC</t>
  </si>
  <si>
    <t>Terminal Growth rate</t>
  </si>
  <si>
    <t>Revenue Base case time series versus Historical Average</t>
  </si>
  <si>
    <t>2026E</t>
  </si>
  <si>
    <t>2027E</t>
  </si>
  <si>
    <t>2028E</t>
  </si>
  <si>
    <t>2029E</t>
  </si>
  <si>
    <t>Base Case</t>
  </si>
  <si>
    <t>Historical growth</t>
  </si>
  <si>
    <t xml:space="preserve">Reported revenue </t>
  </si>
  <si>
    <t>Lower bound</t>
  </si>
  <si>
    <t>Upper bound</t>
  </si>
  <si>
    <t>Date</t>
  </si>
  <si>
    <t>Net Sales</t>
  </si>
  <si>
    <t>Membership fee</t>
  </si>
  <si>
    <t>Revenue</t>
  </si>
  <si>
    <t>Growth rate</t>
  </si>
  <si>
    <t>Scenario</t>
  </si>
  <si>
    <t>Year</t>
  </si>
  <si>
    <t>Total Revenue</t>
  </si>
  <si>
    <t>Growth</t>
  </si>
  <si>
    <t>Bull Case</t>
  </si>
  <si>
    <t>Bear Case</t>
  </si>
  <si>
    <t>CAGR</t>
  </si>
  <si>
    <t>Financial Statements</t>
  </si>
  <si>
    <t xml:space="preserve"> </t>
  </si>
  <si>
    <t>Income Statement</t>
  </si>
  <si>
    <t xml:space="preserve">Units for figures (Millions of USD) </t>
  </si>
  <si>
    <t>Terminal Year</t>
  </si>
  <si>
    <t>Rate</t>
  </si>
  <si>
    <t>Explanation/ Assumption</t>
  </si>
  <si>
    <t>Net sales</t>
  </si>
  <si>
    <t>As per sheet-&gt; CAGR used</t>
  </si>
  <si>
    <r>
      <rPr>
        <sz val="11"/>
        <color theme="1"/>
        <rFont val="Times New Roman"/>
        <family val="1"/>
      </rPr>
      <t>Sales growth projected using time series forecasting (</t>
    </r>
    <r>
      <rPr>
        <b/>
        <sz val="11"/>
        <color theme="1"/>
        <rFont val="Times New Roman"/>
        <family val="1"/>
      </rPr>
      <t>Detail in Revenue forecast ETS sheet)</t>
    </r>
  </si>
  <si>
    <t>Membership fees</t>
  </si>
  <si>
    <t>Total revenue</t>
  </si>
  <si>
    <t>OPERATING EXPENSES</t>
  </si>
  <si>
    <t>Merchandise costs</t>
  </si>
  <si>
    <r>
      <rPr>
        <sz val="11"/>
        <color theme="1"/>
        <rFont val="Times New Roman"/>
        <family val="1"/>
      </rPr>
      <t xml:space="preserve">Using as percentage rate of sale (average 5 years - </t>
    </r>
    <r>
      <rPr>
        <b/>
        <sz val="11"/>
        <color theme="1"/>
        <rFont val="Times New Roman"/>
        <family val="1"/>
      </rPr>
      <t>Operating Expense</t>
    </r>
    <r>
      <rPr>
        <sz val="11"/>
        <color theme="1"/>
        <rFont val="Times New Roman"/>
        <family val="1"/>
      </rPr>
      <t>)</t>
    </r>
  </si>
  <si>
    <t>Selling, general and administrative</t>
  </si>
  <si>
    <r>
      <rPr>
        <sz val="11"/>
        <color theme="1"/>
        <rFont val="Times New Roman"/>
        <family val="1"/>
      </rPr>
      <t xml:space="preserve">Using as percentage rate of sale (average 5 years - </t>
    </r>
    <r>
      <rPr>
        <b/>
        <sz val="11"/>
        <color theme="1"/>
        <rFont val="Times New Roman"/>
        <family val="1"/>
      </rPr>
      <t>Operating Expense</t>
    </r>
    <r>
      <rPr>
        <sz val="11"/>
        <color theme="1"/>
        <rFont val="Times New Roman"/>
        <family val="1"/>
      </rPr>
      <t>)</t>
    </r>
  </si>
  <si>
    <t>Operating income</t>
  </si>
  <si>
    <t>OTHER INCOME (EXPENSE)</t>
  </si>
  <si>
    <t>Interest expense</t>
  </si>
  <si>
    <r>
      <rPr>
        <sz val="11"/>
        <color theme="1"/>
        <rFont val="Times New Roman"/>
        <family val="1"/>
      </rPr>
      <t xml:space="preserve">Interset expense is average total debt multiple interest rate FY2025 (detail in </t>
    </r>
    <r>
      <rPr>
        <b/>
        <sz val="11"/>
        <color theme="1"/>
        <rFont val="Times New Roman"/>
        <family val="1"/>
      </rPr>
      <t>Debt Modeling</t>
    </r>
    <r>
      <rPr>
        <sz val="11"/>
        <color theme="1"/>
        <rFont val="Times New Roman"/>
        <family val="1"/>
      </rPr>
      <t>)</t>
    </r>
  </si>
  <si>
    <t>Interest income and other, net</t>
  </si>
  <si>
    <t>No change in interest income</t>
  </si>
  <si>
    <t>INCOME BEFORE INCOME TAXES</t>
  </si>
  <si>
    <t>Provision for income taxes</t>
  </si>
  <si>
    <r>
      <rPr>
        <sz val="11"/>
        <color theme="1"/>
        <rFont val="Times New Roman"/>
        <family val="1"/>
      </rPr>
      <t>Appy tax rate 25% (detail in</t>
    </r>
    <r>
      <rPr>
        <b/>
        <sz val="11"/>
        <color theme="1"/>
        <rFont val="Times New Roman"/>
        <family val="1"/>
      </rPr>
      <t xml:space="preserve"> Tax rate</t>
    </r>
    <r>
      <rPr>
        <sz val="11"/>
        <color theme="1"/>
        <rFont val="Times New Roman"/>
        <family val="1"/>
      </rPr>
      <t xml:space="preserve"> below)</t>
    </r>
  </si>
  <si>
    <t>NET INCOME</t>
  </si>
  <si>
    <t>NPM</t>
  </si>
  <si>
    <t>Balance Sheet</t>
  </si>
  <si>
    <t>Terminal year</t>
  </si>
  <si>
    <t>ASSETS</t>
  </si>
  <si>
    <t>CURRENT ASSETS</t>
  </si>
  <si>
    <t>Cash and cash equivalents</t>
  </si>
  <si>
    <t>Cash is a plugged amount</t>
  </si>
  <si>
    <t>Short-term investments</t>
  </si>
  <si>
    <t>nonoperating assets (investments in securities) no change</t>
  </si>
  <si>
    <t>Receivables, net</t>
  </si>
  <si>
    <t>change in proportion with revenue (Using Rate in FY2025)</t>
  </si>
  <si>
    <t>Merchandise inventories</t>
  </si>
  <si>
    <t>Other current assets</t>
  </si>
  <si>
    <t>Total current assets</t>
  </si>
  <si>
    <t>OTHER ASSETS</t>
  </si>
  <si>
    <t>Property and equipment, net</t>
  </si>
  <si>
    <r>
      <rPr>
        <sz val="11"/>
        <color theme="1"/>
        <rFont val="Times New Roman"/>
        <family val="1"/>
      </rPr>
      <t xml:space="preserve">Detail in </t>
    </r>
    <r>
      <rPr>
        <b/>
        <sz val="11"/>
        <color theme="1"/>
        <rFont val="Times New Roman"/>
        <family val="1"/>
      </rPr>
      <t>Fix asset modeling</t>
    </r>
  </si>
  <si>
    <t>Operating lease right-of-use assets</t>
  </si>
  <si>
    <t>Assumpt no change</t>
  </si>
  <si>
    <t>Other long-term assets</t>
  </si>
  <si>
    <t>TOTAL ASSETS</t>
  </si>
  <si>
    <t>LIABILITIES AND EQUITY</t>
  </si>
  <si>
    <t>CURRENT LIABILITIES</t>
  </si>
  <si>
    <t>Accounts payable</t>
  </si>
  <si>
    <t>Accrued salaries and benefits</t>
  </si>
  <si>
    <t>change in proportion with SG&amp;A (Using Rate in FY2025)</t>
  </si>
  <si>
    <t>Accrued member rewards</t>
  </si>
  <si>
    <t>change in proportion with Membership fee ( Using Rate in FY2025)</t>
  </si>
  <si>
    <t>Deferred membership fees</t>
  </si>
  <si>
    <t>Other current liabilities</t>
  </si>
  <si>
    <t>Total current liabilities</t>
  </si>
  <si>
    <t>OTHER LIABILITIES</t>
  </si>
  <si>
    <t>Long-term debt, excluding current portion</t>
  </si>
  <si>
    <r>
      <rPr>
        <sz val="11"/>
        <color theme="1"/>
        <rFont val="Times New Roman"/>
        <family val="1"/>
      </rPr>
      <t xml:space="preserve">Detail in </t>
    </r>
    <r>
      <rPr>
        <b/>
        <sz val="11"/>
        <color theme="1"/>
        <rFont val="Times New Roman"/>
        <family val="1"/>
      </rPr>
      <t>Debt Modeling</t>
    </r>
  </si>
  <si>
    <t>Long-term operating lease liabilities</t>
  </si>
  <si>
    <t>Other long-term liabilities</t>
  </si>
  <si>
    <t>TOTAL LIABILITIES</t>
  </si>
  <si>
    <t>COMMITMENTS AND CONTINGENCIES</t>
  </si>
  <si>
    <t>EQUITY</t>
  </si>
  <si>
    <t>Preferred stock $0.005 par value; 100,000,000 shares</t>
  </si>
  <si>
    <t>authorized; no shares issued and outstanding</t>
  </si>
  <si>
    <t>Common stock $0.005 par value; 900,000,000 shares</t>
  </si>
  <si>
    <t>authorized; 443,237,000 and 443,126,000 shares issued and</t>
  </si>
  <si>
    <t>outstanding</t>
  </si>
  <si>
    <t>Additional paid-in capital</t>
  </si>
  <si>
    <t>Accumulated other comprehensive loss</t>
  </si>
  <si>
    <t>Retained earnings</t>
  </si>
  <si>
    <t>Increase by forecasted net income with  dividend payment</t>
  </si>
  <si>
    <t>TOTAL EQUITY</t>
  </si>
  <si>
    <t>TOTAL LIABILITIES AND EQUITY</t>
  </si>
  <si>
    <t xml:space="preserve">  </t>
  </si>
  <si>
    <t>Sales/ Revenue</t>
  </si>
  <si>
    <t>Revenue by segment (Factset)</t>
  </si>
  <si>
    <t>AUG '20</t>
  </si>
  <si>
    <t>AUG '21</t>
  </si>
  <si>
    <t>AUG '22</t>
  </si>
  <si>
    <t>AUG '23</t>
  </si>
  <si>
    <t>AUG '24</t>
  </si>
  <si>
    <t>AUG '25</t>
  </si>
  <si>
    <t xml:space="preserve">Adjusted Aug'23 </t>
  </si>
  <si>
    <t>364 Days</t>
  </si>
  <si>
    <t>371 Days</t>
  </si>
  <si>
    <t>364 days</t>
  </si>
  <si>
    <t>Total</t>
  </si>
  <si>
    <t>Foods &amp; Sundries</t>
  </si>
  <si>
    <t>Non-Foods</t>
  </si>
  <si>
    <t>Warehouse Ancillary &amp; Other Businesses</t>
  </si>
  <si>
    <t>Fresh Foods</t>
  </si>
  <si>
    <t>Costco's segment growth rates for prior years and summary metrics</t>
  </si>
  <si>
    <t xml:space="preserve">Sales growth rate </t>
  </si>
  <si>
    <t xml:space="preserve">Membership fee </t>
  </si>
  <si>
    <t>5-year average</t>
  </si>
  <si>
    <t>5-year CAGR</t>
  </si>
  <si>
    <t>%2025 sale</t>
  </si>
  <si>
    <t>Weighted Average</t>
  </si>
  <si>
    <t>Weighted CAGR</t>
  </si>
  <si>
    <t>Tax rate</t>
  </si>
  <si>
    <t>Tax rate (Note FS)</t>
  </si>
  <si>
    <t>Operating expense</t>
  </si>
  <si>
    <t>Percentage of Total sales</t>
  </si>
  <si>
    <t xml:space="preserve">Debt </t>
  </si>
  <si>
    <t>AUG '26</t>
  </si>
  <si>
    <t>AUG '27</t>
  </si>
  <si>
    <t>AUG '28</t>
  </si>
  <si>
    <t>AUG '29</t>
  </si>
  <si>
    <t>AUG '30</t>
  </si>
  <si>
    <t>AUG '31</t>
  </si>
  <si>
    <t>AUG '32</t>
  </si>
  <si>
    <t>AUG '33</t>
  </si>
  <si>
    <t>AUG '34</t>
  </si>
  <si>
    <t>AUG '35</t>
  </si>
  <si>
    <t>Long Term Debt</t>
  </si>
  <si>
    <t>Beginning Balance</t>
  </si>
  <si>
    <t>Increase/Decrease</t>
  </si>
  <si>
    <t>-</t>
  </si>
  <si>
    <t>Base on Note to FS - Debt K-10)</t>
  </si>
  <si>
    <t>Ending Balance</t>
  </si>
  <si>
    <t>Average total debt</t>
  </si>
  <si>
    <t>Interest Rate</t>
  </si>
  <si>
    <t>Interest Expense</t>
  </si>
  <si>
    <t xml:space="preserve">Fixed Asset </t>
  </si>
  <si>
    <t>PPE, Net</t>
  </si>
  <si>
    <t xml:space="preserve">Rate </t>
  </si>
  <si>
    <t>Explaination</t>
  </si>
  <si>
    <t>Beginning</t>
  </si>
  <si>
    <r>
      <rPr>
        <sz val="11"/>
        <color theme="1"/>
        <rFont val="Times New Roman"/>
        <family val="1"/>
      </rPr>
      <t>CAPEX (</t>
    </r>
    <r>
      <rPr>
        <b/>
        <sz val="11"/>
        <color theme="1"/>
        <rFont val="Times New Roman"/>
        <family val="1"/>
      </rPr>
      <t>cash flow</t>
    </r>
    <r>
      <rPr>
        <sz val="11"/>
        <color theme="1"/>
        <rFont val="Times New Roman"/>
        <family val="1"/>
      </rPr>
      <t>)</t>
    </r>
  </si>
  <si>
    <t>Using CAPEX-to-Sales ratio FY2025</t>
  </si>
  <si>
    <r>
      <rPr>
        <sz val="11"/>
        <color theme="1"/>
        <rFont val="Times New Roman"/>
        <family val="1"/>
      </rPr>
      <t>Accounting Depreciation (</t>
    </r>
    <r>
      <rPr>
        <b/>
        <sz val="11"/>
        <color theme="1"/>
        <rFont val="Times New Roman"/>
        <family val="1"/>
      </rPr>
      <t>cash flow</t>
    </r>
    <r>
      <rPr>
        <sz val="11"/>
        <color theme="1"/>
        <rFont val="Times New Roman"/>
        <family val="1"/>
      </rPr>
      <t>)</t>
    </r>
  </si>
  <si>
    <t>Ending</t>
  </si>
  <si>
    <t>Forecast Depreciation expense</t>
  </si>
  <si>
    <t>Opening PPE, Gross</t>
  </si>
  <si>
    <t>Adding CAPEX</t>
  </si>
  <si>
    <t>Disposal</t>
  </si>
  <si>
    <t>Ending Balance PPE, Gross</t>
  </si>
  <si>
    <t>Depreciation rate</t>
  </si>
  <si>
    <t>Using rate as 5%</t>
  </si>
  <si>
    <t>Short term Investments</t>
  </si>
  <si>
    <t>5 year average</t>
  </si>
  <si>
    <t>Cash-to-Sales ratio</t>
  </si>
  <si>
    <t>Required cash for forecasted years</t>
  </si>
  <si>
    <t>Beginning Short term investments</t>
  </si>
  <si>
    <t>Beginning cash</t>
  </si>
  <si>
    <t>(Decrease in investments) / Increase in investments</t>
  </si>
  <si>
    <t>Ending Cash</t>
  </si>
  <si>
    <t>Ending Short term investments</t>
  </si>
  <si>
    <t>Excess Cash</t>
  </si>
  <si>
    <t>Marketable securities investments ratio</t>
  </si>
  <si>
    <t>Cost of equity capital</t>
  </si>
  <si>
    <t>Beta</t>
  </si>
  <si>
    <t>Risk free rate</t>
  </si>
  <si>
    <t>Risk premium</t>
  </si>
  <si>
    <t>realized historical premium (factset)</t>
  </si>
  <si>
    <t>Costco, with low beta (≈ 0.99) and defensive retail exposure, deserves a lower cost of equity</t>
  </si>
  <si>
    <t>Cost of debt</t>
  </si>
  <si>
    <t>Use Costco's guidance data from 10-K.</t>
  </si>
  <si>
    <t>($M)</t>
  </si>
  <si>
    <t>Amount</t>
  </si>
  <si>
    <t>Weight</t>
  </si>
  <si>
    <t>Weighted Rate</t>
  </si>
  <si>
    <t>Current finance lease liability</t>
  </si>
  <si>
    <t>Long term finance lease liability</t>
  </si>
  <si>
    <t>Current operating lease liability</t>
  </si>
  <si>
    <t>Long term operating lease liability</t>
  </si>
  <si>
    <t> Senior Notes due May 2027</t>
  </si>
  <si>
    <t> Senior Notes due June 2027</t>
  </si>
  <si>
    <t> Senior Notes due April 2030</t>
  </si>
  <si>
    <t> Senior Notes due April 2032</t>
  </si>
  <si>
    <t>Other long term debt</t>
  </si>
  <si>
    <t>--Pretax Borrowing Rate</t>
  </si>
  <si>
    <t xml:space="preserve">Tax rate </t>
  </si>
  <si>
    <t>--After tax Borrowing Rate</t>
  </si>
  <si>
    <t>WACC Calculations</t>
  </si>
  <si>
    <t>Outstanding shares</t>
  </si>
  <si>
    <t>Shares</t>
  </si>
  <si>
    <t>Price per share</t>
  </si>
  <si>
    <t>$</t>
  </si>
  <si>
    <t>IV of equity</t>
  </si>
  <si>
    <t>$M</t>
  </si>
  <si>
    <t>Weights</t>
  </si>
  <si>
    <t>Cost of debt capital</t>
  </si>
  <si>
    <t>Costco</t>
  </si>
  <si>
    <t>Re</t>
  </si>
  <si>
    <t>S&amp;P500</t>
  </si>
  <si>
    <t>Rm</t>
  </si>
  <si>
    <t>Rf</t>
  </si>
  <si>
    <t>Monthly Rf</t>
  </si>
  <si>
    <t>Rm-Rf</t>
  </si>
  <si>
    <t>Re-Rf</t>
  </si>
  <si>
    <t xml:space="preserve">Costco Beta: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</si>
  <si>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</si>
  <si>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</si>
  <si>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</si>
  <si>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</si>
  <si>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</si>
  <si>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</si>
  <si>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</si>
  <si>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</si>
  <si>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</si>
  <si>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</si>
  <si>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</si>
  <si>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</si>
  <si>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</si>
  <si>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</si>
  <si>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</si>
  <si>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</si>
  <si>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</si>
  <si>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</si>
  <si>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</si>
  <si>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</si>
  <si>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</si>
  <si>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</si>
  <si>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</si>
  <si>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</si>
  <si>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Equation:</t>
  </si>
  <si>
    <t>(Re-Rf) =-0.006 + 0.996*(Rm-Rf)</t>
  </si>
  <si>
    <t xml:space="preserve">Market premium </t>
  </si>
  <si>
    <t>Costco, with low beta (0.99) and defensive retail exposure, deserves a lower cost of equity</t>
  </si>
  <si>
    <t>Using Costco's guidance data from 10-K</t>
  </si>
  <si>
    <t>Valuation - DCF Model</t>
  </si>
  <si>
    <t>statutory tax rate:</t>
  </si>
  <si>
    <t>Terminal Growth Rate</t>
  </si>
  <si>
    <t>2025A</t>
  </si>
  <si>
    <t>NOPAT</t>
  </si>
  <si>
    <t>OI × (1 - tax rate)</t>
  </si>
  <si>
    <t>NOA</t>
  </si>
  <si>
    <t>increase NOA</t>
  </si>
  <si>
    <t>FCFF =NOPAT - Increase in NOA</t>
  </si>
  <si>
    <t>discount factor</t>
  </si>
  <si>
    <t>Present value of horizon FCFF</t>
  </si>
  <si>
    <t>Present value of terminal FCFF</t>
  </si>
  <si>
    <t>FCFF_TV/(WACC-g) × DF_yr3</t>
  </si>
  <si>
    <t>Firm Value</t>
  </si>
  <si>
    <t>Less NNO</t>
  </si>
  <si>
    <t>Preferred Stock</t>
  </si>
  <si>
    <t>Noncontrolling interest</t>
  </si>
  <si>
    <t>(LT Debt + LT Lease) - (Cash + ST Inv)</t>
  </si>
  <si>
    <t>Firm equity value</t>
  </si>
  <si>
    <t>share ourstanding</t>
  </si>
  <si>
    <t>Intrinsic value</t>
  </si>
  <si>
    <t>Industry P/E</t>
  </si>
  <si>
    <t>Exit multiple method Valuation</t>
  </si>
  <si>
    <t>EBIT</t>
  </si>
  <si>
    <t>Taxes</t>
  </si>
  <si>
    <t>D&amp;A</t>
  </si>
  <si>
    <t>Capital Expenditure</t>
  </si>
  <si>
    <t>Change in Working Capital</t>
  </si>
  <si>
    <t>Unlevered Free Cash Flow</t>
  </si>
  <si>
    <t>Enterprise Value</t>
  </si>
  <si>
    <t>EBITDA</t>
  </si>
  <si>
    <t xml:space="preserve">EV/EBITDA </t>
  </si>
  <si>
    <t>$201 B</t>
  </si>
  <si>
    <t>$8.089 B</t>
  </si>
  <si>
    <t>Working capital</t>
  </si>
  <si>
    <t>$229 B</t>
  </si>
  <si>
    <t>$9.944 B</t>
  </si>
  <si>
    <t>$238.7 B</t>
  </si>
  <si>
    <t>$10.329 B</t>
  </si>
  <si>
    <t>$393.4 B</t>
  </si>
  <si>
    <t>$11.243 B</t>
  </si>
  <si>
    <t>Historical 5 Year average EV/EBITDA multiple</t>
  </si>
  <si>
    <t>$411.8 B</t>
  </si>
  <si>
    <t>$12.442 B</t>
  </si>
  <si>
    <t>Average</t>
  </si>
  <si>
    <t>FCFF</t>
  </si>
  <si>
    <t>Terminal value</t>
  </si>
  <si>
    <t>PV of FCFF</t>
  </si>
  <si>
    <t>PV of Terminal Value</t>
  </si>
  <si>
    <t>Net debt</t>
  </si>
  <si>
    <t>Equity Value</t>
  </si>
  <si>
    <t>No of shares outstanding</t>
  </si>
  <si>
    <t>Share price</t>
  </si>
  <si>
    <t>EPS for the next 12 months</t>
  </si>
  <si>
    <t>Target Price</t>
  </si>
  <si>
    <t>So</t>
  </si>
  <si>
    <t>S1</t>
  </si>
  <si>
    <t>g.S0</t>
  </si>
  <si>
    <t>Delta S</t>
  </si>
  <si>
    <t>Ao*</t>
  </si>
  <si>
    <t>Lo*</t>
  </si>
  <si>
    <t>Ao*/So</t>
  </si>
  <si>
    <t>Lo*/So*</t>
  </si>
  <si>
    <t>M</t>
  </si>
  <si>
    <t>POR</t>
  </si>
  <si>
    <t>Additional Financing Needs</t>
  </si>
  <si>
    <t>Formula used:</t>
  </si>
  <si>
    <t>AFN=(A∗/S0​)ΔS−(L∗/S0​)ΔS−(M×S1​×POR)</t>
  </si>
  <si>
    <t>The surplus cash in ech year can be used to pay special dividends or increase the payout ratio</t>
  </si>
  <si>
    <t>Special dividends each year/additional dividends each year</t>
  </si>
  <si>
    <t>Cashflow Statement</t>
  </si>
  <si>
    <t>CASH FLOWS FROM OPERATING ACTIVITIES</t>
  </si>
  <si>
    <t>Explanation/Assumptions</t>
  </si>
  <si>
    <t>Net income</t>
  </si>
  <si>
    <t>Adjustments to reconcile net income to net cash provided by operating activities:</t>
  </si>
  <si>
    <t>Depreciation and amortization</t>
  </si>
  <si>
    <t>Non-cash lease expense</t>
  </si>
  <si>
    <t>% of operating ROU lease</t>
  </si>
  <si>
    <t>Stock-based compensation</t>
  </si>
  <si>
    <t>% SG&amp;A expenses</t>
  </si>
  <si>
    <t>Impairment of assets and other non-cash operating</t>
  </si>
  <si>
    <t>activities, net</t>
  </si>
  <si>
    <t>Changes in operating assets and liabilities:</t>
  </si>
  <si>
    <t>Other operating assets and liabilities, net</t>
  </si>
  <si>
    <t>Net cash provided by operating activities</t>
  </si>
  <si>
    <t>CASH FLOWS FROM INVESTING ACTIVITIES</t>
  </si>
  <si>
    <t>Additions to property and equipment</t>
  </si>
  <si>
    <t>Purchases of short-term investments</t>
  </si>
  <si>
    <t>Maturities of short-term investments</t>
  </si>
  <si>
    <t>Other investing activities, net</t>
  </si>
  <si>
    <t>Net cash used in investing activities</t>
  </si>
  <si>
    <t>CASH FLOWS FROM FINANCING ACTIVITIES</t>
  </si>
  <si>
    <t>Repayments of short-term borrowings</t>
  </si>
  <si>
    <t>Proceeds from short-term borrowings</t>
  </si>
  <si>
    <t>Linked toAdditional Financing needs</t>
  </si>
  <si>
    <t>Repayments of long-term debt</t>
  </si>
  <si>
    <t>Amount in millions left for share repurchase program expiring in January 2027 (Fiscal year 2028)</t>
  </si>
  <si>
    <t>Proceeds from issuance of long-term debt</t>
  </si>
  <si>
    <t>Tax withholdings on stock-based awards</t>
  </si>
  <si>
    <t>Repurchases of common stock</t>
  </si>
  <si>
    <t>Cash dividend payments</t>
  </si>
  <si>
    <t>Dividend payout ratio</t>
  </si>
  <si>
    <t>Financing lease payments and other financing activities net</t>
  </si>
  <si>
    <t xml:space="preserve">Note 5: Lease repayment schedule 10k </t>
  </si>
  <si>
    <t>Dividend to noncontrolling interest</t>
  </si>
  <si>
    <t>Acquisition of noncontrolling interest</t>
  </si>
  <si>
    <t>Other financing activities, net</t>
  </si>
  <si>
    <t>Net cash used in financing activities</t>
  </si>
  <si>
    <t>EFFECT OF EXCHANGE RATE CHANGES ON CASH AND CASH</t>
  </si>
  <si>
    <t>EQUIVALENTS</t>
  </si>
  <si>
    <t>Net change in cash and cash equivalents</t>
  </si>
  <si>
    <t>CASH AND CASH EQUIVALENTS BEGINNING OF YEAR</t>
  </si>
  <si>
    <t>CASH AND CASH EQUIVALENTS END OF YEAR</t>
  </si>
  <si>
    <t>Additional Financing Needs surplus</t>
  </si>
  <si>
    <t>This can be used by the company to pay special dividends in 2026, 2027 and 2028</t>
  </si>
  <si>
    <t>Special dividends per share</t>
  </si>
  <si>
    <t>Inventory</t>
  </si>
  <si>
    <t>Selected Ratios for Costco</t>
  </si>
  <si>
    <t>Formulas Used</t>
  </si>
  <si>
    <t>5-Year Avg</t>
  </si>
  <si>
    <t>Current Ratio</t>
  </si>
  <si>
    <t>CA/CL</t>
  </si>
  <si>
    <t>Quick Ratio</t>
  </si>
  <si>
    <t>(Cash+Marketable Securities
+Receivables)/CL</t>
  </si>
  <si>
    <t>TL/Assets</t>
  </si>
  <si>
    <t>Total Liabilities/Total Assets</t>
  </si>
  <si>
    <t>Inventory Turnover</t>
  </si>
  <si>
    <t>COGS/Inventory</t>
  </si>
  <si>
    <t>Cash Turnover</t>
  </si>
  <si>
    <t>Net Sales/Cash and cash equivalents</t>
  </si>
  <si>
    <t>Fixed Asset Turnover</t>
  </si>
  <si>
    <t>Net Sales/Avg Net FA</t>
  </si>
  <si>
    <t>Total Asset Turnover</t>
  </si>
  <si>
    <t>Net Sales/Avg Total Assets</t>
  </si>
  <si>
    <t>Gross Profit Margin</t>
  </si>
  <si>
    <t>(Net Sales - COGS)/Net Sales</t>
  </si>
  <si>
    <t>Net Profit Margin</t>
  </si>
  <si>
    <t>Net Income/Net Sales</t>
  </si>
  <si>
    <t>Return on Equity</t>
  </si>
  <si>
    <t>Net Income/Equity</t>
  </si>
  <si>
    <t>Cash Conversion Cycle</t>
  </si>
  <si>
    <t>ICP + DSO - PDP</t>
  </si>
  <si>
    <t>Inventory Conversion Period</t>
  </si>
  <si>
    <t>Inventory/(COGS/365)</t>
  </si>
  <si>
    <t>Days Sales Outstanding (DSO)</t>
  </si>
  <si>
    <t>AR/(Sales/365)</t>
  </si>
  <si>
    <t>Payables Deferral Period</t>
  </si>
  <si>
    <t>AP/(COGS/365)</t>
  </si>
  <si>
    <t>Company Comparisons in 2024</t>
  </si>
  <si>
    <t>CCC</t>
  </si>
  <si>
    <t>ICP</t>
  </si>
  <si>
    <t>DSO</t>
  </si>
  <si>
    <t>PDP</t>
  </si>
  <si>
    <t>Averages w/ Amazon</t>
  </si>
  <si>
    <t>Averages w/o Amazon</t>
  </si>
  <si>
    <t>Walmart</t>
  </si>
  <si>
    <t>Target</t>
  </si>
  <si>
    <t>Amazon</t>
  </si>
  <si>
    <t>Created by EDGAR Online, Inc.</t>
  </si>
  <si>
    <t/>
  </si>
  <si>
    <t>COSTCO WHOLESALE CORP /NEW</t>
  </si>
  <si>
    <t>INCOME_STATEMENT</t>
  </si>
  <si>
    <t>Form Type: 10-K</t>
  </si>
  <si>
    <t>Period End: Aug 31, 2025</t>
  </si>
  <si>
    <t>Date Filed: Oct 08, 2025</t>
  </si>
  <si>
    <t>Table Of Contents</t>
  </si>
  <si>
    <t>COSTCO WHOLESALE CORPORATION</t>
  </si>
  <si>
    <t>CONSOLIDATED STATEMENTS OF INCOME</t>
  </si>
  <si>
    <t>(amounts in millions, except per share data)</t>
  </si>
  <si>
    <t>Weeks Ended</t>
  </si>
  <si>
    <t>August 31,</t>
  </si>
  <si>
    <t>September 1,</t>
  </si>
  <si>
    <t>September 3,</t>
  </si>
  <si>
    <t>August 28,</t>
  </si>
  <si>
    <t>August 29,</t>
  </si>
  <si>
    <t>REVENUE</t>
  </si>
  <si>
    <t>NET INCOME PER COMMON SHARE:</t>
  </si>
  <si>
    <t>Basic</t>
  </si>
  <si>
    <t>Diluted</t>
  </si>
  <si>
    <t>Shares used in calculation (000's)</t>
  </si>
  <si>
    <t>Gross Profit</t>
  </si>
  <si>
    <t>From Factset</t>
  </si>
  <si>
    <t>NOPAT at 22% Tax Rate</t>
  </si>
  <si>
    <t>BALANCE_SHEET</t>
  </si>
  <si>
    <t>CONSOLIDATED BALANCE SHEETS</t>
  </si>
  <si>
    <t>(amounts in millions, except par value and share data)</t>
  </si>
  <si>
    <t>August 30,</t>
  </si>
  <si>
    <t>Operating Asset</t>
  </si>
  <si>
    <t>Oerating liability</t>
  </si>
  <si>
    <t>DPO</t>
  </si>
  <si>
    <t>DIO</t>
  </si>
  <si>
    <t>CASH_FLOW</t>
  </si>
  <si>
    <t>CONSOLIDATED STATEMENTS OF CASH FLOWS</t>
  </si>
  <si>
    <t>(amounts in millions)</t>
  </si>
  <si>
    <t>Adjustments to reconcile net income to net cash</t>
  </si>
  <si>
    <t>provided by operating activities:</t>
  </si>
  <si>
    <t>SUPPLEMENTAL DISCLOSURE OF CASH FLOW INFORMATION:</t>
  </si>
  <si>
    <t>Cash paid during the year for:</t>
  </si>
  <si>
    <t>Interest</t>
  </si>
  <si>
    <t>Income taxes, net</t>
  </si>
  <si>
    <t>SUPPLEMENTAL DISCLOSURE OF NON-CASH ACTIVITIES:</t>
  </si>
  <si>
    <t>Cash dividend declared, but not yet paid</t>
  </si>
  <si>
    <t>Capital expenditures included in liabilities</t>
  </si>
  <si>
    <t>Sensitivity Analysis</t>
  </si>
  <si>
    <t>WACC/Terminal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</si>
</sst>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[$-409]mmm\-yy"/>
    <numFmt numFmtId="166" formatCode="_(&quot;$&quot;* #,##0_);_(&quot;$&quot;* \(#,##0\);_(&quot;$&quot;* &quot;-&quot;??_);_(@_)"/>
    <numFmt numFmtId="167" formatCode="0.0%"/>
    <numFmt numFmtId="168" formatCode="0&quot;A&quot;"/>
    <numFmt numFmtId="169" formatCode="0&quot;E&quot;"/>
    <numFmt numFmtId="170" formatCode="_(* #,##0_);_(* \(#,##0\);_(* &quot;-&quot;??_);_(@_)"/>
    <numFmt numFmtId="171" formatCode="_(* #,##0.000_);_(* \(#,##0.000\);_(* &quot;-&quot;??_);_(@_)"/>
    <numFmt numFmtId="172" formatCode="0.000%"/>
    <numFmt numFmtId="173" formatCode="0.0000"/>
    <numFmt numFmtId="174" formatCode="mm/dd/yy"/>
    <numFmt numFmtId="175" formatCode="0.000"/>
    <numFmt numFmtId="176" formatCode="_(&quot;$&quot;* #,##0.0_);_(&quot;$&quot;* \(#,##0.0\);_(&quot;$&quot;* &quot;-&quot;??_);_(@_)"/>
    <numFmt numFmtId="177" formatCode="0.0"/>
    <numFmt numFmtId="178" formatCode="_(&quot;$&quot;* #,##0.00_);_(&quot;$&quot;* \(#,##0.00\);_(&quot;$&quot;* &quot;-&quot;_);_(@_)"/>
    <numFmt numFmtId="179" formatCode="0.0000000000"/>
  </numFmts>
  <fonts count="26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Aptos Narrow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&quot;Times New Roman&quot;"/>
    </font>
    <font>
      <b/>
      <sz val="11"/>
      <color rgb="FFFF0000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Times New Roman"/>
      <family val="1"/>
    </font>
    <font>
      <i/>
      <sz val="11"/>
      <color theme="1"/>
      <name val="Times New Roman"/>
      <family val="1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1"/>
      <color rgb="FF000000"/>
      <name val="&quot;Times New Roman&quot;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sz val="11"/>
      <color rgb="FFFF0000"/>
      <name val="Aptos Narrow"/>
      <family val="2"/>
    </font>
    <font>
      <sz val="10"/>
      <color rgb="FFFF0000"/>
      <name val="Arial"/>
      <family val="2"/>
    </font>
    <font>
      <b/>
      <sz val="9"/>
      <color rgb="FF000000"/>
      <name val="Arial"/>
      <family val="2"/>
    </font>
    <font>
      <sz val="11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E8E8E8"/>
        <bgColor rgb="FFE8E8E8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C8C8C8"/>
        <bgColor rgb="FFC8C8C8"/>
      </patternFill>
    </fill>
    <fill>
      <patternFill patternType="solid">
        <fgColor rgb="FFD8D8D8"/>
        <bgColor rgb="FFD8D8D8"/>
      </patternFill>
    </fill>
    <fill>
      <patternFill patternType="solid">
        <fgColor rgb="FFC1E4F5"/>
        <bgColor rgb="FFC1E4F5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rgb="FFB7B7B7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rgb="FFD8D8D8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2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/>
    </xf>
    <xf numFmtId="164" fontId="2" fillId="2" borderId="1" xfId="0" applyNumberFormat="1" applyFont="1" applyFill="1" applyBorder="1"/>
    <xf numFmtId="0" fontId="5" fillId="0" borderId="0" xfId="0" applyFont="1"/>
    <xf numFmtId="0" fontId="6" fillId="0" borderId="11" xfId="0" applyFont="1" applyBorder="1" applyAlignment="1">
      <alignment horizontal="center"/>
    </xf>
    <xf numFmtId="0" fontId="6" fillId="0" borderId="0" xfId="0" applyFont="1"/>
    <xf numFmtId="165" fontId="5" fillId="0" borderId="11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vertical="top"/>
    </xf>
    <xf numFmtId="166" fontId="5" fillId="0" borderId="11" xfId="0" applyNumberFormat="1" applyFont="1" applyBorder="1"/>
    <xf numFmtId="0" fontId="5" fillId="0" borderId="11" xfId="0" applyFont="1" applyBorder="1"/>
    <xf numFmtId="0" fontId="6" fillId="0" borderId="11" xfId="0" applyFont="1" applyBorder="1"/>
    <xf numFmtId="166" fontId="6" fillId="0" borderId="11" xfId="0" applyNumberFormat="1" applyFont="1" applyBorder="1"/>
    <xf numFmtId="166" fontId="5" fillId="0" borderId="0" xfId="0" applyNumberFormat="1" applyFont="1"/>
    <xf numFmtId="9" fontId="5" fillId="0" borderId="11" xfId="0" applyNumberFormat="1" applyFont="1" applyBorder="1"/>
    <xf numFmtId="9" fontId="5" fillId="0" borderId="0" xfId="0" applyNumberFormat="1" applyFont="1"/>
    <xf numFmtId="0" fontId="7" fillId="0" borderId="0" xfId="0" applyFont="1"/>
    <xf numFmtId="10" fontId="7" fillId="0" borderId="0" xfId="0" applyNumberFormat="1" applyFont="1" applyAlignment="1">
      <alignment horizontal="right"/>
    </xf>
    <xf numFmtId="167" fontId="5" fillId="0" borderId="0" xfId="0" applyNumberFormat="1" applyFont="1"/>
    <xf numFmtId="9" fontId="6" fillId="0" borderId="0" xfId="0" applyNumberFormat="1" applyFont="1"/>
    <xf numFmtId="165" fontId="5" fillId="0" borderId="12" xfId="0" applyNumberFormat="1" applyFont="1" applyBorder="1" applyAlignment="1">
      <alignment horizontal="center"/>
    </xf>
    <xf numFmtId="166" fontId="5" fillId="0" borderId="12" xfId="0" applyNumberFormat="1" applyFont="1" applyBorder="1" applyAlignment="1">
      <alignment vertical="top"/>
    </xf>
    <xf numFmtId="166" fontId="5" fillId="0" borderId="12" xfId="0" applyNumberFormat="1" applyFont="1" applyBorder="1"/>
    <xf numFmtId="0" fontId="5" fillId="0" borderId="12" xfId="0" applyFont="1" applyBorder="1"/>
    <xf numFmtId="165" fontId="5" fillId="0" borderId="13" xfId="0" applyNumberFormat="1" applyFont="1" applyBorder="1" applyAlignment="1">
      <alignment horizontal="center"/>
    </xf>
    <xf numFmtId="166" fontId="5" fillId="0" borderId="13" xfId="0" applyNumberFormat="1" applyFont="1" applyBorder="1"/>
    <xf numFmtId="165" fontId="5" fillId="0" borderId="14" xfId="0" applyNumberFormat="1" applyFont="1" applyBorder="1" applyAlignment="1">
      <alignment horizontal="center"/>
    </xf>
    <xf numFmtId="166" fontId="5" fillId="0" borderId="14" xfId="0" applyNumberFormat="1" applyFont="1" applyBorder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8" fontId="5" fillId="0" borderId="15" xfId="0" applyNumberFormat="1" applyFont="1" applyBorder="1"/>
    <xf numFmtId="169" fontId="5" fillId="0" borderId="15" xfId="0" applyNumberFormat="1" applyFont="1" applyBorder="1"/>
    <xf numFmtId="169" fontId="5" fillId="5" borderId="16" xfId="0" applyNumberFormat="1" applyFont="1" applyFill="1" applyBorder="1" applyAlignment="1">
      <alignment horizontal="center" vertical="center"/>
    </xf>
    <xf numFmtId="169" fontId="6" fillId="0" borderId="15" xfId="0" applyNumberFormat="1" applyFont="1" applyBorder="1"/>
    <xf numFmtId="0" fontId="5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170" fontId="5" fillId="0" borderId="0" xfId="0" applyNumberFormat="1" applyFont="1"/>
    <xf numFmtId="167" fontId="5" fillId="5" borderId="1" xfId="0" applyNumberFormat="1" applyFont="1" applyFill="1" applyBorder="1" applyAlignment="1">
      <alignment horizontal="center" vertical="center"/>
    </xf>
    <xf numFmtId="10" fontId="5" fillId="0" borderId="0" xfId="0" applyNumberFormat="1" applyFont="1"/>
    <xf numFmtId="10" fontId="5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170" fontId="6" fillId="0" borderId="0" xfId="0" applyNumberFormat="1" applyFont="1"/>
    <xf numFmtId="0" fontId="6" fillId="5" borderId="1" xfId="0" applyFont="1" applyFill="1" applyBorder="1" applyAlignment="1">
      <alignment horizontal="center" vertical="center"/>
    </xf>
    <xf numFmtId="167" fontId="6" fillId="0" borderId="0" xfId="0" applyNumberFormat="1" applyFont="1"/>
    <xf numFmtId="2" fontId="6" fillId="0" borderId="0" xfId="0" applyNumberFormat="1" applyFont="1"/>
    <xf numFmtId="170" fontId="5" fillId="0" borderId="0" xfId="0" applyNumberFormat="1" applyFont="1" applyAlignment="1">
      <alignment horizontal="center" vertical="center"/>
    </xf>
    <xf numFmtId="169" fontId="5" fillId="0" borderId="15" xfId="0" applyNumberFormat="1" applyFont="1" applyBorder="1" applyAlignment="1">
      <alignment horizontal="center"/>
    </xf>
    <xf numFmtId="170" fontId="5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5" fillId="0" borderId="0" xfId="0" applyNumberFormat="1" applyFont="1"/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6" fillId="5" borderId="1" xfId="0" applyFont="1" applyFill="1" applyBorder="1"/>
    <xf numFmtId="10" fontId="6" fillId="5" borderId="1" xfId="0" applyNumberFormat="1" applyFont="1" applyFill="1" applyBorder="1"/>
    <xf numFmtId="0" fontId="5" fillId="5" borderId="1" xfId="0" applyFont="1" applyFill="1" applyBorder="1"/>
    <xf numFmtId="10" fontId="6" fillId="0" borderId="0" xfId="0" applyNumberFormat="1" applyFont="1"/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3" fontId="6" fillId="0" borderId="17" xfId="0" applyNumberFormat="1" applyFont="1" applyBorder="1"/>
    <xf numFmtId="0" fontId="6" fillId="0" borderId="17" xfId="0" applyFont="1" applyBorder="1"/>
    <xf numFmtId="10" fontId="6" fillId="0" borderId="17" xfId="0" applyNumberFormat="1" applyFont="1" applyBorder="1"/>
    <xf numFmtId="10" fontId="6" fillId="5" borderId="18" xfId="0" applyNumberFormat="1" applyFont="1" applyFill="1" applyBorder="1"/>
    <xf numFmtId="9" fontId="6" fillId="0" borderId="17" xfId="0" applyNumberFormat="1" applyFont="1" applyBorder="1"/>
    <xf numFmtId="0" fontId="6" fillId="0" borderId="0" xfId="0" applyFont="1" applyAlignment="1">
      <alignment horizontal="center" vertical="center"/>
    </xf>
    <xf numFmtId="10" fontId="5" fillId="5" borderId="1" xfId="0" applyNumberFormat="1" applyFont="1" applyFill="1" applyBorder="1"/>
    <xf numFmtId="0" fontId="6" fillId="6" borderId="1" xfId="0" applyFont="1" applyFill="1" applyBorder="1" applyAlignment="1">
      <alignment horizontal="left" vertical="center"/>
    </xf>
    <xf numFmtId="10" fontId="5" fillId="0" borderId="0" xfId="0" applyNumberFormat="1" applyFont="1" applyAlignment="1">
      <alignment vertical="top"/>
    </xf>
    <xf numFmtId="9" fontId="5" fillId="0" borderId="0" xfId="0" applyNumberFormat="1" applyFont="1" applyAlignment="1">
      <alignment vertical="top"/>
    </xf>
    <xf numFmtId="0" fontId="5" fillId="4" borderId="1" xfId="0" applyFont="1" applyFill="1" applyBorder="1"/>
    <xf numFmtId="0" fontId="5" fillId="0" borderId="0" xfId="0" applyFont="1" applyAlignment="1">
      <alignment horizontal="left"/>
    </xf>
    <xf numFmtId="43" fontId="5" fillId="0" borderId="0" xfId="0" applyNumberFormat="1" applyFont="1"/>
    <xf numFmtId="167" fontId="8" fillId="0" borderId="0" xfId="0" applyNumberFormat="1" applyFont="1"/>
    <xf numFmtId="37" fontId="5" fillId="0" borderId="0" xfId="0" applyNumberFormat="1" applyFont="1"/>
    <xf numFmtId="10" fontId="5" fillId="0" borderId="0" xfId="0" applyNumberFormat="1" applyFont="1" applyAlignment="1">
      <alignment horizontal="center" vertical="center"/>
    </xf>
    <xf numFmtId="170" fontId="8" fillId="0" borderId="0" xfId="0" applyNumberFormat="1" applyFont="1"/>
    <xf numFmtId="0" fontId="6" fillId="0" borderId="0" xfId="0" applyFont="1" applyAlignment="1">
      <alignment horizontal="left"/>
    </xf>
    <xf numFmtId="10" fontId="8" fillId="0" borderId="0" xfId="0" applyNumberFormat="1" applyFont="1"/>
    <xf numFmtId="1" fontId="5" fillId="0" borderId="0" xfId="0" applyNumberFormat="1" applyFont="1"/>
    <xf numFmtId="2" fontId="5" fillId="0" borderId="0" xfId="0" applyNumberFormat="1" applyFont="1"/>
    <xf numFmtId="0" fontId="9" fillId="7" borderId="1" xfId="0" applyFont="1" applyFill="1" applyBorder="1"/>
    <xf numFmtId="0" fontId="1" fillId="0" borderId="0" xfId="0" applyFont="1"/>
    <xf numFmtId="0" fontId="10" fillId="0" borderId="0" xfId="0" applyFont="1"/>
    <xf numFmtId="171" fontId="10" fillId="0" borderId="0" xfId="0" applyNumberFormat="1" applyFont="1" applyAlignment="1">
      <alignment horizontal="right"/>
    </xf>
    <xf numFmtId="172" fontId="10" fillId="0" borderId="0" xfId="0" applyNumberFormat="1" applyFont="1" applyAlignment="1">
      <alignment horizontal="right"/>
    </xf>
    <xf numFmtId="0" fontId="9" fillId="0" borderId="0" xfId="0" applyFont="1"/>
    <xf numFmtId="172" fontId="1" fillId="0" borderId="0" xfId="0" applyNumberFormat="1" applyFont="1"/>
    <xf numFmtId="0" fontId="9" fillId="0" borderId="0" xfId="0" applyFont="1" applyAlignment="1">
      <alignment horizontal="center"/>
    </xf>
    <xf numFmtId="170" fontId="10" fillId="0" borderId="0" xfId="0" applyNumberFormat="1" applyFont="1" applyAlignment="1">
      <alignment horizontal="right"/>
    </xf>
    <xf numFmtId="10" fontId="10" fillId="0" borderId="0" xfId="0" applyNumberFormat="1" applyFont="1" applyAlignment="1">
      <alignment horizontal="right"/>
    </xf>
    <xf numFmtId="0" fontId="1" fillId="0" borderId="17" xfId="0" applyFont="1" applyBorder="1"/>
    <xf numFmtId="170" fontId="9" fillId="0" borderId="17" xfId="0" applyNumberFormat="1" applyFont="1" applyBorder="1" applyAlignment="1">
      <alignment horizontal="right"/>
    </xf>
    <xf numFmtId="172" fontId="9" fillId="0" borderId="17" xfId="0" applyNumberFormat="1" applyFont="1" applyBorder="1" applyAlignment="1">
      <alignment horizontal="right"/>
    </xf>
    <xf numFmtId="0" fontId="9" fillId="8" borderId="1" xfId="0" applyFont="1" applyFill="1" applyBorder="1"/>
    <xf numFmtId="170" fontId="1" fillId="0" borderId="0" xfId="0" applyNumberFormat="1" applyFont="1"/>
    <xf numFmtId="172" fontId="9" fillId="0" borderId="0" xfId="0" applyNumberFormat="1" applyFont="1" applyAlignment="1">
      <alignment horizontal="right"/>
    </xf>
    <xf numFmtId="0" fontId="1" fillId="8" borderId="1" xfId="0" applyFont="1" applyFill="1" applyBorder="1"/>
    <xf numFmtId="0" fontId="9" fillId="8" borderId="1" xfId="0" quotePrefix="1" applyFont="1" applyFill="1" applyBorder="1"/>
    <xf numFmtId="0" fontId="9" fillId="9" borderId="1" xfId="0" applyFont="1" applyFill="1" applyBorder="1"/>
    <xf numFmtId="43" fontId="10" fillId="0" borderId="0" xfId="0" applyNumberFormat="1" applyFont="1" applyAlignment="1">
      <alignment horizontal="right"/>
    </xf>
    <xf numFmtId="170" fontId="9" fillId="0" borderId="0" xfId="0" applyNumberFormat="1" applyFont="1" applyAlignment="1">
      <alignment horizontal="right"/>
    </xf>
    <xf numFmtId="0" fontId="9" fillId="10" borderId="1" xfId="0" applyFont="1" applyFill="1" applyBorder="1"/>
    <xf numFmtId="0" fontId="1" fillId="10" borderId="1" xfId="0" applyFont="1" applyFill="1" applyBorder="1"/>
    <xf numFmtId="10" fontId="9" fillId="10" borderId="1" xfId="0" applyNumberFormat="1" applyFont="1" applyFill="1" applyBorder="1" applyAlignment="1">
      <alignment horizontal="right"/>
    </xf>
    <xf numFmtId="0" fontId="11" fillId="11" borderId="11" xfId="0" applyFont="1" applyFill="1" applyBorder="1" applyAlignment="1">
      <alignment horizontal="center"/>
    </xf>
    <xf numFmtId="0" fontId="11" fillId="11" borderId="19" xfId="0" applyFont="1" applyFill="1" applyBorder="1" applyAlignment="1">
      <alignment horizontal="center"/>
    </xf>
    <xf numFmtId="173" fontId="6" fillId="0" borderId="0" xfId="0" applyNumberFormat="1" applyFont="1"/>
    <xf numFmtId="173" fontId="5" fillId="0" borderId="0" xfId="0" applyNumberFormat="1" applyFont="1"/>
    <xf numFmtId="174" fontId="5" fillId="0" borderId="11" xfId="0" applyNumberFormat="1" applyFont="1" applyBorder="1"/>
    <xf numFmtId="4" fontId="5" fillId="0" borderId="11" xfId="0" applyNumberFormat="1" applyFont="1" applyBorder="1" applyAlignment="1">
      <alignment horizontal="right"/>
    </xf>
    <xf numFmtId="10" fontId="5" fillId="0" borderId="11" xfId="0" applyNumberFormat="1" applyFont="1" applyBorder="1"/>
    <xf numFmtId="167" fontId="5" fillId="0" borderId="11" xfId="0" applyNumberFormat="1" applyFont="1" applyBorder="1"/>
    <xf numFmtId="173" fontId="12" fillId="0" borderId="20" xfId="0" applyNumberFormat="1" applyFont="1" applyBorder="1" applyAlignment="1">
      <alignment horizontal="center"/>
    </xf>
    <xf numFmtId="173" fontId="5" fillId="0" borderId="15" xfId="0" applyNumberFormat="1" applyFont="1" applyBorder="1"/>
    <xf numFmtId="175" fontId="5" fillId="0" borderId="0" xfId="0" applyNumberFormat="1" applyFont="1"/>
    <xf numFmtId="175" fontId="6" fillId="0" borderId="0" xfId="0" applyNumberFormat="1" applyFont="1"/>
    <xf numFmtId="175" fontId="5" fillId="0" borderId="11" xfId="0" applyNumberFormat="1" applyFont="1" applyBorder="1"/>
    <xf numFmtId="10" fontId="6" fillId="0" borderId="11" xfId="0" applyNumberFormat="1" applyFont="1" applyBorder="1"/>
    <xf numFmtId="0" fontId="6" fillId="12" borderId="21" xfId="0" applyFont="1" applyFill="1" applyBorder="1"/>
    <xf numFmtId="0" fontId="5" fillId="0" borderId="9" xfId="0" applyFont="1" applyBorder="1"/>
    <xf numFmtId="3" fontId="5" fillId="0" borderId="9" xfId="0" applyNumberFormat="1" applyFont="1" applyBorder="1"/>
    <xf numFmtId="10" fontId="5" fillId="0" borderId="9" xfId="0" applyNumberFormat="1" applyFont="1" applyBorder="1"/>
    <xf numFmtId="0" fontId="6" fillId="12" borderId="1" xfId="0" applyFont="1" applyFill="1" applyBorder="1"/>
    <xf numFmtId="3" fontId="5" fillId="0" borderId="11" xfId="0" applyNumberFormat="1" applyFont="1" applyBorder="1"/>
    <xf numFmtId="4" fontId="5" fillId="0" borderId="11" xfId="0" applyNumberFormat="1" applyFont="1" applyBorder="1"/>
    <xf numFmtId="0" fontId="6" fillId="12" borderId="11" xfId="0" applyFont="1" applyFill="1" applyBorder="1"/>
    <xf numFmtId="0" fontId="6" fillId="12" borderId="11" xfId="0" applyFont="1" applyFill="1" applyBorder="1" applyAlignment="1">
      <alignment horizontal="center"/>
    </xf>
    <xf numFmtId="2" fontId="13" fillId="0" borderId="0" xfId="0" applyNumberFormat="1" applyFont="1"/>
    <xf numFmtId="2" fontId="14" fillId="0" borderId="0" xfId="0" applyNumberFormat="1" applyFont="1"/>
    <xf numFmtId="43" fontId="5" fillId="0" borderId="11" xfId="0" applyNumberFormat="1" applyFont="1" applyBorder="1"/>
    <xf numFmtId="0" fontId="14" fillId="0" borderId="0" xfId="0" applyFont="1"/>
    <xf numFmtId="0" fontId="13" fillId="0" borderId="0" xfId="0" applyFont="1"/>
    <xf numFmtId="176" fontId="6" fillId="0" borderId="11" xfId="0" applyNumberFormat="1" applyFont="1" applyBorder="1"/>
    <xf numFmtId="0" fontId="6" fillId="12" borderId="22" xfId="0" applyFont="1" applyFill="1" applyBorder="1" applyAlignment="1">
      <alignment horizontal="center"/>
    </xf>
    <xf numFmtId="0" fontId="15" fillId="0" borderId="11" xfId="0" applyFont="1" applyBorder="1" applyAlignment="1">
      <alignment horizontal="left"/>
    </xf>
    <xf numFmtId="43" fontId="15" fillId="0" borderId="10" xfId="0" applyNumberFormat="1" applyFont="1" applyBorder="1" applyAlignment="1">
      <alignment vertical="top"/>
    </xf>
    <xf numFmtId="43" fontId="15" fillId="0" borderId="11" xfId="0" applyNumberFormat="1" applyFont="1" applyBorder="1" applyAlignment="1">
      <alignment vertical="top"/>
    </xf>
    <xf numFmtId="0" fontId="11" fillId="12" borderId="11" xfId="0" applyFont="1" applyFill="1" applyBorder="1" applyAlignment="1">
      <alignment horizontal="left"/>
    </xf>
    <xf numFmtId="43" fontId="11" fillId="12" borderId="22" xfId="0" applyNumberFormat="1" applyFont="1" applyFill="1" applyBorder="1" applyAlignment="1">
      <alignment vertical="top"/>
    </xf>
    <xf numFmtId="43" fontId="11" fillId="12" borderId="11" xfId="0" applyNumberFormat="1" applyFont="1" applyFill="1" applyBorder="1" applyAlignment="1">
      <alignment vertical="top"/>
    </xf>
    <xf numFmtId="0" fontId="6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5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/>
    </xf>
    <xf numFmtId="2" fontId="5" fillId="0" borderId="11" xfId="0" applyNumberFormat="1" applyFont="1" applyBorder="1"/>
    <xf numFmtId="2" fontId="5" fillId="0" borderId="10" xfId="0" applyNumberFormat="1" applyFont="1" applyBorder="1"/>
    <xf numFmtId="43" fontId="5" fillId="0" borderId="10" xfId="0" applyNumberFormat="1" applyFont="1" applyBorder="1"/>
    <xf numFmtId="0" fontId="5" fillId="0" borderId="10" xfId="0" applyFont="1" applyBorder="1"/>
    <xf numFmtId="44" fontId="6" fillId="0" borderId="11" xfId="0" applyNumberFormat="1" applyFont="1" applyBorder="1"/>
    <xf numFmtId="177" fontId="5" fillId="0" borderId="11" xfId="0" applyNumberFormat="1" applyFont="1" applyBorder="1"/>
    <xf numFmtId="44" fontId="5" fillId="0" borderId="11" xfId="0" applyNumberFormat="1" applyFont="1" applyBorder="1"/>
    <xf numFmtId="44" fontId="5" fillId="0" borderId="0" xfId="0" applyNumberFormat="1" applyFont="1"/>
    <xf numFmtId="0" fontId="5" fillId="0" borderId="11" xfId="0" applyFont="1" applyBorder="1" applyAlignment="1">
      <alignment horizontal="center"/>
    </xf>
    <xf numFmtId="0" fontId="16" fillId="0" borderId="0" xfId="0" applyFont="1"/>
    <xf numFmtId="2" fontId="16" fillId="0" borderId="0" xfId="0" applyNumberFormat="1" applyFont="1" applyAlignment="1">
      <alignment horizontal="right"/>
    </xf>
    <xf numFmtId="0" fontId="17" fillId="0" borderId="15" xfId="0" applyFont="1" applyBorder="1"/>
    <xf numFmtId="0" fontId="6" fillId="12" borderId="16" xfId="0" applyFont="1" applyFill="1" applyBorder="1" applyAlignment="1">
      <alignment horizontal="center"/>
    </xf>
    <xf numFmtId="0" fontId="5" fillId="0" borderId="15" xfId="0" applyFont="1" applyBorder="1"/>
    <xf numFmtId="0" fontId="5" fillId="13" borderId="16" xfId="0" applyFont="1" applyFill="1" applyBorder="1" applyAlignment="1">
      <alignment horizontal="center"/>
    </xf>
    <xf numFmtId="0" fontId="18" fillId="0" borderId="0" xfId="0" applyFont="1" applyAlignment="1">
      <alignment vertical="top"/>
    </xf>
    <xf numFmtId="0" fontId="5" fillId="13" borderId="1" xfId="0" applyFont="1" applyFill="1" applyBorder="1" applyAlignment="1">
      <alignment horizontal="center"/>
    </xf>
    <xf numFmtId="167" fontId="5" fillId="13" borderId="1" xfId="0" applyNumberFormat="1" applyFont="1" applyFill="1" applyBorder="1" applyAlignment="1">
      <alignment horizontal="center"/>
    </xf>
    <xf numFmtId="10" fontId="5" fillId="13" borderId="1" xfId="0" applyNumberFormat="1" applyFont="1" applyFill="1" applyBorder="1" applyAlignment="1">
      <alignment horizontal="center"/>
    </xf>
    <xf numFmtId="0" fontId="17" fillId="12" borderId="16" xfId="0" applyFont="1" applyFill="1" applyBorder="1"/>
    <xf numFmtId="170" fontId="5" fillId="12" borderId="16" xfId="0" applyNumberFormat="1" applyFont="1" applyFill="1" applyBorder="1"/>
    <xf numFmtId="0" fontId="17" fillId="0" borderId="0" xfId="0" applyFont="1" applyAlignment="1">
      <alignment vertical="top"/>
    </xf>
    <xf numFmtId="9" fontId="5" fillId="13" borderId="1" xfId="0" applyNumberFormat="1" applyFont="1" applyFill="1" applyBorder="1" applyAlignment="1">
      <alignment horizontal="center"/>
    </xf>
    <xf numFmtId="1" fontId="5" fillId="13" borderId="1" xfId="0" applyNumberFormat="1" applyFont="1" applyFill="1" applyBorder="1" applyAlignment="1">
      <alignment horizontal="center"/>
    </xf>
    <xf numFmtId="6" fontId="5" fillId="13" borderId="1" xfId="0" applyNumberFormat="1" applyFont="1" applyFill="1" applyBorder="1" applyAlignment="1">
      <alignment horizontal="center"/>
    </xf>
    <xf numFmtId="177" fontId="5" fillId="0" borderId="0" xfId="0" applyNumberFormat="1" applyFont="1"/>
    <xf numFmtId="0" fontId="17" fillId="0" borderId="15" xfId="0" applyFont="1" applyBorder="1" applyAlignment="1">
      <alignment vertical="top"/>
    </xf>
    <xf numFmtId="170" fontId="5" fillId="0" borderId="15" xfId="0" applyNumberFormat="1" applyFont="1" applyBorder="1"/>
    <xf numFmtId="0" fontId="11" fillId="12" borderId="1" xfId="0" applyFont="1" applyFill="1" applyBorder="1" applyAlignment="1">
      <alignment vertical="top"/>
    </xf>
    <xf numFmtId="0" fontId="11" fillId="12" borderId="1" xfId="0" applyFont="1" applyFill="1" applyBorder="1"/>
    <xf numFmtId="175" fontId="11" fillId="12" borderId="1" xfId="0" applyNumberFormat="1" applyFont="1" applyFill="1" applyBorder="1"/>
    <xf numFmtId="0" fontId="11" fillId="0" borderId="0" xfId="0" applyFont="1" applyAlignment="1">
      <alignment horizontal="left"/>
    </xf>
    <xf numFmtId="37" fontId="19" fillId="0" borderId="0" xfId="0" applyNumberFormat="1" applyFont="1" applyAlignment="1">
      <alignment vertical="center"/>
    </xf>
    <xf numFmtId="0" fontId="15" fillId="0" borderId="0" xfId="0" applyFont="1" applyAlignment="1">
      <alignment horizontal="left"/>
    </xf>
    <xf numFmtId="168" fontId="11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10" fontId="5" fillId="0" borderId="0" xfId="0" applyNumberFormat="1" applyFont="1" applyAlignment="1">
      <alignment horizontal="right"/>
    </xf>
    <xf numFmtId="2" fontId="5" fillId="14" borderId="1" xfId="0" applyNumberFormat="1" applyFont="1" applyFill="1" applyBorder="1" applyAlignment="1">
      <alignment horizontal="right"/>
    </xf>
    <xf numFmtId="175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14" borderId="1" xfId="0" applyFont="1" applyFill="1" applyBorder="1" applyAlignment="1">
      <alignment horizontal="right"/>
    </xf>
    <xf numFmtId="0" fontId="14" fillId="0" borderId="0" xfId="0" applyFont="1" applyAlignment="1">
      <alignment vertical="top"/>
    </xf>
    <xf numFmtId="37" fontId="14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42" fontId="14" fillId="0" borderId="0" xfId="0" applyNumberFormat="1" applyFont="1" applyAlignment="1">
      <alignment vertical="top"/>
    </xf>
    <xf numFmtId="1" fontId="14" fillId="15" borderId="1" xfId="0" applyNumberFormat="1" applyFont="1" applyFill="1" applyBorder="1" applyAlignment="1">
      <alignment vertical="top"/>
    </xf>
    <xf numFmtId="44" fontId="14" fillId="0" borderId="0" xfId="0" applyNumberFormat="1" applyFont="1" applyAlignment="1">
      <alignment vertical="top"/>
    </xf>
    <xf numFmtId="0" fontId="20" fillId="0" borderId="0" xfId="0" applyFont="1" applyAlignment="1">
      <alignment vertical="top"/>
    </xf>
    <xf numFmtId="0" fontId="14" fillId="6" borderId="1" xfId="0" applyFont="1" applyFill="1" applyBorder="1" applyAlignment="1">
      <alignment vertical="top"/>
    </xf>
    <xf numFmtId="0" fontId="14" fillId="6" borderId="1" xfId="0" applyFont="1" applyFill="1" applyBorder="1" applyAlignment="1">
      <alignment horizontal="left"/>
    </xf>
    <xf numFmtId="170" fontId="14" fillId="6" borderId="1" xfId="0" applyNumberFormat="1" applyFont="1" applyFill="1" applyBorder="1" applyAlignment="1">
      <alignment vertical="top"/>
    </xf>
    <xf numFmtId="37" fontId="14" fillId="6" borderId="1" xfId="0" applyNumberFormat="1" applyFont="1" applyFill="1" applyBorder="1" applyAlignment="1">
      <alignment vertical="top"/>
    </xf>
    <xf numFmtId="10" fontId="14" fillId="6" borderId="1" xfId="0" applyNumberFormat="1" applyFont="1" applyFill="1" applyBorder="1" applyAlignment="1">
      <alignment vertical="top"/>
    </xf>
    <xf numFmtId="9" fontId="14" fillId="6" borderId="1" xfId="0" applyNumberFormat="1" applyFont="1" applyFill="1" applyBorder="1" applyAlignment="1">
      <alignment vertical="top"/>
    </xf>
    <xf numFmtId="44" fontId="14" fillId="6" borderId="1" xfId="0" applyNumberFormat="1" applyFont="1" applyFill="1" applyBorder="1" applyAlignment="1">
      <alignment vertical="top"/>
    </xf>
    <xf numFmtId="9" fontId="14" fillId="0" borderId="0" xfId="0" applyNumberFormat="1" applyFont="1" applyAlignment="1">
      <alignment vertical="top"/>
    </xf>
    <xf numFmtId="178" fontId="1" fillId="0" borderId="0" xfId="0" applyNumberFormat="1" applyFont="1"/>
    <xf numFmtId="170" fontId="14" fillId="0" borderId="0" xfId="0" applyNumberFormat="1" applyFont="1" applyAlignment="1">
      <alignment vertical="top"/>
    </xf>
    <xf numFmtId="0" fontId="22" fillId="0" borderId="0" xfId="0" applyFont="1"/>
    <xf numFmtId="0" fontId="23" fillId="0" borderId="0" xfId="0" applyFont="1" applyAlignment="1">
      <alignment vertical="top"/>
    </xf>
    <xf numFmtId="43" fontId="23" fillId="0" borderId="0" xfId="0" applyNumberFormat="1" applyFont="1" applyAlignment="1">
      <alignment vertical="top"/>
    </xf>
    <xf numFmtId="43" fontId="14" fillId="0" borderId="0" xfId="0" applyNumberFormat="1" applyFont="1" applyAlignment="1">
      <alignment vertical="top"/>
    </xf>
    <xf numFmtId="0" fontId="24" fillId="2" borderId="1" xfId="0" applyFont="1" applyFill="1" applyBorder="1" applyAlignment="1">
      <alignment horizontal="center"/>
    </xf>
    <xf numFmtId="0" fontId="20" fillId="6" borderId="1" xfId="0" applyFont="1" applyFill="1" applyBorder="1" applyAlignment="1">
      <alignment vertical="top"/>
    </xf>
    <xf numFmtId="42" fontId="14" fillId="6" borderId="1" xfId="0" applyNumberFormat="1" applyFont="1" applyFill="1" applyBorder="1" applyAlignment="1">
      <alignment vertical="top"/>
    </xf>
    <xf numFmtId="37" fontId="20" fillId="0" borderId="0" xfId="0" applyNumberFormat="1" applyFont="1" applyAlignment="1">
      <alignment vertical="top"/>
    </xf>
    <xf numFmtId="42" fontId="20" fillId="0" borderId="0" xfId="0" applyNumberFormat="1" applyFont="1" applyAlignment="1">
      <alignment vertical="top"/>
    </xf>
    <xf numFmtId="179" fontId="5" fillId="0" borderId="0" xfId="0" applyNumberFormat="1" applyFont="1"/>
    <xf numFmtId="176" fontId="5" fillId="16" borderId="5" xfId="0" applyNumberFormat="1" applyFont="1" applyFill="1" applyBorder="1"/>
    <xf numFmtId="10" fontId="5" fillId="16" borderId="5" xfId="0" applyNumberFormat="1" applyFont="1" applyFill="1" applyBorder="1"/>
    <xf numFmtId="1" fontId="2" fillId="17" borderId="5" xfId="0" applyNumberFormat="1" applyFont="1" applyFill="1" applyBorder="1" applyAlignment="1">
      <alignment horizontal="right"/>
    </xf>
    <xf numFmtId="1" fontId="2" fillId="18" borderId="5" xfId="0" applyNumberFormat="1" applyFont="1" applyFill="1" applyBorder="1" applyAlignment="1">
      <alignment horizontal="right"/>
    </xf>
    <xf numFmtId="0" fontId="6" fillId="20" borderId="5" xfId="0" applyFont="1" applyFill="1" applyBorder="1"/>
    <xf numFmtId="0" fontId="5" fillId="21" borderId="5" xfId="0" applyFont="1" applyFill="1" applyBorder="1"/>
    <xf numFmtId="170" fontId="5" fillId="21" borderId="5" xfId="0" applyNumberFormat="1" applyFont="1" applyFill="1" applyBorder="1"/>
    <xf numFmtId="43" fontId="5" fillId="21" borderId="5" xfId="0" applyNumberFormat="1" applyFont="1" applyFill="1" applyBorder="1"/>
    <xf numFmtId="0" fontId="6" fillId="21" borderId="5" xfId="0" applyFont="1" applyFill="1" applyBorder="1"/>
    <xf numFmtId="176" fontId="6" fillId="21" borderId="5" xfId="0" applyNumberFormat="1" applyFont="1" applyFill="1" applyBorder="1"/>
    <xf numFmtId="0" fontId="6" fillId="22" borderId="5" xfId="0" applyFont="1" applyFill="1" applyBorder="1" applyAlignment="1">
      <alignment horizontal="center"/>
    </xf>
    <xf numFmtId="176" fontId="5" fillId="19" borderId="5" xfId="0" applyNumberFormat="1" applyFont="1" applyFill="1" applyBorder="1"/>
    <xf numFmtId="0" fontId="5" fillId="4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6" fillId="0" borderId="0" xfId="0" applyFont="1" applyAlignment="1">
      <alignment horizontal="center"/>
    </xf>
    <xf numFmtId="0" fontId="0" fillId="0" borderId="0" xfId="0"/>
    <xf numFmtId="0" fontId="6" fillId="19" borderId="5" xfId="0" applyFont="1" applyFill="1" applyBorder="1" applyAlignment="1">
      <alignment horizontal="center"/>
    </xf>
    <xf numFmtId="0" fontId="25" fillId="19" borderId="5" xfId="0" applyFont="1" applyFill="1" applyBorder="1"/>
    <xf numFmtId="0" fontId="3" fillId="3" borderId="2" xfId="0" applyFont="1" applyFill="1" applyBorder="1" applyAlignment="1">
      <alignment horizontal="center"/>
    </xf>
    <xf numFmtId="44" fontId="6" fillId="19" borderId="5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6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73" fontId="12" fillId="0" borderId="20" xfId="0" applyNumberFormat="1" applyFont="1" applyBorder="1" applyAlignment="1">
      <alignment horizontal="center"/>
    </xf>
    <xf numFmtId="0" fontId="4" fillId="0" borderId="20" xfId="0" applyFont="1" applyBorder="1"/>
    <xf numFmtId="0" fontId="6" fillId="12" borderId="1" xfId="0" applyFont="1" applyFill="1" applyBorder="1" applyAlignment="1">
      <alignment horizontal="center"/>
    </xf>
    <xf numFmtId="0" fontId="3" fillId="0" borderId="0" xfId="0" applyFont="1"/>
    <xf numFmtId="0" fontId="7" fillId="0" borderId="0" xfId="0" applyFont="1"/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vertical="top"/>
    </xf>
    <xf numFmtId="0" fontId="14" fillId="0" borderId="0" xfId="0" applyFont="1" applyAlignment="1">
      <alignment horizontal="center" vertical="top" shrinkToFit="1"/>
    </xf>
  </cellXfs>
  <cellStyles count="1">
    <cellStyle name="Normal" xfId="0" builtinId="0"/>
  </cellStyles>
  <dxfs count="9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6"/>
      </font>
      <fill>
        <patternFill patternType="solid">
          <fgColor rgb="FFC6EFCE"/>
          <bgColor rgb="FFC6EFCE"/>
        </patternFill>
      </fill>
    </dxf>
    <dxf>
      <font>
        <color theme="4"/>
      </font>
      <fill>
        <patternFill patternType="none"/>
      </fill>
    </dxf>
    <dxf>
      <font>
        <color theme="4"/>
      </font>
      <fill>
        <patternFill patternType="none"/>
      </fill>
    </dxf>
    <dxf>
      <font>
        <color theme="4"/>
      </font>
      <fill>
        <patternFill patternType="none"/>
      </fill>
    </dxf>
    <dxf>
      <font>
        <color theme="4"/>
      </font>
      <fill>
        <patternFill patternType="none"/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Cash flow forecast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81875" cy="4057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3524250" cy="18192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609600</xdr:colOff>
      <xdr:row>118</xdr:row>
      <xdr:rowOff>190500</xdr:rowOff>
    </xdr:from>
    <xdr:ext cx="15849600" cy="206692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666750</xdr:colOff>
      <xdr:row>22</xdr:row>
      <xdr:rowOff>171450</xdr:rowOff>
    </xdr:from>
    <xdr:ext cx="3790950" cy="22860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90</xdr:row>
      <xdr:rowOff>0</xdr:rowOff>
    </xdr:from>
    <xdr:to>
      <xdr:col>20</xdr:col>
      <xdr:colOff>222249</xdr:colOff>
      <xdr:row>98</xdr:row>
      <xdr:rowOff>6350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80A9B22-3060-BECB-B08F-CFBBEC8E0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2700" y="10293350"/>
          <a:ext cx="6877050" cy="137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542925</xdr:colOff>
      <xdr:row>0</xdr:row>
      <xdr:rowOff>0</xdr:rowOff>
    </xdr:from>
    <xdr:ext cx="5495925" cy="3400425"/>
    <xdr:pic>
      <xdr:nvPicPr>
        <xdr:cNvPr id="2" name="image9.png" titl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50</xdr:row>
      <xdr:rowOff>104775</xdr:rowOff>
    </xdr:from>
    <xdr:ext cx="5715000" cy="3533775"/>
    <xdr:pic>
      <xdr:nvPicPr>
        <xdr:cNvPr id="3" name="image6.png" titl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32</xdr:row>
      <xdr:rowOff>28575</xdr:rowOff>
    </xdr:from>
    <xdr:ext cx="5715000" cy="3533775"/>
    <xdr:pic>
      <xdr:nvPicPr>
        <xdr:cNvPr id="4" name="image5.png" title="Char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28575</xdr:rowOff>
    </xdr:from>
    <xdr:ext cx="5715000" cy="3533775"/>
    <xdr:pic>
      <xdr:nvPicPr>
        <xdr:cNvPr id="5" name="image8.png" title="Chart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104775</xdr:rowOff>
    </xdr:from>
    <xdr:ext cx="5715000" cy="3533775"/>
    <xdr:pic>
      <xdr:nvPicPr>
        <xdr:cNvPr id="6" name="image7.png" title="Chart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5:I25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Cash flow forecas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32"/>
  <sheetViews>
    <sheetView tabSelected="1" topLeftCell="B1" zoomScale="77" workbookViewId="0">
      <selection activeCell="K25" sqref="K25"/>
    </sheetView>
  </sheetViews>
  <sheetFormatPr defaultColWidth="12.6328125" defaultRowHeight="15" customHeight="1"/>
  <cols>
    <col min="10" max="10" width="20.7265625" customWidth="1"/>
    <col min="14" max="14" width="19.453125" customWidth="1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</row>
    <row r="3" spans="1:21">
      <c r="A3" s="1"/>
      <c r="B3" s="1"/>
      <c r="C3" s="1"/>
      <c r="D3" s="1"/>
      <c r="E3" s="1"/>
      <c r="F3" s="1"/>
      <c r="G3" s="1"/>
      <c r="H3" s="1"/>
      <c r="I3" s="1"/>
      <c r="J3" s="3"/>
      <c r="K3" s="4" t="s">
        <v>0</v>
      </c>
      <c r="L3" s="4" t="s">
        <v>1</v>
      </c>
      <c r="M3" s="4" t="s">
        <v>2</v>
      </c>
      <c r="N3" s="4" t="s">
        <v>3</v>
      </c>
      <c r="O3" s="2"/>
      <c r="P3" s="2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4" t="s">
        <v>4</v>
      </c>
      <c r="K4" s="5">
        <v>629</v>
      </c>
      <c r="L4" s="5">
        <v>4</v>
      </c>
      <c r="M4" s="5">
        <v>16</v>
      </c>
      <c r="N4" s="5">
        <v>649</v>
      </c>
      <c r="O4" s="2"/>
      <c r="P4" s="2"/>
      <c r="Q4" s="1"/>
      <c r="R4" s="1"/>
      <c r="S4" s="1"/>
      <c r="T4" s="1"/>
      <c r="U4" s="1"/>
    </row>
    <row r="5" spans="1:21">
      <c r="A5" s="1"/>
      <c r="B5" s="1"/>
      <c r="C5" s="1"/>
      <c r="D5" s="1"/>
      <c r="E5" s="1"/>
      <c r="F5" s="1"/>
      <c r="G5" s="1"/>
      <c r="H5" s="1"/>
      <c r="I5" s="1"/>
      <c r="J5" s="4" t="s">
        <v>5</v>
      </c>
      <c r="K5" s="5">
        <v>110</v>
      </c>
      <c r="L5" s="5">
        <v>2</v>
      </c>
      <c r="M5" s="5">
        <v>3</v>
      </c>
      <c r="N5" s="5">
        <v>115</v>
      </c>
      <c r="O5" s="2"/>
      <c r="P5" s="2"/>
      <c r="Q5" s="1"/>
      <c r="R5" s="1"/>
      <c r="S5" s="1"/>
      <c r="T5" s="1"/>
      <c r="U5" s="1"/>
    </row>
    <row r="6" spans="1:21">
      <c r="A6" s="1"/>
      <c r="B6" s="1"/>
      <c r="C6" s="1"/>
      <c r="D6" s="1"/>
      <c r="E6" s="1"/>
      <c r="F6" s="1"/>
      <c r="G6" s="1"/>
      <c r="H6" s="1"/>
      <c r="I6" s="1"/>
      <c r="J6" s="4" t="s">
        <v>6</v>
      </c>
      <c r="K6" s="5">
        <v>175</v>
      </c>
      <c r="L6" s="5">
        <v>1</v>
      </c>
      <c r="M6" s="5">
        <v>2</v>
      </c>
      <c r="N6" s="5">
        <v>178</v>
      </c>
      <c r="O6" s="2"/>
      <c r="P6" s="2"/>
      <c r="Q6" s="1"/>
      <c r="R6" s="1"/>
      <c r="S6" s="1"/>
      <c r="T6" s="1"/>
      <c r="U6" s="1"/>
    </row>
    <row r="7" spans="1:21">
      <c r="A7" s="1"/>
      <c r="B7" s="1"/>
      <c r="C7" s="1"/>
      <c r="D7" s="1"/>
      <c r="E7" s="1"/>
      <c r="F7" s="1"/>
      <c r="G7" s="1"/>
      <c r="H7" s="1"/>
      <c r="I7" s="1"/>
      <c r="J7" s="4" t="s">
        <v>7</v>
      </c>
      <c r="K7" s="6">
        <v>914</v>
      </c>
      <c r="L7" s="6">
        <v>7</v>
      </c>
      <c r="M7" s="6">
        <v>21</v>
      </c>
      <c r="N7" s="6">
        <v>942</v>
      </c>
      <c r="O7" s="2"/>
      <c r="P7" s="2"/>
      <c r="Q7" s="1"/>
      <c r="R7" s="1"/>
      <c r="S7" s="1"/>
      <c r="T7" s="1"/>
      <c r="U7" s="1"/>
    </row>
    <row r="8" spans="1:21">
      <c r="A8" s="1"/>
      <c r="B8" s="1"/>
      <c r="C8" s="1"/>
      <c r="D8" s="1"/>
      <c r="E8" s="1"/>
      <c r="F8" s="1"/>
      <c r="G8" s="1"/>
      <c r="H8" s="1"/>
      <c r="I8" s="1"/>
      <c r="J8" s="2"/>
      <c r="K8" s="2"/>
      <c r="L8" s="2"/>
      <c r="M8" s="2"/>
      <c r="N8" s="2"/>
      <c r="O8" s="2"/>
      <c r="P8" s="2"/>
      <c r="Q8" s="1"/>
      <c r="R8" s="1"/>
      <c r="S8" s="1"/>
      <c r="T8" s="1"/>
      <c r="U8" s="1"/>
    </row>
    <row r="9" spans="1:21">
      <c r="A9" s="1"/>
      <c r="B9" s="1"/>
      <c r="C9" s="1"/>
      <c r="D9" s="1"/>
      <c r="E9" s="1"/>
      <c r="F9" s="1"/>
      <c r="G9" s="1"/>
      <c r="H9" s="1"/>
      <c r="I9" s="1"/>
      <c r="J9" s="2"/>
      <c r="K9" s="2"/>
      <c r="L9" s="2"/>
      <c r="M9" s="2"/>
      <c r="N9" s="2"/>
      <c r="O9" s="2"/>
      <c r="P9" s="2"/>
      <c r="Q9" s="1"/>
      <c r="R9" s="1"/>
      <c r="S9" s="1"/>
      <c r="T9" s="1"/>
      <c r="U9" s="1"/>
    </row>
    <row r="10" spans="1:21">
      <c r="A10" s="1"/>
      <c r="B10" s="1"/>
      <c r="C10" s="1"/>
      <c r="D10" s="1"/>
      <c r="E10" s="1"/>
      <c r="F10" s="1"/>
      <c r="G10" s="1"/>
      <c r="H10" s="1"/>
      <c r="I10" s="1"/>
      <c r="J10" s="225"/>
      <c r="K10" s="242" t="s">
        <v>9</v>
      </c>
      <c r="L10" s="243"/>
      <c r="M10" s="243"/>
      <c r="N10" s="243"/>
      <c r="O10" s="243"/>
      <c r="P10" s="243"/>
      <c r="Q10" s="1"/>
      <c r="R10" s="1"/>
      <c r="S10" s="1"/>
      <c r="T10" s="1"/>
      <c r="U10" s="1"/>
    </row>
    <row r="11" spans="1:21">
      <c r="A11" s="1"/>
      <c r="B11" s="1"/>
      <c r="C11" s="1"/>
      <c r="D11" s="1"/>
      <c r="E11" s="1"/>
      <c r="F11" s="1"/>
      <c r="G11" s="1"/>
      <c r="H11" s="1"/>
      <c r="I11" s="1"/>
      <c r="J11" s="245" t="s">
        <v>8</v>
      </c>
      <c r="K11" s="225" t="s">
        <v>461</v>
      </c>
      <c r="L11" s="226">
        <v>2.5000000000000001E-2</v>
      </c>
      <c r="M11" s="226">
        <f t="shared" ref="M11:P11" si="0">L11+0.01</f>
        <v>3.5000000000000003E-2</v>
      </c>
      <c r="N11" s="226">
        <f t="shared" si="0"/>
        <v>4.5000000000000005E-2</v>
      </c>
      <c r="O11" s="226">
        <f t="shared" si="0"/>
        <v>5.5000000000000007E-2</v>
      </c>
      <c r="P11" s="226">
        <f t="shared" si="0"/>
        <v>6.5000000000000002E-2</v>
      </c>
      <c r="Q11" s="1"/>
      <c r="R11" s="1"/>
      <c r="S11" s="1"/>
      <c r="T11" s="1"/>
      <c r="U11" s="1"/>
    </row>
    <row r="12" spans="1:21">
      <c r="A12" s="1"/>
      <c r="B12" s="1"/>
      <c r="C12" s="1"/>
      <c r="D12" s="1"/>
      <c r="E12" s="1"/>
      <c r="F12" s="1"/>
      <c r="G12" s="1"/>
      <c r="H12" s="1"/>
      <c r="I12" s="1"/>
      <c r="J12" s="243"/>
      <c r="K12" s="226">
        <f>6.33%</f>
        <v>6.3299999999999995E-2</v>
      </c>
      <c r="L12" s="227">
        <v>470.73823829272823</v>
      </c>
      <c r="M12" s="227">
        <v>617.60093876801807</v>
      </c>
      <c r="N12" s="227">
        <v>924.96932282286014</v>
      </c>
      <c r="O12" s="227">
        <v>1972.9844154435875</v>
      </c>
      <c r="P12" s="227">
        <v>-9308.5898168853582</v>
      </c>
      <c r="Q12" s="1"/>
      <c r="R12" s="1"/>
      <c r="S12" s="1"/>
      <c r="T12" s="1"/>
      <c r="U12" s="1"/>
    </row>
    <row r="13" spans="1:21">
      <c r="A13" s="1"/>
      <c r="B13" s="1"/>
      <c r="C13" s="1"/>
      <c r="D13" s="1"/>
      <c r="E13" s="1"/>
      <c r="F13" s="1"/>
      <c r="G13" s="1"/>
      <c r="H13" s="1"/>
      <c r="I13" s="1"/>
      <c r="J13" s="243"/>
      <c r="K13" s="226">
        <f t="shared" ref="K13:K16" si="1">K12+0.01</f>
        <v>7.329999999999999E-2</v>
      </c>
      <c r="L13" s="227">
        <v>374.83028662942735</v>
      </c>
      <c r="M13" s="227">
        <v>458.49741588892994</v>
      </c>
      <c r="N13" s="227">
        <v>601.29325840603155</v>
      </c>
      <c r="O13" s="227">
        <v>900.15013099646876</v>
      </c>
      <c r="P13" s="227">
        <v>1919.1440459735013</v>
      </c>
      <c r="Q13" s="1"/>
      <c r="R13" s="1"/>
      <c r="S13" s="1"/>
      <c r="T13" s="1"/>
      <c r="U13" s="1"/>
    </row>
    <row r="14" spans="1:21">
      <c r="A14" s="1"/>
      <c r="B14" s="1"/>
      <c r="C14" s="1"/>
      <c r="D14" s="1"/>
      <c r="E14" s="1"/>
      <c r="F14" s="1"/>
      <c r="G14" s="1"/>
      <c r="H14" s="1"/>
      <c r="I14" s="1"/>
      <c r="J14" s="243"/>
      <c r="K14" s="226">
        <f t="shared" si="1"/>
        <v>8.3299999999999985E-2</v>
      </c>
      <c r="L14" s="227">
        <v>311.87194110768996</v>
      </c>
      <c r="M14" s="227">
        <v>365.32865348152848</v>
      </c>
      <c r="N14" s="227">
        <v>446.70009816546548</v>
      </c>
      <c r="O14" s="227">
        <v>585.57786418080684</v>
      </c>
      <c r="P14" s="227">
        <v>876.23460944788746</v>
      </c>
      <c r="Q14" s="1"/>
      <c r="R14" s="1"/>
      <c r="S14" s="1"/>
      <c r="T14" s="1"/>
      <c r="U14" s="1"/>
    </row>
    <row r="15" spans="1:21">
      <c r="A15" s="1"/>
      <c r="B15" s="1"/>
      <c r="C15" s="1"/>
      <c r="D15" s="1"/>
      <c r="E15" s="1"/>
      <c r="F15" s="1"/>
      <c r="G15" s="1"/>
      <c r="H15" s="1"/>
      <c r="I15" s="1"/>
      <c r="J15" s="243"/>
      <c r="K15" s="226">
        <f t="shared" si="1"/>
        <v>9.329999999999998E-2</v>
      </c>
      <c r="L15" s="227">
        <v>267.38870483055052</v>
      </c>
      <c r="M15" s="228">
        <v>304.16405849786685</v>
      </c>
      <c r="N15" s="227">
        <v>356.16730188249835</v>
      </c>
      <c r="O15" s="227">
        <v>435.32628593795567</v>
      </c>
      <c r="P15" s="227">
        <v>570.42801490893066</v>
      </c>
      <c r="Q15" s="1"/>
      <c r="R15" s="1"/>
      <c r="S15" s="1"/>
      <c r="T15" s="1"/>
      <c r="U15" s="1"/>
    </row>
    <row r="16" spans="1:21">
      <c r="A16" s="1"/>
      <c r="B16" s="1"/>
      <c r="C16" s="1"/>
      <c r="D16" s="1"/>
      <c r="E16" s="1"/>
      <c r="F16" s="1"/>
      <c r="G16" s="1"/>
      <c r="H16" s="1"/>
      <c r="I16" s="1"/>
      <c r="J16" s="243"/>
      <c r="K16" s="226">
        <f t="shared" si="1"/>
        <v>0.10329999999999998</v>
      </c>
      <c r="L16" s="227">
        <v>234.30053955065574</v>
      </c>
      <c r="M16" s="227">
        <v>260.94462639240652</v>
      </c>
      <c r="N16" s="227">
        <v>296.72905177335127</v>
      </c>
      <c r="O16" s="227">
        <v>347.33104459982189</v>
      </c>
      <c r="P16" s="227">
        <v>424.35705456805255</v>
      </c>
      <c r="Q16" s="1"/>
      <c r="R16" s="1"/>
      <c r="S16" s="1"/>
      <c r="T16" s="1"/>
      <c r="U16" s="1"/>
    </row>
    <row r="17" spans="1:21">
      <c r="A17" s="1"/>
      <c r="B17" s="1"/>
      <c r="C17" s="1"/>
      <c r="D17" s="1"/>
      <c r="E17" s="1"/>
      <c r="F17" s="1"/>
      <c r="G17" s="1"/>
      <c r="H17" s="1"/>
      <c r="I17" s="1"/>
      <c r="J17" s="2"/>
      <c r="K17" s="2"/>
      <c r="L17" s="2"/>
      <c r="M17" s="2"/>
      <c r="N17" s="2"/>
      <c r="O17" s="2"/>
      <c r="P17" s="2"/>
      <c r="Q17" s="1"/>
      <c r="R17" s="1"/>
      <c r="S17" s="1"/>
      <c r="T17" s="1"/>
      <c r="U17" s="1"/>
    </row>
    <row r="18" spans="1:21">
      <c r="A18" s="1"/>
      <c r="B18" s="1"/>
      <c r="C18" s="1"/>
      <c r="D18" s="1"/>
      <c r="E18" s="1"/>
      <c r="F18" s="1"/>
      <c r="G18" s="1"/>
      <c r="H18" s="1"/>
      <c r="I18" s="1"/>
      <c r="J18" s="244" t="s">
        <v>10</v>
      </c>
      <c r="K18" s="238"/>
      <c r="L18" s="238"/>
      <c r="M18" s="238"/>
      <c r="N18" s="239"/>
      <c r="O18" s="2"/>
      <c r="P18" s="2"/>
      <c r="Q18" s="1"/>
      <c r="R18" s="1"/>
      <c r="S18" s="1"/>
      <c r="T18" s="1"/>
      <c r="U18" s="1"/>
    </row>
    <row r="19" spans="1:21">
      <c r="A19" s="1"/>
      <c r="B19" s="1"/>
      <c r="C19" s="1"/>
      <c r="D19" s="1"/>
      <c r="E19" s="1"/>
      <c r="F19" s="1"/>
      <c r="G19" s="1"/>
      <c r="H19" s="1"/>
      <c r="I19" s="1"/>
      <c r="J19" s="7"/>
      <c r="K19" s="8" t="s">
        <v>11</v>
      </c>
      <c r="L19" s="8" t="s">
        <v>12</v>
      </c>
      <c r="M19" s="8" t="s">
        <v>13</v>
      </c>
      <c r="N19" s="8" t="s">
        <v>14</v>
      </c>
      <c r="O19" s="2"/>
      <c r="P19" s="2"/>
      <c r="Q19" s="1"/>
      <c r="R19" s="1"/>
      <c r="S19" s="1"/>
      <c r="T19" s="1"/>
      <c r="U19" s="1"/>
    </row>
    <row r="20" spans="1:21">
      <c r="A20" s="1"/>
      <c r="B20" s="1"/>
      <c r="C20" s="1"/>
      <c r="D20" s="1"/>
      <c r="E20" s="1"/>
      <c r="F20" s="1"/>
      <c r="G20" s="1"/>
      <c r="H20" s="1"/>
      <c r="I20" s="1"/>
      <c r="J20" s="4" t="s">
        <v>15</v>
      </c>
      <c r="K20" s="9">
        <v>290232</v>
      </c>
      <c r="L20" s="9">
        <v>313495</v>
      </c>
      <c r="M20" s="9">
        <v>336757</v>
      </c>
      <c r="N20" s="9">
        <v>365768</v>
      </c>
      <c r="O20" s="2"/>
      <c r="P20" s="2"/>
      <c r="Q20" s="1"/>
      <c r="R20" s="1"/>
      <c r="S20" s="1"/>
      <c r="T20" s="1"/>
      <c r="U20" s="1"/>
    </row>
    <row r="21" spans="1:21">
      <c r="A21" s="1"/>
      <c r="B21" s="1"/>
      <c r="C21" s="1"/>
      <c r="D21" s="1"/>
      <c r="E21" s="1"/>
      <c r="F21" s="1"/>
      <c r="G21" s="1"/>
      <c r="H21" s="1"/>
      <c r="I21" s="1"/>
      <c r="J21" s="4" t="s">
        <v>16</v>
      </c>
      <c r="K21" s="9">
        <v>299318</v>
      </c>
      <c r="L21" s="9">
        <v>325508</v>
      </c>
      <c r="M21" s="9">
        <v>353990</v>
      </c>
      <c r="N21" s="9">
        <v>384965</v>
      </c>
      <c r="O21" s="2"/>
      <c r="P21" s="2"/>
      <c r="Q21" s="1"/>
      <c r="R21" s="1"/>
      <c r="S21" s="1"/>
      <c r="T21" s="1"/>
      <c r="U21" s="1"/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</sheetData>
  <mergeCells count="3">
    <mergeCell ref="K10:P10"/>
    <mergeCell ref="J18:N18"/>
    <mergeCell ref="J11:J16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328125" defaultRowHeight="15" customHeight="1"/>
  <cols>
    <col min="1" max="1" width="10.7265625" customWidth="1"/>
    <col min="2" max="2" width="12.90625" customWidth="1"/>
    <col min="3" max="3" width="17.90625" customWidth="1"/>
    <col min="4" max="4" width="12.90625" customWidth="1"/>
    <col min="5" max="5" width="10.7265625" customWidth="1"/>
    <col min="6" max="6" width="18.90625" customWidth="1"/>
    <col min="7" max="7" width="10.7265625" customWidth="1"/>
    <col min="8" max="8" width="11.08984375" customWidth="1"/>
    <col min="9" max="9" width="16.90625" customWidth="1"/>
    <col min="10" max="10" width="10.7265625" customWidth="1"/>
    <col min="11" max="11" width="10.36328125" customWidth="1"/>
    <col min="12" max="12" width="17" customWidth="1"/>
    <col min="13" max="13" width="15.26953125" customWidth="1"/>
    <col min="14" max="15" width="10.36328125" customWidth="1"/>
    <col min="16" max="16" width="11.6328125" customWidth="1"/>
    <col min="17" max="17" width="10.36328125" customWidth="1"/>
    <col min="18" max="26" width="8.6328125" customWidth="1"/>
  </cols>
  <sheetData>
    <row r="1" spans="1:26" ht="13.5" customHeight="1">
      <c r="A1" s="10"/>
      <c r="B1" s="246" t="s">
        <v>17</v>
      </c>
      <c r="C1" s="247"/>
      <c r="D1" s="248"/>
      <c r="E1" s="249" t="s">
        <v>18</v>
      </c>
      <c r="F1" s="250"/>
      <c r="G1" s="251"/>
      <c r="H1" s="249" t="s">
        <v>19</v>
      </c>
      <c r="I1" s="250"/>
      <c r="J1" s="25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5" customHeight="1">
      <c r="A2" s="11" t="s">
        <v>20</v>
      </c>
      <c r="B2" s="11" t="s">
        <v>21</v>
      </c>
      <c r="C2" s="11" t="s">
        <v>22</v>
      </c>
      <c r="D2" s="11" t="s">
        <v>23</v>
      </c>
      <c r="E2" s="11" t="s">
        <v>21</v>
      </c>
      <c r="F2" s="11" t="s">
        <v>22</v>
      </c>
      <c r="G2" s="11" t="s">
        <v>23</v>
      </c>
      <c r="H2" s="11" t="s">
        <v>21</v>
      </c>
      <c r="I2" s="11" t="s">
        <v>22</v>
      </c>
      <c r="J2" s="11" t="s">
        <v>23</v>
      </c>
      <c r="K2" s="10"/>
      <c r="L2" s="12" t="s">
        <v>24</v>
      </c>
      <c r="M2" s="11" t="s">
        <v>25</v>
      </c>
      <c r="N2" s="10">
        <v>2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5" customHeight="1">
      <c r="A3" s="13">
        <v>44885</v>
      </c>
      <c r="B3" s="14">
        <v>53437</v>
      </c>
      <c r="C3" s="14">
        <v>1000</v>
      </c>
      <c r="D3" s="15">
        <f t="shared" ref="D3:D30" si="0">B3+C3</f>
        <v>54437</v>
      </c>
      <c r="E3" s="16"/>
      <c r="F3" s="16"/>
      <c r="G3" s="16"/>
      <c r="H3" s="16"/>
      <c r="I3" s="16"/>
      <c r="J3" s="16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5" customHeight="1">
      <c r="A4" s="13">
        <f t="shared" ref="A4:A5" si="1">A3+84</f>
        <v>44969</v>
      </c>
      <c r="B4" s="14">
        <v>54239</v>
      </c>
      <c r="C4" s="14">
        <v>1027</v>
      </c>
      <c r="D4" s="15">
        <f t="shared" si="0"/>
        <v>55266</v>
      </c>
      <c r="E4" s="16"/>
      <c r="F4" s="16"/>
      <c r="G4" s="16"/>
      <c r="H4" s="16"/>
      <c r="I4" s="16"/>
      <c r="J4" s="16"/>
      <c r="K4" s="10"/>
      <c r="L4" s="10"/>
      <c r="M4" s="17" t="s">
        <v>26</v>
      </c>
      <c r="N4" s="17">
        <v>2026</v>
      </c>
      <c r="O4" s="17">
        <v>2027</v>
      </c>
      <c r="P4" s="17">
        <v>2028</v>
      </c>
      <c r="Q4" s="17">
        <v>2029</v>
      </c>
      <c r="R4" s="10"/>
      <c r="S4" s="10"/>
      <c r="T4" s="10"/>
      <c r="U4" s="10"/>
      <c r="V4" s="10"/>
      <c r="W4" s="10"/>
      <c r="X4" s="10"/>
      <c r="Y4" s="10"/>
      <c r="Z4" s="10"/>
    </row>
    <row r="5" spans="1:26" ht="13.5" customHeight="1">
      <c r="A5" s="13">
        <f t="shared" si="1"/>
        <v>45053</v>
      </c>
      <c r="B5" s="14">
        <v>52604</v>
      </c>
      <c r="C5" s="14">
        <v>1044</v>
      </c>
      <c r="D5" s="15">
        <f t="shared" si="0"/>
        <v>53648</v>
      </c>
      <c r="E5" s="16"/>
      <c r="F5" s="16"/>
      <c r="G5" s="16"/>
      <c r="H5" s="16"/>
      <c r="I5" s="16"/>
      <c r="J5" s="16"/>
      <c r="K5" s="10"/>
      <c r="L5" s="10"/>
      <c r="M5" s="17" t="s">
        <v>27</v>
      </c>
      <c r="N5" s="18">
        <f t="shared" ref="N5:Q5" si="2">CHOOSE($N$2,N7,N8,N9)</f>
        <v>290231.72216982144</v>
      </c>
      <c r="O5" s="18">
        <f t="shared" si="2"/>
        <v>313494.71729178756</v>
      </c>
      <c r="P5" s="18">
        <f t="shared" si="2"/>
        <v>336757.12385823915</v>
      </c>
      <c r="Q5" s="18">
        <f t="shared" si="2"/>
        <v>365767.8305449434</v>
      </c>
      <c r="R5" s="10"/>
      <c r="S5" s="10"/>
      <c r="T5" s="10"/>
      <c r="U5" s="10"/>
      <c r="V5" s="10"/>
      <c r="W5" s="10"/>
      <c r="X5" s="10"/>
      <c r="Y5" s="10"/>
      <c r="Z5" s="10"/>
    </row>
    <row r="6" spans="1:26" ht="13.5" customHeight="1">
      <c r="A6" s="13">
        <v>45172</v>
      </c>
      <c r="B6" s="14">
        <v>77430</v>
      </c>
      <c r="C6" s="14">
        <v>1509</v>
      </c>
      <c r="D6" s="15">
        <f t="shared" si="0"/>
        <v>78939</v>
      </c>
      <c r="E6" s="16"/>
      <c r="F6" s="16"/>
      <c r="G6" s="16"/>
      <c r="H6" s="16"/>
      <c r="I6" s="16"/>
      <c r="J6" s="16"/>
      <c r="K6" s="19">
        <f>SUM(D3:D6)</f>
        <v>242290</v>
      </c>
      <c r="L6" s="19"/>
      <c r="M6" s="17" t="s">
        <v>28</v>
      </c>
      <c r="N6" s="20">
        <f>N5/K14-1</f>
        <v>5.4486973567393182E-2</v>
      </c>
      <c r="O6" s="20">
        <f t="shared" ref="O6:Q6" si="3">O5/N5-1</f>
        <v>8.0153178805018488E-2</v>
      </c>
      <c r="P6" s="20">
        <f t="shared" si="3"/>
        <v>7.4203504184729097E-2</v>
      </c>
      <c r="Q6" s="20">
        <f t="shared" si="3"/>
        <v>8.6147269445490782E-2</v>
      </c>
      <c r="R6" s="10"/>
      <c r="S6" s="10"/>
      <c r="T6" s="10"/>
      <c r="U6" s="10"/>
      <c r="V6" s="10"/>
      <c r="W6" s="10"/>
      <c r="X6" s="10"/>
      <c r="Y6" s="10"/>
      <c r="Z6" s="10"/>
    </row>
    <row r="7" spans="1:26" ht="13.5" customHeight="1">
      <c r="A7" s="13">
        <f t="shared" ref="A7:A9" si="4">A6+84</f>
        <v>45256</v>
      </c>
      <c r="B7" s="14">
        <v>56717</v>
      </c>
      <c r="C7" s="14">
        <v>1082</v>
      </c>
      <c r="D7" s="15">
        <f t="shared" si="0"/>
        <v>57799</v>
      </c>
      <c r="E7" s="16"/>
      <c r="F7" s="16"/>
      <c r="G7" s="16"/>
      <c r="H7" s="16"/>
      <c r="I7" s="16"/>
      <c r="J7" s="16"/>
      <c r="K7" s="10"/>
      <c r="L7" s="10"/>
      <c r="M7" s="17" t="s">
        <v>29</v>
      </c>
      <c r="N7" s="15">
        <f>SUM(J16:J18,D15)</f>
        <v>342409.20065978344</v>
      </c>
      <c r="O7" s="15">
        <f>SUM(J19:J22)</f>
        <v>425778.70021664113</v>
      </c>
      <c r="P7" s="15">
        <f>SUM(J23:J26)</f>
        <v>484245.60168976802</v>
      </c>
      <c r="Q7" s="15">
        <f>SUM(J27:J30)</f>
        <v>542187.92261938192</v>
      </c>
      <c r="R7" s="10"/>
      <c r="S7" s="10"/>
      <c r="T7" s="10"/>
      <c r="U7" s="10"/>
      <c r="V7" s="10"/>
      <c r="W7" s="10"/>
      <c r="X7" s="10"/>
      <c r="Y7" s="10"/>
      <c r="Z7" s="10"/>
    </row>
    <row r="8" spans="1:26" ht="13.5" customHeight="1">
      <c r="A8" s="13">
        <f t="shared" si="4"/>
        <v>45340</v>
      </c>
      <c r="B8" s="14">
        <v>57331</v>
      </c>
      <c r="C8" s="14">
        <v>1111</v>
      </c>
      <c r="D8" s="15">
        <f t="shared" si="0"/>
        <v>58442</v>
      </c>
      <c r="E8" s="16"/>
      <c r="F8" s="16"/>
      <c r="G8" s="16"/>
      <c r="H8" s="16"/>
      <c r="I8" s="16"/>
      <c r="J8" s="16"/>
      <c r="K8" s="10"/>
      <c r="L8" s="10"/>
      <c r="M8" s="17" t="s">
        <v>15</v>
      </c>
      <c r="N8" s="15">
        <f>SUM(D15:D18)</f>
        <v>290231.72216982144</v>
      </c>
      <c r="O8" s="15">
        <f>SUM(D19:D22)</f>
        <v>313494.71729178756</v>
      </c>
      <c r="P8" s="15">
        <f>SUM(D23:D26)</f>
        <v>336757.12385823915</v>
      </c>
      <c r="Q8" s="15">
        <f>SUM(D27:D30)</f>
        <v>365767.8305449434</v>
      </c>
      <c r="R8" s="10"/>
      <c r="S8" s="10"/>
      <c r="T8" s="10"/>
      <c r="U8" s="10"/>
      <c r="V8" s="10"/>
      <c r="W8" s="10"/>
      <c r="X8" s="10"/>
      <c r="Y8" s="10"/>
      <c r="Z8" s="10"/>
    </row>
    <row r="9" spans="1:26" ht="13.5" customHeight="1">
      <c r="A9" s="13">
        <f t="shared" si="4"/>
        <v>45424</v>
      </c>
      <c r="B9" s="14">
        <v>57392</v>
      </c>
      <c r="C9" s="14">
        <v>1123</v>
      </c>
      <c r="D9" s="15">
        <f t="shared" si="0"/>
        <v>58515</v>
      </c>
      <c r="E9" s="16"/>
      <c r="F9" s="16"/>
      <c r="G9" s="16"/>
      <c r="H9" s="16"/>
      <c r="I9" s="16"/>
      <c r="J9" s="16"/>
      <c r="K9" s="10"/>
      <c r="L9" s="10"/>
      <c r="M9" s="17" t="s">
        <v>30</v>
      </c>
      <c r="N9" s="15">
        <f>SUM(D15,G16:G18)</f>
        <v>238054.24367985944</v>
      </c>
      <c r="O9" s="15">
        <f>SUM(G19:G22)</f>
        <v>201210.73436693402</v>
      </c>
      <c r="P9" s="15">
        <f>SUM(G23:G26)</f>
        <v>189268.64602671037</v>
      </c>
      <c r="Q9" s="15">
        <f>SUM(G27:G30)</f>
        <v>189347.73847050479</v>
      </c>
      <c r="R9" s="10"/>
      <c r="S9" s="10"/>
      <c r="T9" s="10"/>
      <c r="U9" s="10"/>
      <c r="V9" s="10"/>
      <c r="W9" s="10"/>
      <c r="X9" s="10"/>
      <c r="Y9" s="10"/>
      <c r="Z9" s="10"/>
    </row>
    <row r="10" spans="1:26" ht="13.5" customHeight="1">
      <c r="A10" s="13">
        <v>45536</v>
      </c>
      <c r="B10" s="14">
        <v>78185</v>
      </c>
      <c r="C10" s="14">
        <v>1512</v>
      </c>
      <c r="D10" s="15">
        <f t="shared" si="0"/>
        <v>79697</v>
      </c>
      <c r="E10" s="16"/>
      <c r="F10" s="16"/>
      <c r="G10" s="16"/>
      <c r="H10" s="16"/>
      <c r="I10" s="16"/>
      <c r="J10" s="16"/>
      <c r="K10" s="19">
        <f>SUM(D7:D10)</f>
        <v>254453</v>
      </c>
      <c r="L10" s="21">
        <f>K10/K6-1</f>
        <v>5.0200173345990251E-2</v>
      </c>
      <c r="M10" s="22" t="s">
        <v>31</v>
      </c>
      <c r="N10" s="23">
        <v>7.9299999999999995E-2</v>
      </c>
      <c r="O10" s="1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5" customHeight="1">
      <c r="A11" s="13">
        <f t="shared" ref="A11:A13" si="5">A10+84</f>
        <v>45620</v>
      </c>
      <c r="B11" s="14">
        <v>60985</v>
      </c>
      <c r="C11" s="14">
        <v>1166</v>
      </c>
      <c r="D11" s="15">
        <f t="shared" si="0"/>
        <v>62151</v>
      </c>
      <c r="E11" s="16"/>
      <c r="F11" s="16"/>
      <c r="G11" s="16"/>
      <c r="H11" s="16"/>
      <c r="I11" s="16"/>
      <c r="J11" s="16"/>
      <c r="K11" s="10"/>
      <c r="L11" s="10"/>
      <c r="M11" s="21"/>
      <c r="N11" s="19"/>
      <c r="O11" s="19"/>
      <c r="P11" s="24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 customHeight="1">
      <c r="A12" s="13">
        <f t="shared" si="5"/>
        <v>45704</v>
      </c>
      <c r="B12" s="14">
        <v>62530</v>
      </c>
      <c r="C12" s="14">
        <v>1193</v>
      </c>
      <c r="D12" s="15">
        <f t="shared" si="0"/>
        <v>63723</v>
      </c>
      <c r="E12" s="16"/>
      <c r="F12" s="16"/>
      <c r="G12" s="16"/>
      <c r="H12" s="16"/>
      <c r="I12" s="16"/>
      <c r="J12" s="16"/>
      <c r="K12" s="10"/>
      <c r="L12" s="10"/>
      <c r="M12" s="25" t="s">
        <v>25</v>
      </c>
      <c r="N12" s="19">
        <v>1</v>
      </c>
      <c r="O12" s="19"/>
      <c r="P12" s="24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5" customHeight="1">
      <c r="A13" s="13">
        <f t="shared" si="5"/>
        <v>45788</v>
      </c>
      <c r="B13" s="14">
        <v>61965</v>
      </c>
      <c r="C13" s="14">
        <v>1240</v>
      </c>
      <c r="D13" s="15">
        <f t="shared" si="0"/>
        <v>63205</v>
      </c>
      <c r="E13" s="16"/>
      <c r="F13" s="16"/>
      <c r="G13" s="16"/>
      <c r="H13" s="16"/>
      <c r="I13" s="16"/>
      <c r="J13" s="16"/>
      <c r="K13" s="10"/>
      <c r="L13" s="10"/>
      <c r="M13" s="21"/>
      <c r="N13" s="19"/>
      <c r="O13" s="19"/>
      <c r="P13" s="24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5" customHeight="1">
      <c r="A14" s="13">
        <v>45900</v>
      </c>
      <c r="B14" s="14">
        <v>84432</v>
      </c>
      <c r="C14" s="14">
        <v>1724</v>
      </c>
      <c r="D14" s="15">
        <f t="shared" si="0"/>
        <v>86156</v>
      </c>
      <c r="E14" s="16"/>
      <c r="F14" s="16"/>
      <c r="G14" s="16"/>
      <c r="H14" s="16"/>
      <c r="I14" s="16"/>
      <c r="J14" s="16"/>
      <c r="K14" s="19">
        <f>SUM(D11:D14)</f>
        <v>275235</v>
      </c>
      <c r="L14" s="21">
        <f>K14/K10-1</f>
        <v>8.1673236314761422E-2</v>
      </c>
      <c r="M14" s="17" t="s">
        <v>26</v>
      </c>
      <c r="N14" s="17">
        <v>2026</v>
      </c>
      <c r="O14" s="17">
        <v>2027</v>
      </c>
      <c r="P14" s="17">
        <v>2028</v>
      </c>
      <c r="Q14" s="17">
        <v>2029</v>
      </c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3.5" customHeight="1">
      <c r="A15" s="26">
        <f t="shared" ref="A15:A17" si="6">A14+84</f>
        <v>45984</v>
      </c>
      <c r="B15" s="27">
        <v>65978</v>
      </c>
      <c r="C15" s="27">
        <v>1329</v>
      </c>
      <c r="D15" s="28">
        <f t="shared" si="0"/>
        <v>67307</v>
      </c>
      <c r="E15" s="29"/>
      <c r="F15" s="29"/>
      <c r="G15" s="29"/>
      <c r="H15" s="29"/>
      <c r="I15" s="29"/>
      <c r="J15" s="29"/>
      <c r="K15" s="10"/>
      <c r="L15" s="10"/>
      <c r="M15" s="17" t="s">
        <v>22</v>
      </c>
      <c r="N15" s="18">
        <f t="shared" ref="N15:Q15" si="7">CHOOSE($N$12,N17,N18,N19)</f>
        <v>7025.2044701684408</v>
      </c>
      <c r="O15" s="18">
        <f t="shared" si="7"/>
        <v>8987.5015467640478</v>
      </c>
      <c r="P15" s="18">
        <f t="shared" si="7"/>
        <v>10346.425879516577</v>
      </c>
      <c r="Q15" s="18">
        <f t="shared" si="7"/>
        <v>11670.400123008938</v>
      </c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3.5" customHeight="1">
      <c r="A16" s="30">
        <f t="shared" si="6"/>
        <v>46068</v>
      </c>
      <c r="B16" s="31">
        <f t="shared" ref="B16:B30" si="8">_xlfn.FORECAST.ETS(A16,$B$3:$B$15,$A$3:$A$15,4)</f>
        <v>65061.901459554159</v>
      </c>
      <c r="C16" s="31">
        <f t="shared" ref="C16:C30" si="9">_xlfn.FORECAST.ETS(A16,$C$3:$C$15,$A$3:$A$15,4)</f>
        <v>1322.0642219189908</v>
      </c>
      <c r="D16" s="31">
        <f t="shared" si="0"/>
        <v>66383.965681473157</v>
      </c>
      <c r="E16" s="31">
        <f t="shared" ref="E16:E30" si="10">B16-_xlfn.FORECAST.ETS.CONFINT(A16,$B$3:$B$15,$A$3:$A$15,0.95,4)</f>
        <v>51541.771774386798</v>
      </c>
      <c r="F16" s="31">
        <f t="shared" ref="F16:F30" si="11">C16-_xlfn.FORECAST.ETS.CONFINT(A16,$C$3:$C$15,$A$3:$A$15,0.95,4)</f>
        <v>1034.9093638916988</v>
      </c>
      <c r="G16" s="31">
        <f t="shared" ref="G16:G30" si="12">E16+F16</f>
        <v>52576.681138278494</v>
      </c>
      <c r="H16" s="31">
        <f t="shared" ref="H16:H30" si="13">B16+_xlfn.FORECAST.ETS.CONFINT(A16,$B$3:$B$15,$A$3:$A$15,0.95,4)</f>
        <v>78582.031144721521</v>
      </c>
      <c r="I16" s="31">
        <f t="shared" ref="I16:I30" si="14">C16+_xlfn.FORECAST.ETS.CONFINT(A16,$C$3:$C$15,$A$3:$A$15,0.95,4)</f>
        <v>1609.2190799462828</v>
      </c>
      <c r="J16" s="31">
        <f t="shared" ref="J16:J30" si="15">H16+I16</f>
        <v>80191.250224667805</v>
      </c>
      <c r="K16" s="10"/>
      <c r="L16" s="10"/>
      <c r="M16" s="17" t="s">
        <v>28</v>
      </c>
      <c r="N16" s="16"/>
      <c r="O16" s="20">
        <f t="shared" ref="O16:Q16" si="16">O15/N15-1</f>
        <v>0.27932241473230146</v>
      </c>
      <c r="P16" s="20">
        <f t="shared" si="16"/>
        <v>0.15120156872093227</v>
      </c>
      <c r="Q16" s="20">
        <f t="shared" si="16"/>
        <v>0.12796440615435234</v>
      </c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5" customHeight="1">
      <c r="A17" s="32">
        <f t="shared" si="6"/>
        <v>46152</v>
      </c>
      <c r="B17" s="33">
        <f t="shared" si="8"/>
        <v>70086.579396702247</v>
      </c>
      <c r="C17" s="33">
        <f t="shared" si="9"/>
        <v>1512.0548980774349</v>
      </c>
      <c r="D17" s="33">
        <f t="shared" si="0"/>
        <v>71598.63429477968</v>
      </c>
      <c r="E17" s="33">
        <f t="shared" si="10"/>
        <v>53178.301752939653</v>
      </c>
      <c r="F17" s="33">
        <f t="shared" si="11"/>
        <v>1125.5353923537361</v>
      </c>
      <c r="G17" s="33">
        <f t="shared" si="12"/>
        <v>54303.837145293386</v>
      </c>
      <c r="H17" s="33">
        <f t="shared" si="13"/>
        <v>86994.857040464849</v>
      </c>
      <c r="I17" s="33">
        <f t="shared" si="14"/>
        <v>1898.5744038011337</v>
      </c>
      <c r="J17" s="33">
        <f t="shared" si="15"/>
        <v>88893.431444265982</v>
      </c>
      <c r="K17" s="10"/>
      <c r="L17" s="10"/>
      <c r="M17" s="17" t="s">
        <v>29</v>
      </c>
      <c r="N17" s="15">
        <f>SUM(C15,I16:I18)</f>
        <v>7025.2044701684408</v>
      </c>
      <c r="O17" s="15">
        <f>SUM(I19:I22)</f>
        <v>8987.5015467640478</v>
      </c>
      <c r="P17" s="15">
        <f>SUM(I23:I26)</f>
        <v>10346.425879516577</v>
      </c>
      <c r="Q17" s="15">
        <f>SUM(I27:I30)</f>
        <v>11670.400123008938</v>
      </c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5" customHeight="1">
      <c r="A18" s="13">
        <f>A17+112</f>
        <v>46264</v>
      </c>
      <c r="B18" s="15">
        <f t="shared" si="8"/>
        <v>83242.482854980699</v>
      </c>
      <c r="C18" s="15">
        <f t="shared" si="9"/>
        <v>1699.639338587921</v>
      </c>
      <c r="D18" s="15">
        <f t="shared" si="0"/>
        <v>84942.122193568619</v>
      </c>
      <c r="E18" s="15">
        <f t="shared" si="10"/>
        <v>62655.857705532733</v>
      </c>
      <c r="F18" s="15">
        <f t="shared" si="11"/>
        <v>1210.8676907548181</v>
      </c>
      <c r="G18" s="15">
        <f t="shared" si="12"/>
        <v>63866.725396287555</v>
      </c>
      <c r="H18" s="15">
        <f t="shared" si="13"/>
        <v>103829.10800442866</v>
      </c>
      <c r="I18" s="15">
        <f t="shared" si="14"/>
        <v>2188.4109864210241</v>
      </c>
      <c r="J18" s="15">
        <f t="shared" si="15"/>
        <v>106017.51899084968</v>
      </c>
      <c r="K18" s="19">
        <f>SUM(D15:D18)</f>
        <v>290231.72216982144</v>
      </c>
      <c r="L18" s="21">
        <f>K18/K14-1</f>
        <v>5.4486973567393182E-2</v>
      </c>
      <c r="M18" s="17" t="s">
        <v>15</v>
      </c>
      <c r="N18" s="15">
        <f>SUM(C15:C18)</f>
        <v>5862.758458584347</v>
      </c>
      <c r="O18" s="15">
        <f>SUM(C19:C22)</f>
        <v>6390.1206788665459</v>
      </c>
      <c r="P18" s="15">
        <f>SUM(C23:C26)</f>
        <v>6917.4590924104868</v>
      </c>
      <c r="Q18" s="15">
        <f>SUM(C27:C30)</f>
        <v>7566.358704846929</v>
      </c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.5" customHeight="1">
      <c r="A19" s="13">
        <f t="shared" ref="A19:A21" si="17">A18+84</f>
        <v>46348</v>
      </c>
      <c r="B19" s="15">
        <f t="shared" si="8"/>
        <v>70919.5645081681</v>
      </c>
      <c r="C19" s="15">
        <f t="shared" si="9"/>
        <v>1448.3974251804379</v>
      </c>
      <c r="D19" s="15">
        <f t="shared" si="0"/>
        <v>72367.961933348532</v>
      </c>
      <c r="E19" s="15">
        <f t="shared" si="10"/>
        <v>47378.031699724059</v>
      </c>
      <c r="F19" s="15">
        <f t="shared" si="11"/>
        <v>890.38893623956358</v>
      </c>
      <c r="G19" s="15">
        <f t="shared" si="12"/>
        <v>48268.420635963623</v>
      </c>
      <c r="H19" s="15">
        <f t="shared" si="13"/>
        <v>94461.09731661214</v>
      </c>
      <c r="I19" s="15">
        <f t="shared" si="14"/>
        <v>2006.4059141213124</v>
      </c>
      <c r="J19" s="15">
        <f t="shared" si="15"/>
        <v>96467.503230733448</v>
      </c>
      <c r="K19" s="10"/>
      <c r="L19" s="10"/>
      <c r="M19" s="17" t="s">
        <v>30</v>
      </c>
      <c r="N19" s="15">
        <f>SUM(C15,F16:F18)</f>
        <v>4700.3124470002531</v>
      </c>
      <c r="O19" s="15">
        <f>SUM(F19:F22)</f>
        <v>3792.7398109690444</v>
      </c>
      <c r="P19" s="15">
        <f>SUM(F23:F26)</f>
        <v>3488.4923053043958</v>
      </c>
      <c r="Q19" s="15">
        <f>SUM(F27:F30)</f>
        <v>3462.3172866849191</v>
      </c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5" customHeight="1">
      <c r="A20" s="13">
        <f t="shared" si="17"/>
        <v>46432</v>
      </c>
      <c r="B20" s="15">
        <f t="shared" si="8"/>
        <v>71983.348294402735</v>
      </c>
      <c r="C20" s="15">
        <f t="shared" si="9"/>
        <v>1507.0879273537405</v>
      </c>
      <c r="D20" s="15">
        <f t="shared" si="0"/>
        <v>73490.436221756478</v>
      </c>
      <c r="E20" s="15">
        <f t="shared" si="10"/>
        <v>45308.809696954937</v>
      </c>
      <c r="F20" s="15">
        <f t="shared" si="11"/>
        <v>883.23903615868323</v>
      </c>
      <c r="G20" s="15">
        <f t="shared" si="12"/>
        <v>46192.048733113617</v>
      </c>
      <c r="H20" s="15">
        <f t="shared" si="13"/>
        <v>98657.886891850532</v>
      </c>
      <c r="I20" s="15">
        <f t="shared" si="14"/>
        <v>2130.9368185487979</v>
      </c>
      <c r="J20" s="15">
        <f t="shared" si="15"/>
        <v>100788.82371039933</v>
      </c>
      <c r="K20" s="10"/>
      <c r="L20" s="10"/>
      <c r="M20" s="22" t="s">
        <v>31</v>
      </c>
      <c r="N20" s="23">
        <v>8.7800000000000003E-2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5" customHeight="1">
      <c r="A21" s="13">
        <f t="shared" si="17"/>
        <v>46516</v>
      </c>
      <c r="B21" s="15">
        <f t="shared" si="8"/>
        <v>81721.328724772917</v>
      </c>
      <c r="C21" s="15">
        <f t="shared" si="9"/>
        <v>1737.7635335963753</v>
      </c>
      <c r="D21" s="15">
        <f t="shared" si="0"/>
        <v>83459.092258369288</v>
      </c>
      <c r="E21" s="15">
        <f t="shared" si="10"/>
        <v>53158.762781685626</v>
      </c>
      <c r="F21" s="15">
        <f t="shared" si="11"/>
        <v>1061.914210215408</v>
      </c>
      <c r="G21" s="15">
        <f t="shared" si="12"/>
        <v>54220.676991901033</v>
      </c>
      <c r="H21" s="15">
        <f t="shared" si="13"/>
        <v>110283.89466786021</v>
      </c>
      <c r="I21" s="15">
        <f t="shared" si="14"/>
        <v>2413.6128569773427</v>
      </c>
      <c r="J21" s="15">
        <f t="shared" si="15"/>
        <v>112697.50752483755</v>
      </c>
      <c r="K21" s="10"/>
      <c r="L21" s="10"/>
      <c r="M21" s="12" t="s">
        <v>25</v>
      </c>
      <c r="N21" s="10">
        <v>1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5" customHeight="1">
      <c r="A22" s="13">
        <f>A21+112</f>
        <v>46628</v>
      </c>
      <c r="B22" s="15">
        <f t="shared" si="8"/>
        <v>82480.355085577277</v>
      </c>
      <c r="C22" s="15">
        <f t="shared" si="9"/>
        <v>1696.8717927359926</v>
      </c>
      <c r="D22" s="15">
        <f t="shared" si="0"/>
        <v>84177.226878313275</v>
      </c>
      <c r="E22" s="15">
        <f t="shared" si="10"/>
        <v>51572.390377600357</v>
      </c>
      <c r="F22" s="15">
        <f t="shared" si="11"/>
        <v>957.19762835538938</v>
      </c>
      <c r="G22" s="15">
        <f t="shared" si="12"/>
        <v>52529.588005955746</v>
      </c>
      <c r="H22" s="15">
        <f t="shared" si="13"/>
        <v>113388.3197935542</v>
      </c>
      <c r="I22" s="15">
        <f t="shared" si="14"/>
        <v>2436.5459571165957</v>
      </c>
      <c r="J22" s="15">
        <f t="shared" si="15"/>
        <v>115824.8657506708</v>
      </c>
      <c r="K22" s="19">
        <f>SUM(D19:D22)</f>
        <v>313494.71729178756</v>
      </c>
      <c r="L22" s="21">
        <f>K22/K18-1</f>
        <v>8.0153178805018488E-2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3.5" customHeight="1">
      <c r="A23" s="13">
        <f t="shared" ref="A23:A25" si="18">A22+84</f>
        <v>46712</v>
      </c>
      <c r="B23" s="15">
        <f t="shared" si="8"/>
        <v>75860.564267559937</v>
      </c>
      <c r="C23" s="15">
        <f t="shared" si="9"/>
        <v>1567.7710436226168</v>
      </c>
      <c r="D23" s="15">
        <f t="shared" si="0"/>
        <v>77428.335311182556</v>
      </c>
      <c r="E23" s="15">
        <f t="shared" si="10"/>
        <v>42487.018510431873</v>
      </c>
      <c r="F23" s="15">
        <f t="shared" si="11"/>
        <v>776.90226921273177</v>
      </c>
      <c r="G23" s="15">
        <f t="shared" si="12"/>
        <v>43263.920779644606</v>
      </c>
      <c r="H23" s="15">
        <f t="shared" si="13"/>
        <v>109234.11002468801</v>
      </c>
      <c r="I23" s="15">
        <f t="shared" si="14"/>
        <v>2358.6398180325018</v>
      </c>
      <c r="J23" s="15">
        <f t="shared" si="15"/>
        <v>111592.74984272051</v>
      </c>
      <c r="K23" s="10"/>
      <c r="L23" s="10"/>
      <c r="M23" s="17" t="s">
        <v>26</v>
      </c>
      <c r="N23" s="17">
        <v>2026</v>
      </c>
      <c r="O23" s="17">
        <v>2027</v>
      </c>
      <c r="P23" s="17">
        <v>2028</v>
      </c>
      <c r="Q23" s="17">
        <v>2029</v>
      </c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3.5" customHeight="1">
      <c r="A24" s="13">
        <f t="shared" si="18"/>
        <v>46796</v>
      </c>
      <c r="B24" s="15">
        <f t="shared" si="8"/>
        <v>78904.795129251303</v>
      </c>
      <c r="C24" s="15">
        <f t="shared" si="9"/>
        <v>1692.1116327884899</v>
      </c>
      <c r="D24" s="15">
        <f t="shared" si="0"/>
        <v>80596.906762039798</v>
      </c>
      <c r="E24" s="15">
        <f t="shared" si="10"/>
        <v>43609.135147491572</v>
      </c>
      <c r="F24" s="15">
        <f t="shared" si="11"/>
        <v>856.188304667799</v>
      </c>
      <c r="G24" s="15">
        <f t="shared" si="12"/>
        <v>44465.323452159369</v>
      </c>
      <c r="H24" s="15">
        <f t="shared" si="13"/>
        <v>114200.45511101103</v>
      </c>
      <c r="I24" s="15">
        <f t="shared" si="14"/>
        <v>2528.0349609091809</v>
      </c>
      <c r="J24" s="15">
        <f t="shared" si="15"/>
        <v>116728.49007192021</v>
      </c>
      <c r="K24" s="10"/>
      <c r="L24" s="10"/>
      <c r="M24" s="17" t="s">
        <v>21</v>
      </c>
      <c r="N24" s="18">
        <f t="shared" ref="N24:Q24" si="19">CHOOSE($N$21,N26,N27,N28)</f>
        <v>335383.99618961505</v>
      </c>
      <c r="O24" s="18">
        <f t="shared" si="19"/>
        <v>416791.19866987708</v>
      </c>
      <c r="P24" s="18">
        <f t="shared" si="19"/>
        <v>10346.425879516577</v>
      </c>
      <c r="Q24" s="18">
        <f t="shared" si="19"/>
        <v>530517.52249637304</v>
      </c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3.5" customHeight="1">
      <c r="A25" s="13">
        <f t="shared" si="18"/>
        <v>46880</v>
      </c>
      <c r="B25" s="15">
        <f t="shared" si="8"/>
        <v>93356.078052843586</v>
      </c>
      <c r="C25" s="15">
        <f t="shared" si="9"/>
        <v>1963.4721691153156</v>
      </c>
      <c r="D25" s="15">
        <f t="shared" si="0"/>
        <v>95319.550221958896</v>
      </c>
      <c r="E25" s="15">
        <f t="shared" si="10"/>
        <v>56596.415113529474</v>
      </c>
      <c r="F25" s="15">
        <f t="shared" si="11"/>
        <v>1087.6861159908642</v>
      </c>
      <c r="G25" s="15">
        <f t="shared" si="12"/>
        <v>57684.10122952034</v>
      </c>
      <c r="H25" s="15">
        <f t="shared" si="13"/>
        <v>130115.74099215769</v>
      </c>
      <c r="I25" s="15">
        <f t="shared" si="14"/>
        <v>2839.2582222397668</v>
      </c>
      <c r="J25" s="15">
        <f t="shared" si="15"/>
        <v>132954.99921439745</v>
      </c>
      <c r="K25" s="10"/>
      <c r="L25" s="10"/>
      <c r="M25" s="17" t="s">
        <v>28</v>
      </c>
      <c r="N25" s="16"/>
      <c r="O25" s="16"/>
      <c r="P25" s="16"/>
      <c r="Q25" s="16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5" customHeight="1">
      <c r="A26" s="13">
        <f>A25+112</f>
        <v>46992</v>
      </c>
      <c r="B26" s="15">
        <f t="shared" si="8"/>
        <v>81718.22731617387</v>
      </c>
      <c r="C26" s="15">
        <f t="shared" si="9"/>
        <v>1694.1042468840642</v>
      </c>
      <c r="D26" s="15">
        <f t="shared" si="0"/>
        <v>83412.331563057931</v>
      </c>
      <c r="E26" s="15">
        <f t="shared" si="10"/>
        <v>43087.584949953038</v>
      </c>
      <c r="F26" s="15">
        <f t="shared" si="11"/>
        <v>767.71561543300072</v>
      </c>
      <c r="G26" s="15">
        <f t="shared" si="12"/>
        <v>43855.300565386038</v>
      </c>
      <c r="H26" s="15">
        <f t="shared" si="13"/>
        <v>120348.8696823947</v>
      </c>
      <c r="I26" s="15">
        <f t="shared" si="14"/>
        <v>2620.4928783351279</v>
      </c>
      <c r="J26" s="15">
        <f t="shared" si="15"/>
        <v>122969.36256072982</v>
      </c>
      <c r="K26" s="19">
        <f>SUM(D23:D26)</f>
        <v>336757.12385823915</v>
      </c>
      <c r="L26" s="21">
        <f>K26/K22-1</f>
        <v>7.4203504184729097E-2</v>
      </c>
      <c r="M26" s="17" t="s">
        <v>29</v>
      </c>
      <c r="N26" s="15">
        <f>SUM(B15,H16:H18)</f>
        <v>335383.99618961505</v>
      </c>
      <c r="O26" s="15">
        <f>SUM(H19:H22)</f>
        <v>416791.19866987708</v>
      </c>
      <c r="P26" s="15">
        <f>SUM(I23:I26)</f>
        <v>10346.425879516577</v>
      </c>
      <c r="Q26" s="15">
        <f>SUM(H27:H30)</f>
        <v>530517.52249637304</v>
      </c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5" customHeight="1">
      <c r="A27" s="13">
        <f t="shared" ref="A27:A29" si="20">A26+84</f>
        <v>47076</v>
      </c>
      <c r="B27" s="15">
        <f t="shared" si="8"/>
        <v>80801.56402695179</v>
      </c>
      <c r="C27" s="15">
        <f t="shared" si="9"/>
        <v>1687.1446620647957</v>
      </c>
      <c r="D27" s="15">
        <f t="shared" si="0"/>
        <v>82488.708689016581</v>
      </c>
      <c r="E27" s="15">
        <f t="shared" si="10"/>
        <v>39823.960139696581</v>
      </c>
      <c r="F27" s="15">
        <f t="shared" si="11"/>
        <v>716.33167263139785</v>
      </c>
      <c r="G27" s="15">
        <f t="shared" si="12"/>
        <v>40540.291812327981</v>
      </c>
      <c r="H27" s="15">
        <f t="shared" si="13"/>
        <v>121779.16791420701</v>
      </c>
      <c r="I27" s="15">
        <f t="shared" si="14"/>
        <v>2657.9576514981936</v>
      </c>
      <c r="J27" s="15">
        <f t="shared" si="15"/>
        <v>124437.1255657052</v>
      </c>
      <c r="K27" s="10"/>
      <c r="L27" s="10"/>
      <c r="M27" s="17" t="s">
        <v>15</v>
      </c>
      <c r="N27" s="15">
        <f>SUM(B15:B18)</f>
        <v>284368.96371123707</v>
      </c>
      <c r="O27" s="15">
        <f>SUM(B19:B22)</f>
        <v>307104.59661292104</v>
      </c>
      <c r="P27" s="15">
        <f>SUM(B23:B26)</f>
        <v>329839.66476582864</v>
      </c>
      <c r="Q27" s="15">
        <f>SUM(B27:B30)</f>
        <v>358201.47184009652</v>
      </c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5" customHeight="1">
      <c r="A28" s="13">
        <f t="shared" si="20"/>
        <v>47160</v>
      </c>
      <c r="B28" s="15">
        <f t="shared" si="8"/>
        <v>85826.241964099871</v>
      </c>
      <c r="C28" s="15">
        <f t="shared" si="9"/>
        <v>1877.1353382232398</v>
      </c>
      <c r="D28" s="15">
        <f t="shared" si="0"/>
        <v>87703.377302323104</v>
      </c>
      <c r="E28" s="15">
        <f t="shared" si="10"/>
        <v>43570.106714735135</v>
      </c>
      <c r="F28" s="15">
        <f t="shared" si="11"/>
        <v>871.5448549210746</v>
      </c>
      <c r="G28" s="15">
        <f t="shared" si="12"/>
        <v>44441.651569656213</v>
      </c>
      <c r="H28" s="15">
        <f t="shared" si="13"/>
        <v>128082.37721346461</v>
      </c>
      <c r="I28" s="15">
        <f t="shared" si="14"/>
        <v>2882.7258215254051</v>
      </c>
      <c r="J28" s="15">
        <f t="shared" si="15"/>
        <v>130965.10303499002</v>
      </c>
      <c r="K28" s="10"/>
      <c r="L28" s="10"/>
      <c r="M28" s="17" t="s">
        <v>30</v>
      </c>
      <c r="N28" s="15">
        <f>SUM(B15,E16:E18)</f>
        <v>233353.93123285921</v>
      </c>
      <c r="O28" s="15">
        <f>SUM(E19:E22)</f>
        <v>197417.99455596498</v>
      </c>
      <c r="P28" s="15">
        <f>SUM(E23:E26)</f>
        <v>185780.15372140598</v>
      </c>
      <c r="Q28" s="15">
        <f>SUM(E27:E30)</f>
        <v>185885.42118381988</v>
      </c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5" customHeight="1">
      <c r="A29" s="13">
        <f t="shared" si="20"/>
        <v>47244</v>
      </c>
      <c r="B29" s="15">
        <f t="shared" si="8"/>
        <v>104990.82738091427</v>
      </c>
      <c r="C29" s="15">
        <f t="shared" si="9"/>
        <v>2189.1808046342562</v>
      </c>
      <c r="D29" s="15">
        <f t="shared" si="0"/>
        <v>107180.00818554853</v>
      </c>
      <c r="E29" s="15">
        <f t="shared" si="10"/>
        <v>61490.516596047986</v>
      </c>
      <c r="F29" s="15">
        <f t="shared" si="11"/>
        <v>1149.9035411625343</v>
      </c>
      <c r="G29" s="15">
        <f t="shared" si="12"/>
        <v>62640.420137210524</v>
      </c>
      <c r="H29" s="15">
        <f t="shared" si="13"/>
        <v>148491.13816578055</v>
      </c>
      <c r="I29" s="15">
        <f t="shared" si="14"/>
        <v>3228.4580681059779</v>
      </c>
      <c r="J29" s="15">
        <f t="shared" si="15"/>
        <v>151719.59623388652</v>
      </c>
      <c r="K29" s="10"/>
      <c r="L29" s="10"/>
      <c r="M29" s="22" t="s">
        <v>31</v>
      </c>
      <c r="N29" s="23">
        <v>7.9100000000000004E-2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5" customHeight="1">
      <c r="A30" s="13">
        <f>A29+119</f>
        <v>47363</v>
      </c>
      <c r="B30" s="15">
        <f t="shared" si="8"/>
        <v>86582.838468130532</v>
      </c>
      <c r="C30" s="15">
        <f t="shared" si="9"/>
        <v>1812.8978999246372</v>
      </c>
      <c r="D30" s="15">
        <f t="shared" si="0"/>
        <v>88395.736368055164</v>
      </c>
      <c r="E30" s="15">
        <f t="shared" si="10"/>
        <v>41000.837733340173</v>
      </c>
      <c r="F30" s="15">
        <f t="shared" si="11"/>
        <v>724.53721796991272</v>
      </c>
      <c r="G30" s="15">
        <f t="shared" si="12"/>
        <v>41725.374951310085</v>
      </c>
      <c r="H30" s="15">
        <f t="shared" si="13"/>
        <v>132164.83920292091</v>
      </c>
      <c r="I30" s="15">
        <f t="shared" si="14"/>
        <v>2901.2585818793614</v>
      </c>
      <c r="J30" s="15">
        <f t="shared" si="15"/>
        <v>135066.09778480028</v>
      </c>
      <c r="K30" s="19">
        <f>SUM(D27:D30)</f>
        <v>365767.8305449434</v>
      </c>
      <c r="L30" s="21">
        <f>K30/K26-1</f>
        <v>8.6147269445490782E-2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1:D1"/>
    <mergeCell ref="E1:G1"/>
    <mergeCell ref="H1:J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06"/>
  <sheetViews>
    <sheetView topLeftCell="A95" zoomScale="86" zoomScaleNormal="130" workbookViewId="0">
      <selection activeCell="K104" sqref="K104"/>
    </sheetView>
  </sheetViews>
  <sheetFormatPr defaultColWidth="12.6328125" defaultRowHeight="15" customHeight="1" outlineLevelRow="1"/>
  <cols>
    <col min="1" max="1" width="8.6328125" customWidth="1"/>
    <col min="2" max="2" width="46" customWidth="1"/>
    <col min="3" max="3" width="4.6328125" hidden="1" customWidth="1"/>
    <col min="4" max="4" width="7.26953125" hidden="1" customWidth="1"/>
    <col min="5" max="5" width="10.6328125" hidden="1" customWidth="1"/>
    <col min="6" max="9" width="10.6328125" customWidth="1"/>
    <col min="10" max="10" width="10.08984375" customWidth="1"/>
    <col min="11" max="11" width="11.453125" customWidth="1"/>
    <col min="12" max="12" width="11" customWidth="1"/>
    <col min="13" max="13" width="11.6328125" customWidth="1"/>
    <col min="14" max="14" width="12.90625" customWidth="1"/>
    <col min="15" max="15" width="10.26953125" customWidth="1"/>
    <col min="16" max="16" width="10.08984375" customWidth="1"/>
    <col min="17" max="17" width="23" customWidth="1"/>
    <col min="18" max="18" width="11.36328125" customWidth="1"/>
    <col min="19" max="19" width="10.6328125" customWidth="1"/>
    <col min="20" max="20" width="13.7265625" customWidth="1"/>
    <col min="21" max="21" width="14.7265625" hidden="1" customWidth="1"/>
    <col min="22" max="22" width="9.08984375" customWidth="1"/>
    <col min="23" max="23" width="27.6328125" customWidth="1"/>
    <col min="24" max="31" width="8.6328125" customWidth="1"/>
  </cols>
  <sheetData>
    <row r="1" spans="1:31" ht="14.5">
      <c r="A1" s="34"/>
      <c r="B1" s="237" t="s">
        <v>32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9"/>
      <c r="Q1" s="35"/>
      <c r="R1" s="35"/>
      <c r="S1" s="35"/>
      <c r="T1" s="35"/>
      <c r="U1" s="35"/>
      <c r="V1" s="36"/>
      <c r="W1" s="37"/>
      <c r="X1" s="37"/>
      <c r="Y1" s="37"/>
      <c r="Z1" s="37"/>
      <c r="AA1" s="10"/>
      <c r="AB1" s="10"/>
      <c r="AC1" s="10"/>
      <c r="AD1" s="10"/>
      <c r="AE1" s="10"/>
    </row>
    <row r="2" spans="1:31" ht="14.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6"/>
      <c r="R2" s="36"/>
      <c r="S2" s="36"/>
      <c r="T2" s="36"/>
      <c r="U2" s="36"/>
      <c r="V2" s="36"/>
      <c r="W2" s="37"/>
      <c r="X2" s="37"/>
      <c r="Y2" s="37"/>
      <c r="Z2" s="37"/>
      <c r="AA2" s="10"/>
      <c r="AB2" s="10"/>
      <c r="AC2" s="10"/>
      <c r="AD2" s="10"/>
      <c r="AE2" s="10"/>
    </row>
    <row r="3" spans="1:31" ht="14.5">
      <c r="A3" s="34" t="s">
        <v>33</v>
      </c>
      <c r="B3" s="237" t="s">
        <v>34</v>
      </c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9"/>
      <c r="U3" s="35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ht="14.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36"/>
      <c r="R4" s="36"/>
      <c r="S4" s="36"/>
      <c r="T4" s="36"/>
      <c r="U4" s="36"/>
      <c r="V4" s="36"/>
      <c r="W4" s="37"/>
      <c r="X4" s="37"/>
      <c r="Y4" s="37"/>
      <c r="Z4" s="37"/>
      <c r="AA4" s="10"/>
      <c r="AB4" s="10"/>
      <c r="AC4" s="10"/>
      <c r="AD4" s="10"/>
      <c r="AE4" s="10"/>
    </row>
    <row r="5" spans="1:31" ht="14.5" outlineLevel="1">
      <c r="A5" s="10"/>
      <c r="B5" s="12" t="s">
        <v>35</v>
      </c>
      <c r="C5" s="10"/>
      <c r="D5" s="10"/>
      <c r="E5" s="10"/>
      <c r="F5" s="38">
        <v>2021</v>
      </c>
      <c r="G5" s="38">
        <v>2022</v>
      </c>
      <c r="H5" s="38">
        <v>2023</v>
      </c>
      <c r="I5" s="38">
        <v>2024</v>
      </c>
      <c r="J5" s="38">
        <v>2025</v>
      </c>
      <c r="K5" s="39">
        <f t="shared" ref="K5:M5" si="0">J5+1</f>
        <v>2026</v>
      </c>
      <c r="L5" s="39">
        <f t="shared" si="0"/>
        <v>2027</v>
      </c>
      <c r="M5" s="39">
        <f t="shared" si="0"/>
        <v>2028</v>
      </c>
      <c r="N5" s="39" t="s">
        <v>36</v>
      </c>
      <c r="O5" s="39"/>
      <c r="P5" s="39"/>
      <c r="Q5" s="40" t="s">
        <v>37</v>
      </c>
      <c r="R5" s="41" t="s">
        <v>38</v>
      </c>
      <c r="S5" s="39"/>
      <c r="T5" s="39"/>
      <c r="U5" s="39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ht="14.5" outlineLevel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42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ht="14.5" outlineLevel="1">
      <c r="A7" s="10"/>
      <c r="B7" s="43" t="s">
        <v>39</v>
      </c>
      <c r="C7" s="10"/>
      <c r="D7" s="10"/>
      <c r="E7" s="10"/>
      <c r="F7" s="44">
        <f>VLOOKUP($B7,INCOME_STATEMENT!$B$20:$L$39,11,0)</f>
        <v>192052</v>
      </c>
      <c r="G7" s="44">
        <f>VLOOKUP($B7,INCOME_STATEMENT!$B$20:$L$39,9,0)</f>
        <v>222730</v>
      </c>
      <c r="H7" s="44">
        <f>VLOOKUP($B7,INCOME_STATEMENT!$B$20:$L$39,7,0)</f>
        <v>237710</v>
      </c>
      <c r="I7" s="44">
        <f>VLOOKUP($B7,INCOME_STATEMENT!$B$20:$L$39,5,0)</f>
        <v>249625</v>
      </c>
      <c r="J7" s="44">
        <f>VLOOKUP($B7,INCOME_STATEMENT!$B$20:$L$39,3,0)</f>
        <v>269912</v>
      </c>
      <c r="K7" s="44">
        <f>J7*(1+'Revenue Forecast ETS'!$N$29)</f>
        <v>291262.0392</v>
      </c>
      <c r="L7" s="44">
        <f>K7*(1+'Revenue Forecast ETS'!$N$29)</f>
        <v>314300.86650071997</v>
      </c>
      <c r="M7" s="44">
        <f>L7*(1+'Revenue Forecast ETS'!$N$29)</f>
        <v>339162.06504092691</v>
      </c>
      <c r="N7" s="44">
        <f t="shared" ref="N7:N8" si="1">M7*(1+3.5%)</f>
        <v>351032.73731735931</v>
      </c>
      <c r="O7" s="44"/>
      <c r="P7" s="44"/>
      <c r="Q7" s="42" t="s">
        <v>40</v>
      </c>
      <c r="R7" s="10" t="s">
        <v>41</v>
      </c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ht="14.5" outlineLevel="1">
      <c r="A8" s="10"/>
      <c r="B8" s="43" t="s">
        <v>42</v>
      </c>
      <c r="C8" s="10"/>
      <c r="D8" s="10"/>
      <c r="E8" s="10"/>
      <c r="F8" s="44">
        <f>VLOOKUP($B8,INCOME_STATEMENT!$B$20:$L$39,11,0)</f>
        <v>3877</v>
      </c>
      <c r="G8" s="44">
        <f>VLOOKUP($B8,INCOME_STATEMENT!$B$20:$L$39,9,0)</f>
        <v>4224</v>
      </c>
      <c r="H8" s="44">
        <f>VLOOKUP($B8,INCOME_STATEMENT!$B$20:$L$39,7,0)</f>
        <v>4580</v>
      </c>
      <c r="I8" s="44">
        <f>VLOOKUP($B8,INCOME_STATEMENT!$B$20:$L$39,5,0)</f>
        <v>4828</v>
      </c>
      <c r="J8" s="44">
        <f>VLOOKUP($B8,INCOME_STATEMENT!$B$20:$L$39,3,0)</f>
        <v>5323</v>
      </c>
      <c r="K8" s="44">
        <f>J8*(1+'Revenue Forecast ETS'!$N$20)</f>
        <v>5790.3594000000003</v>
      </c>
      <c r="L8" s="44">
        <f>K8*(1+'Revenue Forecast ETS'!$N$20)</f>
        <v>6298.7529553200011</v>
      </c>
      <c r="M8" s="44">
        <f>L8*(1+'Revenue Forecast ETS'!$N$20)</f>
        <v>6851.7834647970976</v>
      </c>
      <c r="N8" s="44">
        <f t="shared" si="1"/>
        <v>7091.5958860649953</v>
      </c>
      <c r="O8" s="44"/>
      <c r="P8" s="44"/>
      <c r="Q8" s="45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ht="14.5" outlineLevel="1">
      <c r="A9" s="10"/>
      <c r="B9" s="43" t="s">
        <v>43</v>
      </c>
      <c r="C9" s="10"/>
      <c r="D9" s="10"/>
      <c r="E9" s="10"/>
      <c r="F9" s="44">
        <f>VLOOKUP($B9,INCOME_STATEMENT!$B$20:$L$39,11,0)</f>
        <v>195929</v>
      </c>
      <c r="G9" s="44">
        <f>VLOOKUP($B9,INCOME_STATEMENT!$B$20:$L$39,9,0)</f>
        <v>226954</v>
      </c>
      <c r="H9" s="44">
        <f>VLOOKUP($B9,INCOME_STATEMENT!$B$20:$L$39,7,0)</f>
        <v>242290</v>
      </c>
      <c r="I9" s="44">
        <f>VLOOKUP($B9,INCOME_STATEMENT!$B$20:$L$39,5,0)</f>
        <v>254453</v>
      </c>
      <c r="J9" s="44">
        <f>VLOOKUP($B9,INCOME_STATEMENT!$B$20:$L$39,3,0)</f>
        <v>275235</v>
      </c>
      <c r="K9" s="44">
        <f t="shared" ref="K9:N9" si="2">SUM(K7:K8)</f>
        <v>297052.39860000001</v>
      </c>
      <c r="L9" s="44">
        <f t="shared" si="2"/>
        <v>320599.61945603997</v>
      </c>
      <c r="M9" s="44">
        <f t="shared" si="2"/>
        <v>346013.84850572399</v>
      </c>
      <c r="N9" s="44">
        <f t="shared" si="2"/>
        <v>358124.33320342429</v>
      </c>
      <c r="O9" s="44"/>
      <c r="P9" s="44"/>
      <c r="Q9" s="42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ht="14.5" outlineLevel="1">
      <c r="A10" s="10"/>
      <c r="B10" s="43"/>
      <c r="C10" s="10"/>
      <c r="D10" s="10"/>
      <c r="E10" s="10"/>
      <c r="F10" s="44"/>
      <c r="G10" s="44"/>
      <c r="H10" s="44"/>
      <c r="I10" s="44"/>
      <c r="J10" s="46"/>
      <c r="K10" s="44"/>
      <c r="L10" s="44"/>
      <c r="M10" s="24"/>
      <c r="N10" s="44"/>
      <c r="O10" s="44"/>
      <c r="P10" s="10"/>
      <c r="Q10" s="42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ht="14.5" outlineLevel="1">
      <c r="A11" s="10"/>
      <c r="B11" s="43" t="s">
        <v>44</v>
      </c>
      <c r="C11" s="10"/>
      <c r="D11" s="10"/>
      <c r="E11" s="10"/>
      <c r="F11" s="44"/>
      <c r="G11" s="44"/>
      <c r="H11" s="44"/>
      <c r="I11" s="44"/>
      <c r="J11" s="44"/>
      <c r="K11" s="10"/>
      <c r="L11" s="10"/>
      <c r="M11" s="10"/>
      <c r="N11" s="10"/>
      <c r="O11" s="10"/>
      <c r="P11" s="10"/>
      <c r="Q11" s="42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ht="14.5" outlineLevel="1">
      <c r="A12" s="10"/>
      <c r="B12" s="43" t="s">
        <v>45</v>
      </c>
      <c r="C12" s="10"/>
      <c r="D12" s="10"/>
      <c r="E12" s="10"/>
      <c r="F12" s="44">
        <f>VLOOKUP($B12,INCOME_STATEMENT!$B$20:$L$39,11,0)</f>
        <v>170684</v>
      </c>
      <c r="G12" s="44">
        <f>VLOOKUP($B12,INCOME_STATEMENT!$B$20:$L$39,9,0)</f>
        <v>199382</v>
      </c>
      <c r="H12" s="44">
        <f>VLOOKUP($B12,INCOME_STATEMENT!$B$20:$L$39,7,0)</f>
        <v>212586</v>
      </c>
      <c r="I12" s="44">
        <f>VLOOKUP($B12,INCOME_STATEMENT!$B$20:$L$39,5,0)</f>
        <v>222358</v>
      </c>
      <c r="J12" s="44">
        <f>VLOOKUP($B12,INCOME_STATEMENT!$B$20:$L$39,3,0)</f>
        <v>239886</v>
      </c>
      <c r="K12" s="44">
        <f t="shared" ref="K12:M12" si="3">K$9*$Q12</f>
        <v>259772.49266604928</v>
      </c>
      <c r="L12" s="44">
        <f t="shared" si="3"/>
        <v>280364.5507876479</v>
      </c>
      <c r="M12" s="44">
        <f t="shared" si="3"/>
        <v>302589.30864362553</v>
      </c>
      <c r="N12" s="44">
        <f t="shared" ref="N12:N14" si="4">M12*(1+3.5%)</f>
        <v>313179.93444615242</v>
      </c>
      <c r="O12" s="44"/>
      <c r="P12" s="44"/>
      <c r="Q12" s="47">
        <f t="shared" ref="Q12:Q13" si="5">K104</f>
        <v>0.87450057259375813</v>
      </c>
      <c r="R12" s="10" t="s">
        <v>46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14.5" outlineLevel="1">
      <c r="A13" s="10"/>
      <c r="B13" s="43" t="s">
        <v>47</v>
      </c>
      <c r="C13" s="10"/>
      <c r="D13" s="10"/>
      <c r="E13" s="10"/>
      <c r="F13" s="44">
        <f>VLOOKUP($B13,INCOME_STATEMENT!$B$20:$L$39,11,0)</f>
        <v>18537</v>
      </c>
      <c r="G13" s="44">
        <f>VLOOKUP($B13,INCOME_STATEMENT!$B$20:$L$39,9,0)</f>
        <v>19779</v>
      </c>
      <c r="H13" s="44">
        <f>VLOOKUP($B13,INCOME_STATEMENT!$B$20:$L$39,7,0)</f>
        <v>21590</v>
      </c>
      <c r="I13" s="44">
        <f>VLOOKUP($B13,INCOME_STATEMENT!$B$20:$L$39,5,0)</f>
        <v>22810</v>
      </c>
      <c r="J13" s="44">
        <f>VLOOKUP($B13,INCOME_STATEMENT!$B$20:$L$39,3,0)</f>
        <v>24966</v>
      </c>
      <c r="K13" s="44">
        <f t="shared" ref="K13:M13" si="6">K$9*$Q13</f>
        <v>26807.192494371309</v>
      </c>
      <c r="L13" s="44">
        <f t="shared" si="6"/>
        <v>28932.187563154901</v>
      </c>
      <c r="M13" s="44">
        <f t="shared" si="6"/>
        <v>31225.668893188918</v>
      </c>
      <c r="N13" s="44">
        <f t="shared" si="4"/>
        <v>32318.567304450527</v>
      </c>
      <c r="O13" s="44"/>
      <c r="P13" s="44"/>
      <c r="Q13" s="47">
        <f t="shared" si="5"/>
        <v>9.0243985979284763E-2</v>
      </c>
      <c r="R13" s="10" t="s">
        <v>48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ht="14.5" outlineLevel="1">
      <c r="A14" s="12"/>
      <c r="B14" s="48" t="s">
        <v>49</v>
      </c>
      <c r="C14" s="12"/>
      <c r="D14" s="12"/>
      <c r="E14" s="12"/>
      <c r="F14" s="49">
        <f>VLOOKUP($B14,INCOME_STATEMENT!$B$20:$L$39,11,0)</f>
        <v>6708</v>
      </c>
      <c r="G14" s="49">
        <f>VLOOKUP($B14,INCOME_STATEMENT!$B$20:$L$39,9,0)</f>
        <v>7793</v>
      </c>
      <c r="H14" s="49">
        <f>VLOOKUP($B14,INCOME_STATEMENT!$B$20:$L$39,7,0)</f>
        <v>8114</v>
      </c>
      <c r="I14" s="49">
        <f>VLOOKUP($B14,INCOME_STATEMENT!$B$20:$L$39,5,0)</f>
        <v>9285</v>
      </c>
      <c r="J14" s="49">
        <f>VLOOKUP($B14,INCOME_STATEMENT!$B$20:$L$39,3,0)</f>
        <v>10383</v>
      </c>
      <c r="K14" s="49">
        <f t="shared" ref="K14:M14" si="7">K9-SUM(K12:K13)</f>
        <v>10472.713439579413</v>
      </c>
      <c r="L14" s="49">
        <f t="shared" si="7"/>
        <v>11302.881105237175</v>
      </c>
      <c r="M14" s="49">
        <f t="shared" si="7"/>
        <v>12198.870968909527</v>
      </c>
      <c r="N14" s="44">
        <f t="shared" si="4"/>
        <v>12625.83145282136</v>
      </c>
      <c r="O14" s="49"/>
      <c r="P14" s="49"/>
      <c r="Q14" s="50"/>
      <c r="R14" s="12"/>
      <c r="S14" s="12"/>
      <c r="T14" s="12"/>
      <c r="U14" s="12"/>
      <c r="V14" s="10"/>
      <c r="W14" s="10"/>
      <c r="X14" s="10"/>
      <c r="Y14" s="10"/>
      <c r="Z14" s="10"/>
      <c r="AA14" s="12"/>
      <c r="AB14" s="12"/>
      <c r="AC14" s="12"/>
      <c r="AD14" s="12"/>
      <c r="AE14" s="12"/>
    </row>
    <row r="15" spans="1:31" ht="14.5" outlineLevel="1">
      <c r="A15" s="12"/>
      <c r="B15" s="48"/>
      <c r="C15" s="12"/>
      <c r="D15" s="12"/>
      <c r="E15" s="12"/>
      <c r="F15" s="49"/>
      <c r="G15" s="49"/>
      <c r="H15" s="49"/>
      <c r="I15" s="51"/>
      <c r="J15" s="52"/>
      <c r="K15" s="52"/>
      <c r="L15" s="52"/>
      <c r="M15" s="52"/>
      <c r="N15" s="12"/>
      <c r="O15" s="12"/>
      <c r="P15" s="12"/>
      <c r="Q15" s="50"/>
      <c r="R15" s="12"/>
      <c r="S15" s="12"/>
      <c r="T15" s="12"/>
      <c r="U15" s="12"/>
      <c r="V15" s="10"/>
      <c r="W15" s="10"/>
      <c r="X15" s="10"/>
      <c r="Y15" s="10"/>
      <c r="Z15" s="10"/>
      <c r="AA15" s="12"/>
      <c r="AB15" s="12"/>
      <c r="AC15" s="12"/>
      <c r="AD15" s="12"/>
      <c r="AE15" s="12"/>
    </row>
    <row r="16" spans="1:31" ht="14.5" outlineLevel="1">
      <c r="A16" s="10"/>
      <c r="B16" s="43" t="s">
        <v>50</v>
      </c>
      <c r="C16" s="10"/>
      <c r="D16" s="10"/>
      <c r="E16" s="10"/>
      <c r="F16" s="44"/>
      <c r="G16" s="44"/>
      <c r="H16" s="44"/>
      <c r="I16" s="44"/>
      <c r="J16" s="21"/>
      <c r="K16" s="21"/>
      <c r="L16" s="21"/>
      <c r="M16" s="21"/>
      <c r="N16" s="10"/>
      <c r="O16" s="10"/>
      <c r="P16" s="10"/>
      <c r="Q16" s="42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ht="14.5" outlineLevel="1">
      <c r="A17" s="10"/>
      <c r="B17" s="43" t="s">
        <v>51</v>
      </c>
      <c r="C17" s="10"/>
      <c r="D17" s="10"/>
      <c r="E17" s="10"/>
      <c r="F17" s="44">
        <f>VLOOKUP($B17,INCOME_STATEMENT!$B$20:$L$39,11,0)</f>
        <v>-171</v>
      </c>
      <c r="G17" s="44">
        <f>VLOOKUP($B17,INCOME_STATEMENT!$B$20:$L$39,9,0)</f>
        <v>-158</v>
      </c>
      <c r="H17" s="44">
        <f>VLOOKUP($B17,INCOME_STATEMENT!$B$20:$L$39,7,0)</f>
        <v>-160</v>
      </c>
      <c r="I17" s="44">
        <f>VLOOKUP($B17,INCOME_STATEMENT!$B$20:$L$39,5,0)</f>
        <v>-169</v>
      </c>
      <c r="J17" s="44">
        <f>VLOOKUP($B17,INCOME_STATEMENT!$B$20:$L$39,3,0)</f>
        <v>-154</v>
      </c>
      <c r="K17" s="44">
        <f t="shared" ref="K17:M17" si="8">K118</f>
        <v>-151.91222733988008</v>
      </c>
      <c r="L17" s="44">
        <f t="shared" si="8"/>
        <v>-120.79638480924655</v>
      </c>
      <c r="M17" s="44">
        <f t="shared" si="8"/>
        <v>-90.684279134439905</v>
      </c>
      <c r="N17" s="44">
        <f t="shared" ref="N17:N18" si="9">M17*(1+3.5%)</f>
        <v>-93.858228904145292</v>
      </c>
      <c r="O17" s="44"/>
      <c r="P17" s="44"/>
      <c r="Q17" s="45">
        <f>J117</f>
        <v>2.676631615538368E-2</v>
      </c>
      <c r="R17" s="10" t="s">
        <v>52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ht="14.5" outlineLevel="1">
      <c r="A18" s="10"/>
      <c r="B18" s="43" t="s">
        <v>53</v>
      </c>
      <c r="C18" s="10"/>
      <c r="D18" s="10"/>
      <c r="E18" s="10"/>
      <c r="F18" s="44">
        <f>VLOOKUP($B18,INCOME_STATEMENT!$B$20:$L$39,11,0)</f>
        <v>143</v>
      </c>
      <c r="G18" s="44">
        <f>VLOOKUP($B18,INCOME_STATEMENT!$B$20:$L$39,9,0)</f>
        <v>205</v>
      </c>
      <c r="H18" s="44">
        <f>VLOOKUP($B18,INCOME_STATEMENT!$B$20:$L$39,7,0)</f>
        <v>533</v>
      </c>
      <c r="I18" s="44">
        <f>VLOOKUP($B18,INCOME_STATEMENT!$B$20:$L$39,5,0)</f>
        <v>624</v>
      </c>
      <c r="J18" s="44">
        <f>VLOOKUP($B18,INCOME_STATEMENT!$B$20:$L$39,3,0)</f>
        <v>589</v>
      </c>
      <c r="K18" s="44">
        <f t="shared" ref="K18:M18" si="10">$J$18</f>
        <v>589</v>
      </c>
      <c r="L18" s="44">
        <f t="shared" si="10"/>
        <v>589</v>
      </c>
      <c r="M18" s="44">
        <f t="shared" si="10"/>
        <v>589</v>
      </c>
      <c r="N18" s="44">
        <f t="shared" si="9"/>
        <v>609.61500000000001</v>
      </c>
      <c r="O18" s="44"/>
      <c r="P18" s="44"/>
      <c r="Q18" s="42"/>
      <c r="R18" s="10" t="s">
        <v>54</v>
      </c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ht="14.5" outlineLevel="1">
      <c r="A19" s="10"/>
      <c r="B19" s="43"/>
      <c r="C19" s="10"/>
      <c r="D19" s="10"/>
      <c r="E19" s="10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10"/>
      <c r="Q19" s="42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ht="14.5" outlineLevel="1">
      <c r="A20" s="10"/>
      <c r="B20" s="43" t="s">
        <v>55</v>
      </c>
      <c r="C20" s="10"/>
      <c r="D20" s="10"/>
      <c r="E20" s="10"/>
      <c r="F20" s="44">
        <f>VLOOKUP($B20,INCOME_STATEMENT!$B$20:$L$39,11,0)</f>
        <v>6680</v>
      </c>
      <c r="G20" s="44">
        <f>VLOOKUP($B20,INCOME_STATEMENT!$B$20:$L$39,9,0)</f>
        <v>7840</v>
      </c>
      <c r="H20" s="44">
        <f>VLOOKUP($B20,INCOME_STATEMENT!$B$20:$L$39,7,0)</f>
        <v>8487</v>
      </c>
      <c r="I20" s="44">
        <f>VLOOKUP($B20,INCOME_STATEMENT!$B$20:$L$39,5,0)</f>
        <v>9740</v>
      </c>
      <c r="J20" s="44">
        <f>VLOOKUP($B20,INCOME_STATEMENT!$B$20:$L$39,3,0)</f>
        <v>10818</v>
      </c>
      <c r="K20" s="44">
        <f t="shared" ref="K20:N20" si="11">K14+SUM(K17:K18)</f>
        <v>10909.801212239532</v>
      </c>
      <c r="L20" s="44">
        <f t="shared" si="11"/>
        <v>11771.084720427929</v>
      </c>
      <c r="M20" s="44">
        <f t="shared" si="11"/>
        <v>12697.186689775086</v>
      </c>
      <c r="N20" s="44">
        <f t="shared" si="11"/>
        <v>13141.588223917213</v>
      </c>
      <c r="O20" s="44"/>
      <c r="P20" s="44"/>
      <c r="Q20" s="42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ht="15.75" customHeight="1" outlineLevel="1">
      <c r="A21" s="10"/>
      <c r="B21" s="43" t="s">
        <v>56</v>
      </c>
      <c r="C21" s="10"/>
      <c r="D21" s="10"/>
      <c r="E21" s="10"/>
      <c r="F21" s="44">
        <f>VLOOKUP($B21,INCOME_STATEMENT!$B$20:$L$39,11,0)</f>
        <v>1601</v>
      </c>
      <c r="G21" s="44">
        <f>VLOOKUP($B21,INCOME_STATEMENT!$B$20:$L$39,9,0)</f>
        <v>1925</v>
      </c>
      <c r="H21" s="44">
        <f>VLOOKUP($B21,INCOME_STATEMENT!$B$20:$L$39,7,0)</f>
        <v>2195</v>
      </c>
      <c r="I21" s="44">
        <f>VLOOKUP($B21,INCOME_STATEMENT!$B$20:$L$39,5,0)</f>
        <v>2373</v>
      </c>
      <c r="J21" s="44">
        <f>VLOOKUP($B21,INCOME_STATEMENT!$B$20:$L$39,3,0)</f>
        <v>2719</v>
      </c>
      <c r="K21" s="44">
        <f t="shared" ref="K21:M21" si="12">K20*$Q$21</f>
        <v>2727.450303059883</v>
      </c>
      <c r="L21" s="44">
        <f t="shared" si="12"/>
        <v>2942.7711801069822</v>
      </c>
      <c r="M21" s="44">
        <f t="shared" si="12"/>
        <v>3174.2966724437715</v>
      </c>
      <c r="N21" s="44">
        <f t="shared" ref="N21" si="13">M21*(1+3.5%)</f>
        <v>3285.3970559793033</v>
      </c>
      <c r="O21" s="44"/>
      <c r="P21" s="44"/>
      <c r="Q21" s="47">
        <f>K98</f>
        <v>0.25</v>
      </c>
      <c r="R21" s="10" t="s">
        <v>57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ht="15.75" customHeight="1" outlineLevel="1">
      <c r="A22" s="12"/>
      <c r="B22" s="48" t="s">
        <v>58</v>
      </c>
      <c r="C22" s="12"/>
      <c r="D22" s="12"/>
      <c r="E22" s="12"/>
      <c r="F22" s="49">
        <f>VLOOKUP($B22,INCOME_STATEMENT!$B$20:$L$39,11,0)</f>
        <v>5079</v>
      </c>
      <c r="G22" s="49">
        <f>VLOOKUP($B22,INCOME_STATEMENT!$B$20:$L$39,9,0)</f>
        <v>5915</v>
      </c>
      <c r="H22" s="49">
        <f>VLOOKUP($B22,INCOME_STATEMENT!$B$20:$L$39,7,0)</f>
        <v>6292</v>
      </c>
      <c r="I22" s="49">
        <f>VLOOKUP($B22,INCOME_STATEMENT!$B$20:$L$39,5,0)</f>
        <v>7367</v>
      </c>
      <c r="J22" s="49">
        <f>VLOOKUP($B22,INCOME_STATEMENT!$B$20:$L$39,3,0)</f>
        <v>8099</v>
      </c>
      <c r="K22" s="49">
        <f t="shared" ref="K22:N22" si="14">K20-K21</f>
        <v>8182.3509091796495</v>
      </c>
      <c r="L22" s="49">
        <f t="shared" si="14"/>
        <v>8828.3135403209471</v>
      </c>
      <c r="M22" s="49">
        <f t="shared" si="14"/>
        <v>9522.8900173313141</v>
      </c>
      <c r="N22" s="49">
        <f t="shared" si="14"/>
        <v>9856.19116793791</v>
      </c>
      <c r="O22" s="49"/>
      <c r="P22" s="49"/>
      <c r="Q22" s="50"/>
      <c r="R22" s="12"/>
      <c r="S22" s="12"/>
      <c r="T22" s="12"/>
      <c r="U22" s="12"/>
      <c r="V22" s="10"/>
      <c r="W22" s="10"/>
      <c r="X22" s="10"/>
      <c r="Y22" s="10"/>
      <c r="Z22" s="10"/>
      <c r="AA22" s="12"/>
      <c r="AB22" s="12"/>
      <c r="AC22" s="12"/>
      <c r="AD22" s="12"/>
      <c r="AE22" s="12"/>
    </row>
    <row r="23" spans="1:31" ht="15.75" customHeight="1" outlineLevel="1">
      <c r="A23" s="10"/>
      <c r="B23" s="36" t="s">
        <v>59</v>
      </c>
      <c r="C23" s="10"/>
      <c r="D23" s="10"/>
      <c r="E23" s="10"/>
      <c r="F23" s="10"/>
      <c r="G23" s="10"/>
      <c r="H23" s="10"/>
      <c r="I23" s="10"/>
      <c r="J23" s="24">
        <f t="shared" ref="J23:M23" si="15">J22/J9</f>
        <v>2.9425763438516175E-2</v>
      </c>
      <c r="K23" s="24">
        <f t="shared" si="15"/>
        <v>2.7545143374511871E-2</v>
      </c>
      <c r="L23" s="24">
        <f t="shared" si="15"/>
        <v>2.7536880908654568E-2</v>
      </c>
      <c r="M23" s="24">
        <f t="shared" si="15"/>
        <v>2.7521701973653175E-2</v>
      </c>
      <c r="N23" s="24"/>
      <c r="O23" s="10"/>
      <c r="P23" s="10"/>
      <c r="Q23" s="36"/>
      <c r="R23" s="36"/>
      <c r="S23" s="36"/>
      <c r="T23" s="10"/>
      <c r="U23" s="53" t="e">
        <f>#REF!-(#REF!-(SUM(#REF!)*Q21))</f>
        <v>#REF!</v>
      </c>
      <c r="V23" s="36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36"/>
      <c r="R24" s="36"/>
      <c r="S24" s="36"/>
      <c r="T24" s="36"/>
      <c r="U24" s="36"/>
      <c r="V24" s="36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ht="15.75" customHeight="1">
      <c r="A25" s="34" t="s">
        <v>33</v>
      </c>
      <c r="B25" s="237" t="s">
        <v>60</v>
      </c>
      <c r="C25" s="238"/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9"/>
      <c r="U25" s="35"/>
      <c r="V25" s="36"/>
      <c r="W25" s="37"/>
      <c r="X25" s="37"/>
      <c r="Y25" s="37"/>
      <c r="Z25" s="37"/>
      <c r="AA25" s="10"/>
      <c r="AB25" s="10"/>
      <c r="AC25" s="10"/>
      <c r="AD25" s="10"/>
      <c r="AE25" s="10"/>
    </row>
    <row r="26" spans="1:31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36"/>
      <c r="R26" s="36"/>
      <c r="S26" s="36"/>
      <c r="T26" s="36"/>
      <c r="U26" s="36"/>
      <c r="V26" s="36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ht="15.75" customHeight="1" outlineLevel="1">
      <c r="A27" s="10"/>
      <c r="B27" s="12" t="s">
        <v>35</v>
      </c>
      <c r="C27" s="10"/>
      <c r="D27" s="10"/>
      <c r="E27" s="10"/>
      <c r="F27" s="38">
        <v>2021</v>
      </c>
      <c r="G27" s="38">
        <v>2022</v>
      </c>
      <c r="H27" s="38">
        <v>2023</v>
      </c>
      <c r="I27" s="38">
        <v>2024</v>
      </c>
      <c r="J27" s="38">
        <v>2025</v>
      </c>
      <c r="K27" s="39">
        <f t="shared" ref="K27:M27" si="16">J27+1</f>
        <v>2026</v>
      </c>
      <c r="L27" s="39">
        <f t="shared" si="16"/>
        <v>2027</v>
      </c>
      <c r="M27" s="39">
        <f t="shared" si="16"/>
        <v>2028</v>
      </c>
      <c r="N27" s="54" t="s">
        <v>61</v>
      </c>
      <c r="O27" s="39"/>
      <c r="P27" s="39"/>
      <c r="Q27" s="40" t="s">
        <v>37</v>
      </c>
      <c r="R27" s="39" t="s">
        <v>38</v>
      </c>
      <c r="S27" s="39"/>
      <c r="T27" s="39"/>
      <c r="U27" s="39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ht="15.75" customHeight="1" outlineLevel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42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ht="15.75" customHeight="1" outlineLevel="1">
      <c r="A29" s="10"/>
      <c r="B29" s="48" t="s">
        <v>62</v>
      </c>
      <c r="C29" s="10"/>
      <c r="D29" s="10"/>
      <c r="E29" s="10"/>
      <c r="F29" s="46"/>
      <c r="G29" s="46"/>
      <c r="H29" s="44"/>
      <c r="I29" s="44"/>
      <c r="J29" s="44"/>
      <c r="K29" s="21"/>
      <c r="L29" s="21"/>
      <c r="M29" s="21"/>
      <c r="N29" s="21"/>
      <c r="O29" s="21"/>
      <c r="P29" s="21"/>
      <c r="Q29" s="42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ht="15.75" customHeight="1" outlineLevel="1">
      <c r="A30" s="10"/>
      <c r="B30" s="48" t="s">
        <v>63</v>
      </c>
      <c r="C30" s="10"/>
      <c r="D30" s="10"/>
      <c r="E30" s="10"/>
      <c r="F30" s="21"/>
      <c r="G30" s="21"/>
      <c r="H30" s="21"/>
      <c r="I30" s="44"/>
      <c r="J30" s="21"/>
      <c r="K30" s="21"/>
      <c r="L30" s="21"/>
      <c r="M30" s="21"/>
      <c r="N30" s="21"/>
      <c r="O30" s="21"/>
      <c r="P30" s="21"/>
      <c r="Q30" s="42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ht="15.75" customHeight="1" outlineLevel="1">
      <c r="A31" s="10"/>
      <c r="B31" s="43" t="s">
        <v>64</v>
      </c>
      <c r="C31" s="10"/>
      <c r="D31" s="10"/>
      <c r="E31" s="10"/>
      <c r="F31" s="44">
        <f>VLOOKUP($B31,BALANCE_SHEET!$B$20:$L$57,11,0)</f>
        <v>11258</v>
      </c>
      <c r="G31" s="44">
        <f>VLOOKUP($B31,BALANCE_SHEET!$B$20:$L$57,9,0)</f>
        <v>10203</v>
      </c>
      <c r="H31" s="44">
        <f>VLOOKUP($B31,BALANCE_SHEET!$B$20:$L$57,7,0)</f>
        <v>13700</v>
      </c>
      <c r="I31" s="44">
        <f>VLOOKUP($B31,BALANCE_SHEET!$B$20:$L$57,5,0)</f>
        <v>9906</v>
      </c>
      <c r="J31" s="44">
        <f>VLOOKUP($B31,BALANCE_SHEET!$B$20:$L$57,3,0)</f>
        <v>14161</v>
      </c>
      <c r="K31" s="44">
        <f t="shared" ref="K31:N31" si="17">K67-SUM(K32:K35)-SUM(K38:K40)</f>
        <v>18233.953984379012</v>
      </c>
      <c r="L31" s="44">
        <f t="shared" si="17"/>
        <v>22680.912269443084</v>
      </c>
      <c r="M31" s="44">
        <f t="shared" si="17"/>
        <v>25407.199294391685</v>
      </c>
      <c r="N31" s="44">
        <f t="shared" si="17"/>
        <v>26068.461269695414</v>
      </c>
      <c r="O31" s="44"/>
      <c r="P31" s="44"/>
      <c r="Q31" s="42"/>
      <c r="R31" s="10" t="s">
        <v>65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ht="15.75" customHeight="1" outlineLevel="1">
      <c r="A32" s="10"/>
      <c r="B32" s="43" t="s">
        <v>66</v>
      </c>
      <c r="C32" s="10"/>
      <c r="D32" s="10"/>
      <c r="E32" s="10"/>
      <c r="F32" s="44">
        <f>VLOOKUP($B32,BALANCE_SHEET!$B$20:$L$57,11,0)</f>
        <v>917</v>
      </c>
      <c r="G32" s="44">
        <f>VLOOKUP($B32,BALANCE_SHEET!$B$20:$L$57,9,0)</f>
        <v>846</v>
      </c>
      <c r="H32" s="44">
        <f>VLOOKUP($B32,BALANCE_SHEET!$B$20:$L$57,7,0)</f>
        <v>1534</v>
      </c>
      <c r="I32" s="44">
        <f>VLOOKUP($B32,BALANCE_SHEET!$B$20:$L$57,5,0)</f>
        <v>1238</v>
      </c>
      <c r="J32" s="44">
        <f>VLOOKUP($B32,BALANCE_SHEET!$B$20:$L$57,3,0)</f>
        <v>1123</v>
      </c>
      <c r="K32" s="44">
        <f t="shared" ref="K32:M32" si="18">J32</f>
        <v>1123</v>
      </c>
      <c r="L32" s="44">
        <f t="shared" si="18"/>
        <v>1123</v>
      </c>
      <c r="M32" s="44">
        <f t="shared" si="18"/>
        <v>1123</v>
      </c>
      <c r="N32" s="44">
        <f t="shared" ref="N32:N35" si="19">M32*(1+3.5%)</f>
        <v>1162.3049999999998</v>
      </c>
      <c r="O32" s="44"/>
      <c r="P32" s="44"/>
      <c r="Q32" s="55"/>
      <c r="R32" s="10" t="s">
        <v>67</v>
      </c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ht="15.75" customHeight="1" outlineLevel="1">
      <c r="A33" s="10"/>
      <c r="B33" s="43" t="s">
        <v>68</v>
      </c>
      <c r="C33" s="10"/>
      <c r="D33" s="10"/>
      <c r="E33" s="10"/>
      <c r="F33" s="44">
        <f>VLOOKUP($B33,BALANCE_SHEET!$B$20:$L$57,11,0)</f>
        <v>1803</v>
      </c>
      <c r="G33" s="44">
        <f>VLOOKUP($B33,BALANCE_SHEET!$B$20:$L$57,9,0)</f>
        <v>2241</v>
      </c>
      <c r="H33" s="44">
        <f>VLOOKUP($B33,BALANCE_SHEET!$B$20:$L$57,7,0)</f>
        <v>2285</v>
      </c>
      <c r="I33" s="44">
        <f>VLOOKUP($B33,BALANCE_SHEET!$B$20:$L$57,5,0)</f>
        <v>2721</v>
      </c>
      <c r="J33" s="44">
        <f>VLOOKUP($B33,BALANCE_SHEET!$B$20:$L$57,3,0)</f>
        <v>3203</v>
      </c>
      <c r="K33" s="44">
        <f t="shared" ref="K33:M33" si="20">K$9*$Q33</f>
        <v>3456.8962258281108</v>
      </c>
      <c r="L33" s="44">
        <f t="shared" si="20"/>
        <v>3730.9229608069327</v>
      </c>
      <c r="M33" s="44">
        <f t="shared" si="20"/>
        <v>4026.6766827032679</v>
      </c>
      <c r="N33" s="44">
        <f t="shared" si="19"/>
        <v>4167.6103665978817</v>
      </c>
      <c r="O33" s="44"/>
      <c r="P33" s="44"/>
      <c r="Q33" s="47">
        <f t="shared" ref="Q33:Q35" si="21">J33/$J$9</f>
        <v>1.1637328101440587E-2</v>
      </c>
      <c r="R33" s="10" t="s">
        <v>69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ht="15.75" customHeight="1" outlineLevel="1">
      <c r="A34" s="10"/>
      <c r="B34" s="43" t="s">
        <v>70</v>
      </c>
      <c r="C34" s="10"/>
      <c r="D34" s="10"/>
      <c r="E34" s="10"/>
      <c r="F34" s="44">
        <f>VLOOKUP($B34,BALANCE_SHEET!$B$20:$L$57,11,0)</f>
        <v>14215</v>
      </c>
      <c r="G34" s="44">
        <f>VLOOKUP($B34,BALANCE_SHEET!$B$20:$L$57,9,0)</f>
        <v>17907</v>
      </c>
      <c r="H34" s="44">
        <f>VLOOKUP($B34,BALANCE_SHEET!$B$20:$L$57,7,0)</f>
        <v>16651</v>
      </c>
      <c r="I34" s="44">
        <f>VLOOKUP($B34,BALANCE_SHEET!$B$20:$L$57,5,0)</f>
        <v>18647</v>
      </c>
      <c r="J34" s="44">
        <f>VLOOKUP($B34,BALANCE_SHEET!$B$20:$L$57,3,0)</f>
        <v>18116</v>
      </c>
      <c r="K34" s="44">
        <f t="shared" ref="K34:M34" si="22">K$9*$Q34</f>
        <v>19552.023736216692</v>
      </c>
      <c r="L34" s="44">
        <f t="shared" si="22"/>
        <v>21101.904576327939</v>
      </c>
      <c r="M34" s="44">
        <f t="shared" si="22"/>
        <v>22774.672114846209</v>
      </c>
      <c r="N34" s="44">
        <f t="shared" si="19"/>
        <v>23571.785638865826</v>
      </c>
      <c r="O34" s="44"/>
      <c r="P34" s="44"/>
      <c r="Q34" s="47">
        <f t="shared" si="21"/>
        <v>6.582011735426091E-2</v>
      </c>
      <c r="R34" s="10" t="s">
        <v>69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ht="15.75" customHeight="1" outlineLevel="1">
      <c r="A35" s="10"/>
      <c r="B35" s="43" t="s">
        <v>71</v>
      </c>
      <c r="C35" s="10"/>
      <c r="D35" s="10"/>
      <c r="E35" s="10"/>
      <c r="F35" s="44">
        <f>VLOOKUP($B35,BALANCE_SHEET!$B$20:$L$57,11,0)</f>
        <v>1312</v>
      </c>
      <c r="G35" s="44">
        <f>VLOOKUP($B35,BALANCE_SHEET!$B$20:$L$57,9,0)</f>
        <v>1499</v>
      </c>
      <c r="H35" s="44">
        <f>VLOOKUP($B35,BALANCE_SHEET!$B$20:$L$57,7,0)</f>
        <v>1709</v>
      </c>
      <c r="I35" s="44">
        <f>VLOOKUP($B35,BALANCE_SHEET!$B$20:$L$57,5,0)</f>
        <v>1734</v>
      </c>
      <c r="J35" s="44">
        <f>VLOOKUP($B35,BALANCE_SHEET!$B$20:$L$57,3,0)</f>
        <v>1777</v>
      </c>
      <c r="K35" s="44">
        <f t="shared" ref="K35:M35" si="23">K$9*$Q35</f>
        <v>1917.8596919439753</v>
      </c>
      <c r="L35" s="44">
        <f t="shared" si="23"/>
        <v>2069.8876370133999</v>
      </c>
      <c r="M35" s="44">
        <f t="shared" si="23"/>
        <v>2233.9695489115538</v>
      </c>
      <c r="N35" s="44">
        <f t="shared" si="19"/>
        <v>2312.1584831234582</v>
      </c>
      <c r="O35" s="44"/>
      <c r="P35" s="44"/>
      <c r="Q35" s="47">
        <f t="shared" si="21"/>
        <v>6.4563009791632608E-3</v>
      </c>
      <c r="R35" s="10" t="s">
        <v>69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ht="15.75" customHeight="1" outlineLevel="1">
      <c r="A36" s="10"/>
      <c r="B36" s="43" t="s">
        <v>72</v>
      </c>
      <c r="C36" s="10"/>
      <c r="D36" s="10"/>
      <c r="E36" s="10"/>
      <c r="F36" s="44">
        <f>VLOOKUP($B36,BALANCE_SHEET!$B$20:$L$57,11,0)</f>
        <v>29505</v>
      </c>
      <c r="G36" s="44">
        <f>VLOOKUP($B36,BALANCE_SHEET!$B$20:$L$57,9,0)</f>
        <v>32696</v>
      </c>
      <c r="H36" s="44">
        <f>VLOOKUP($B36,BALANCE_SHEET!$B$20:$L$57,7,0)</f>
        <v>35879</v>
      </c>
      <c r="I36" s="44">
        <f>VLOOKUP($B36,BALANCE_SHEET!$B$20:$L$57,5,0)</f>
        <v>34246</v>
      </c>
      <c r="J36" s="44">
        <f>VLOOKUP($B36,BALANCE_SHEET!$B$20:$L$57,3,0)</f>
        <v>38380</v>
      </c>
      <c r="K36" s="44">
        <f t="shared" ref="K36:N36" si="24">SUM(K31:K35)</f>
        <v>44283.73363836779</v>
      </c>
      <c r="L36" s="44">
        <f t="shared" si="24"/>
        <v>50706.627443591358</v>
      </c>
      <c r="M36" s="44">
        <f t="shared" si="24"/>
        <v>55565.517640852719</v>
      </c>
      <c r="N36" s="44">
        <f t="shared" si="24"/>
        <v>57282.320758282578</v>
      </c>
      <c r="O36" s="44"/>
      <c r="P36" s="44"/>
      <c r="Q36" s="42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ht="15.75" customHeight="1" outlineLevel="1">
      <c r="A37" s="10"/>
      <c r="B37" s="43" t="s">
        <v>73</v>
      </c>
      <c r="C37" s="10"/>
      <c r="D37" s="10"/>
      <c r="E37" s="10"/>
      <c r="F37" s="44"/>
      <c r="G37" s="44"/>
      <c r="H37" s="44"/>
      <c r="I37" s="44"/>
      <c r="J37" s="44"/>
      <c r="K37" s="10"/>
      <c r="L37" s="10"/>
      <c r="M37" s="10"/>
      <c r="N37" s="10"/>
      <c r="O37" s="10"/>
      <c r="P37" s="10"/>
      <c r="Q37" s="42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ht="15.75" customHeight="1" outlineLevel="1">
      <c r="A38" s="10"/>
      <c r="B38" s="43" t="s">
        <v>74</v>
      </c>
      <c r="C38" s="10"/>
      <c r="D38" s="10"/>
      <c r="E38" s="10"/>
      <c r="F38" s="44">
        <f>VLOOKUP($B38,BALANCE_SHEET!$B$20:$L$57,11,0)</f>
        <v>23492</v>
      </c>
      <c r="G38" s="44">
        <f>VLOOKUP($B38,BALANCE_SHEET!$B$20:$L$57,9,0)</f>
        <v>24646</v>
      </c>
      <c r="H38" s="44">
        <f>VLOOKUP($B38,BALANCE_SHEET!$B$20:$L$57,7,0)</f>
        <v>26684</v>
      </c>
      <c r="I38" s="44">
        <f>VLOOKUP($B38,BALANCE_SHEET!$B$20:$L$57,5,0)</f>
        <v>29032</v>
      </c>
      <c r="J38" s="44">
        <f>VLOOKUP($B38,BALANCE_SHEET!$B$20:$L$57,3,0)</f>
        <v>31909</v>
      </c>
      <c r="K38" s="44">
        <f t="shared" ref="K38:M38" si="25">K139</f>
        <v>35152.471452813887</v>
      </c>
      <c r="L38" s="44">
        <f t="shared" si="25"/>
        <v>38557.863992643252</v>
      </c>
      <c r="M38" s="44">
        <f t="shared" si="25"/>
        <v>42138.021406648564</v>
      </c>
      <c r="N38" s="44">
        <f t="shared" ref="N38:N40" si="26">M38*(1+3.5%)</f>
        <v>43612.852155881257</v>
      </c>
      <c r="O38" s="44"/>
      <c r="P38" s="44"/>
      <c r="Q38" s="42"/>
      <c r="R38" s="10" t="s">
        <v>75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ht="15.75" customHeight="1" outlineLevel="1">
      <c r="A39" s="10"/>
      <c r="B39" s="43" t="s">
        <v>76</v>
      </c>
      <c r="C39" s="10"/>
      <c r="D39" s="10"/>
      <c r="E39" s="10"/>
      <c r="F39" s="44">
        <f>VLOOKUP($B39,BALANCE_SHEET!$B$20:$L$57,11,0)</f>
        <v>2890</v>
      </c>
      <c r="G39" s="44">
        <f>VLOOKUP($B39,BALANCE_SHEET!$B$20:$L$57,9,0)</f>
        <v>2774</v>
      </c>
      <c r="H39" s="44">
        <f>VLOOKUP($B39,BALANCE_SHEET!$B$20:$L$57,7,0)</f>
        <v>2713</v>
      </c>
      <c r="I39" s="44">
        <f>VLOOKUP($B39,BALANCE_SHEET!$B$20:$L$57,5,0)</f>
        <v>2617</v>
      </c>
      <c r="J39" s="44">
        <f>VLOOKUP($B39,BALANCE_SHEET!$B$20:$L$57,3,0)</f>
        <v>2725</v>
      </c>
      <c r="K39" s="44">
        <f t="shared" ref="K39:M39" si="27">$J$39</f>
        <v>2725</v>
      </c>
      <c r="L39" s="44">
        <f t="shared" si="27"/>
        <v>2725</v>
      </c>
      <c r="M39" s="44">
        <f t="shared" si="27"/>
        <v>2725</v>
      </c>
      <c r="N39" s="44">
        <f t="shared" si="26"/>
        <v>2820.375</v>
      </c>
      <c r="O39" s="44"/>
      <c r="P39" s="44"/>
      <c r="Q39" s="42"/>
      <c r="R39" s="10" t="s">
        <v>77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ht="15.75" customHeight="1" outlineLevel="1">
      <c r="A40" s="10"/>
      <c r="B40" s="43" t="s">
        <v>78</v>
      </c>
      <c r="C40" s="10"/>
      <c r="D40" s="10"/>
      <c r="E40" s="10"/>
      <c r="F40" s="44">
        <f>VLOOKUP($B40,BALANCE_SHEET!$B$20:$L$57,11,0)</f>
        <v>3381</v>
      </c>
      <c r="G40" s="44">
        <f>VLOOKUP($B40,BALANCE_SHEET!$B$20:$L$57,9,0)</f>
        <v>4050</v>
      </c>
      <c r="H40" s="44">
        <f>VLOOKUP($B40,BALANCE_SHEET!$B$20:$L$57,7,0)</f>
        <v>3718</v>
      </c>
      <c r="I40" s="44">
        <f>VLOOKUP($B40,BALANCE_SHEET!$B$20:$L$57,5,0)</f>
        <v>3936</v>
      </c>
      <c r="J40" s="44">
        <f>VLOOKUP($B40,BALANCE_SHEET!$B$20:$L$57,3,0)</f>
        <v>4085</v>
      </c>
      <c r="K40" s="44">
        <f t="shared" ref="K40:M40" si="28">$J$40</f>
        <v>4085</v>
      </c>
      <c r="L40" s="44">
        <f t="shared" si="28"/>
        <v>4085</v>
      </c>
      <c r="M40" s="44">
        <f t="shared" si="28"/>
        <v>4085</v>
      </c>
      <c r="N40" s="44">
        <f t="shared" si="26"/>
        <v>4227.9749999999995</v>
      </c>
      <c r="O40" s="44"/>
      <c r="P40" s="44"/>
      <c r="Q40" s="42"/>
      <c r="R40" s="10" t="s">
        <v>77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ht="15.75" customHeight="1" outlineLevel="1">
      <c r="A41" s="12"/>
      <c r="B41" s="48" t="s">
        <v>79</v>
      </c>
      <c r="C41" s="12"/>
      <c r="D41" s="12"/>
      <c r="E41" s="12"/>
      <c r="F41" s="49">
        <f>VLOOKUP($B41,BALANCE_SHEET!$B$20:$L$57,11,0)</f>
        <v>59268</v>
      </c>
      <c r="G41" s="49">
        <f>VLOOKUP($B41,BALANCE_SHEET!$B$20:$L$57,9,0)</f>
        <v>64166</v>
      </c>
      <c r="H41" s="49">
        <f>VLOOKUP($B41,BALANCE_SHEET!$B$20:$L$57,7,0)</f>
        <v>68994</v>
      </c>
      <c r="I41" s="49">
        <f>VLOOKUP($B41,BALANCE_SHEET!$B$20:$L$57,5,0)</f>
        <v>69831</v>
      </c>
      <c r="J41" s="49">
        <f>VLOOKUP($B41,BALANCE_SHEET!$B$20:$L$57,3,0)</f>
        <v>77099</v>
      </c>
      <c r="K41" s="49">
        <f t="shared" ref="K41:N41" si="29">K36+SUM(K38:K40)</f>
        <v>86246.205091181677</v>
      </c>
      <c r="L41" s="49">
        <f t="shared" si="29"/>
        <v>96074.491436234617</v>
      </c>
      <c r="M41" s="49">
        <f t="shared" si="29"/>
        <v>104513.53904750128</v>
      </c>
      <c r="N41" s="49">
        <f t="shared" si="29"/>
        <v>107943.52291416383</v>
      </c>
      <c r="O41" s="49"/>
      <c r="P41" s="49"/>
      <c r="Q41" s="50"/>
      <c r="R41" s="12"/>
      <c r="S41" s="12"/>
      <c r="T41" s="12"/>
      <c r="U41" s="12"/>
      <c r="V41" s="10"/>
      <c r="W41" s="10"/>
      <c r="X41" s="10"/>
      <c r="Y41" s="10"/>
      <c r="Z41" s="10"/>
      <c r="AA41" s="12"/>
      <c r="AB41" s="12"/>
      <c r="AC41" s="12"/>
      <c r="AD41" s="12"/>
      <c r="AE41" s="12"/>
    </row>
    <row r="42" spans="1:31" ht="15.75" customHeight="1" outlineLevel="1">
      <c r="A42" s="10"/>
      <c r="B42" s="48" t="s">
        <v>80</v>
      </c>
      <c r="C42" s="10"/>
      <c r="D42" s="10"/>
      <c r="E42" s="10"/>
      <c r="F42" s="44"/>
      <c r="G42" s="44"/>
      <c r="H42" s="44"/>
      <c r="I42" s="44"/>
      <c r="J42" s="44"/>
      <c r="K42" s="10"/>
      <c r="L42" s="10"/>
      <c r="M42" s="10"/>
      <c r="N42" s="10"/>
      <c r="O42" s="10"/>
      <c r="P42" s="10"/>
      <c r="Q42" s="42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ht="15.75" customHeight="1" outlineLevel="1">
      <c r="A43" s="10"/>
      <c r="B43" s="48" t="s">
        <v>81</v>
      </c>
      <c r="C43" s="10"/>
      <c r="D43" s="10"/>
      <c r="E43" s="10"/>
      <c r="F43" s="44"/>
      <c r="G43" s="44"/>
      <c r="H43" s="44"/>
      <c r="I43" s="44"/>
      <c r="J43" s="44"/>
      <c r="K43" s="10"/>
      <c r="L43" s="10"/>
      <c r="M43" s="10"/>
      <c r="N43" s="10"/>
      <c r="O43" s="10"/>
      <c r="P43" s="10"/>
      <c r="Q43" s="42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ht="15.75" customHeight="1" outlineLevel="1">
      <c r="A44" s="10"/>
      <c r="B44" s="43" t="s">
        <v>82</v>
      </c>
      <c r="C44" s="10"/>
      <c r="D44" s="10"/>
      <c r="E44" s="10"/>
      <c r="F44" s="44">
        <f>VLOOKUP($B44,BALANCE_SHEET!$B$20:$L$57,11,0)</f>
        <v>16278</v>
      </c>
      <c r="G44" s="44">
        <f>VLOOKUP($B44,BALANCE_SHEET!$B$20:$L$57,9,0)</f>
        <v>17848</v>
      </c>
      <c r="H44" s="44">
        <f>VLOOKUP($B44,BALANCE_SHEET!$B$20:$L$57,7,0)</f>
        <v>17483</v>
      </c>
      <c r="I44" s="44">
        <f>VLOOKUP($B44,BALANCE_SHEET!$B$20:$L$57,5,0)</f>
        <v>19421</v>
      </c>
      <c r="J44" s="44">
        <f>VLOOKUP($B44,BALANCE_SHEET!$B$20:$L$57,3,0)</f>
        <v>19783</v>
      </c>
      <c r="K44" s="44">
        <f t="shared" ref="K44:M44" si="30">K$9*$Q44</f>
        <v>21351.163919936782</v>
      </c>
      <c r="L44" s="44">
        <f t="shared" si="30"/>
        <v>23043.661858771011</v>
      </c>
      <c r="M44" s="44">
        <f t="shared" si="30"/>
        <v>24870.354297195987</v>
      </c>
      <c r="N44" s="44">
        <f t="shared" ref="N44:N48" si="31">M44*(1+3.5%)</f>
        <v>25740.816697597846</v>
      </c>
      <c r="O44" s="44"/>
      <c r="P44" s="44"/>
      <c r="Q44" s="47">
        <f>J44/$J$9</f>
        <v>7.1876759859756209E-2</v>
      </c>
      <c r="R44" s="10" t="s">
        <v>69</v>
      </c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ht="15.75" customHeight="1" outlineLevel="1">
      <c r="A45" s="10"/>
      <c r="B45" s="43" t="s">
        <v>83</v>
      </c>
      <c r="C45" s="10"/>
      <c r="D45" s="10"/>
      <c r="E45" s="10"/>
      <c r="F45" s="44">
        <f>VLOOKUP($B45,BALANCE_SHEET!$B$20:$L$57,11,0)</f>
        <v>4090</v>
      </c>
      <c r="G45" s="44">
        <f>VLOOKUP($B45,BALANCE_SHEET!$B$20:$L$57,9,0)</f>
        <v>4381</v>
      </c>
      <c r="H45" s="44">
        <f>VLOOKUP($B45,BALANCE_SHEET!$B$20:$L$57,7,0)</f>
        <v>4278</v>
      </c>
      <c r="I45" s="44">
        <f>VLOOKUP($B45,BALANCE_SHEET!$B$20:$L$57,5,0)</f>
        <v>4794</v>
      </c>
      <c r="J45" s="44">
        <f>VLOOKUP($B45,BALANCE_SHEET!$B$20:$L$57,3,0)</f>
        <v>5205</v>
      </c>
      <c r="K45" s="44">
        <f t="shared" ref="K45:M45" si="32">K13*$Q45</f>
        <v>5588.85832464963</v>
      </c>
      <c r="L45" s="44">
        <f t="shared" si="32"/>
        <v>6031.8848139958845</v>
      </c>
      <c r="M45" s="44">
        <f t="shared" si="32"/>
        <v>6510.0379151265042</v>
      </c>
      <c r="N45" s="44">
        <f t="shared" si="31"/>
        <v>6737.8892421559312</v>
      </c>
      <c r="O45" s="44"/>
      <c r="P45" s="44"/>
      <c r="Q45" s="47">
        <f>J45/$J$13</f>
        <v>0.20848353761115115</v>
      </c>
      <c r="R45" s="10" t="s">
        <v>84</v>
      </c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ht="15.75" customHeight="1" outlineLevel="1">
      <c r="A46" s="10"/>
      <c r="B46" s="43" t="s">
        <v>85</v>
      </c>
      <c r="C46" s="10"/>
      <c r="D46" s="10"/>
      <c r="E46" s="10"/>
      <c r="F46" s="44">
        <f>VLOOKUP($B46,BALANCE_SHEET!$B$20:$L$57,11,0)</f>
        <v>1671</v>
      </c>
      <c r="G46" s="44">
        <f>VLOOKUP($B46,BALANCE_SHEET!$B$20:$L$57,9,0)</f>
        <v>1911</v>
      </c>
      <c r="H46" s="44">
        <f>VLOOKUP($B46,BALANCE_SHEET!$B$20:$L$57,7,0)</f>
        <v>2150</v>
      </c>
      <c r="I46" s="44">
        <f>VLOOKUP($B46,BALANCE_SHEET!$B$20:$L$57,5,0)</f>
        <v>2435</v>
      </c>
      <c r="J46" s="44">
        <f>VLOOKUP($B46,BALANCE_SHEET!$B$20:$L$57,3,0)</f>
        <v>2677</v>
      </c>
      <c r="K46" s="44">
        <f t="shared" ref="K46:M46" si="33">K$8*$Q46</f>
        <v>2912.0406000000003</v>
      </c>
      <c r="L46" s="44">
        <f t="shared" si="33"/>
        <v>3167.7177646800005</v>
      </c>
      <c r="M46" s="44">
        <f t="shared" si="33"/>
        <v>3445.8433844189049</v>
      </c>
      <c r="N46" s="44">
        <f t="shared" si="31"/>
        <v>3566.4479028735664</v>
      </c>
      <c r="O46" s="44"/>
      <c r="P46" s="44"/>
      <c r="Q46" s="47">
        <f t="shared" ref="Q46:Q47" si="34">J46/$J$8</f>
        <v>0.50291189179034379</v>
      </c>
      <c r="R46" s="10" t="s">
        <v>86</v>
      </c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ht="15.75" customHeight="1" outlineLevel="1">
      <c r="A47" s="10"/>
      <c r="B47" s="43" t="s">
        <v>87</v>
      </c>
      <c r="C47" s="10"/>
      <c r="D47" s="10"/>
      <c r="E47" s="10"/>
      <c r="F47" s="44">
        <f>VLOOKUP($B47,BALANCE_SHEET!$B$20:$L$57,11,0)</f>
        <v>2042</v>
      </c>
      <c r="G47" s="44">
        <f>VLOOKUP($B47,BALANCE_SHEET!$B$20:$L$57,9,0)</f>
        <v>2174</v>
      </c>
      <c r="H47" s="44">
        <f>VLOOKUP($B47,BALANCE_SHEET!$B$20:$L$57,7,0)</f>
        <v>2337</v>
      </c>
      <c r="I47" s="44">
        <f>VLOOKUP($B47,BALANCE_SHEET!$B$20:$L$57,5,0)</f>
        <v>2501</v>
      </c>
      <c r="J47" s="44">
        <f>VLOOKUP($B47,BALANCE_SHEET!$B$20:$L$57,3,0)</f>
        <v>2854</v>
      </c>
      <c r="K47" s="44">
        <f t="shared" ref="K47:M47" si="35">K$8*$Q47</f>
        <v>3104.5812000000001</v>
      </c>
      <c r="L47" s="44">
        <f t="shared" si="35"/>
        <v>3377.1634293600005</v>
      </c>
      <c r="M47" s="44">
        <f t="shared" si="35"/>
        <v>3673.6783784578088</v>
      </c>
      <c r="N47" s="44">
        <f t="shared" si="31"/>
        <v>3802.2571217038317</v>
      </c>
      <c r="O47" s="44"/>
      <c r="P47" s="44"/>
      <c r="Q47" s="47">
        <f t="shared" si="34"/>
        <v>0.53616381739620511</v>
      </c>
      <c r="R47" s="10" t="s">
        <v>86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ht="15.75" customHeight="1" outlineLevel="1">
      <c r="A48" s="10"/>
      <c r="B48" s="43" t="s">
        <v>88</v>
      </c>
      <c r="C48" s="10"/>
      <c r="D48" s="10"/>
      <c r="E48" s="10"/>
      <c r="F48" s="44">
        <f>VLOOKUP($B48,BALANCE_SHEET!$B$20:$L$57,11,0)</f>
        <v>4561</v>
      </c>
      <c r="G48" s="44">
        <f>VLOOKUP($B48,BALANCE_SHEET!$B$20:$L$57,9,0)</f>
        <v>5611</v>
      </c>
      <c r="H48" s="44">
        <f>VLOOKUP($B48,BALANCE_SHEET!$B$20:$L$57,7,0)</f>
        <v>6254</v>
      </c>
      <c r="I48" s="44">
        <f>VLOOKUP($B48,BALANCE_SHEET!$B$20:$L$57,5,0)</f>
        <v>6313</v>
      </c>
      <c r="J48" s="44">
        <f>VLOOKUP($B48,BALANCE_SHEET!$B$20:$L$57,3,0)</f>
        <v>6589</v>
      </c>
      <c r="K48" s="44">
        <f t="shared" ref="K48:M48" si="36">K$9*$Q48</f>
        <v>7111.298542610497</v>
      </c>
      <c r="L48" s="44">
        <f t="shared" si="36"/>
        <v>7675.0082387626835</v>
      </c>
      <c r="M48" s="44">
        <f t="shared" si="36"/>
        <v>8283.4132570502134</v>
      </c>
      <c r="N48" s="44">
        <f t="shared" si="31"/>
        <v>8573.3327210469706</v>
      </c>
      <c r="O48" s="44"/>
      <c r="P48" s="44"/>
      <c r="Q48" s="47">
        <f>J48/$J$9</f>
        <v>2.3939542572710592E-2</v>
      </c>
      <c r="R48" s="10" t="s">
        <v>69</v>
      </c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ht="15.75" customHeight="1" outlineLevel="1">
      <c r="A49" s="10"/>
      <c r="B49" s="43" t="s">
        <v>89</v>
      </c>
      <c r="C49" s="10"/>
      <c r="D49" s="10"/>
      <c r="E49" s="10"/>
      <c r="F49" s="44">
        <f>VLOOKUP($B49,BALANCE_SHEET!$B$20:$L$57,11,0)</f>
        <v>29441</v>
      </c>
      <c r="G49" s="44">
        <f>VLOOKUP($B49,BALANCE_SHEET!$B$20:$L$57,9,0)</f>
        <v>31998</v>
      </c>
      <c r="H49" s="44">
        <f>VLOOKUP($B49,BALANCE_SHEET!$B$20:$L$57,7,0)</f>
        <v>33583</v>
      </c>
      <c r="I49" s="44">
        <f>VLOOKUP($B49,BALANCE_SHEET!$B$20:$L$57,5,0)</f>
        <v>35464</v>
      </c>
      <c r="J49" s="44">
        <f>VLOOKUP($B49,BALANCE_SHEET!$B$20:$L$57,3,0)</f>
        <v>37108</v>
      </c>
      <c r="K49" s="44">
        <f t="shared" ref="K49:N49" si="37">SUM(K44:K48)</f>
        <v>40067.942587196914</v>
      </c>
      <c r="L49" s="44">
        <f t="shared" si="37"/>
        <v>43295.436105569584</v>
      </c>
      <c r="M49" s="44">
        <f t="shared" si="37"/>
        <v>46783.327232249416</v>
      </c>
      <c r="N49" s="44">
        <f t="shared" si="37"/>
        <v>48420.743685378155</v>
      </c>
      <c r="O49" s="44"/>
      <c r="P49" s="44"/>
      <c r="Q49" s="42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ht="15.75" customHeight="1" outlineLevel="1">
      <c r="A50" s="10"/>
      <c r="B50" s="48" t="s">
        <v>90</v>
      </c>
      <c r="C50" s="10"/>
      <c r="D50" s="10"/>
      <c r="E50" s="10"/>
      <c r="F50" s="44"/>
      <c r="G50" s="44"/>
      <c r="H50" s="44"/>
      <c r="I50" s="44"/>
      <c r="J50" s="44"/>
      <c r="K50" s="10"/>
      <c r="L50" s="10"/>
      <c r="M50" s="10"/>
      <c r="N50" s="10"/>
      <c r="O50" s="10"/>
      <c r="P50" s="10"/>
      <c r="Q50" s="42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 ht="15.75" customHeight="1" outlineLevel="1">
      <c r="A51" s="10"/>
      <c r="B51" s="43" t="s">
        <v>91</v>
      </c>
      <c r="C51" s="10"/>
      <c r="D51" s="10"/>
      <c r="E51" s="10"/>
      <c r="F51" s="44">
        <f>VLOOKUP($B51,BALANCE_SHEET!$B$20:$L$57,11,0)</f>
        <v>6692</v>
      </c>
      <c r="G51" s="44">
        <f>VLOOKUP($B51,BALANCE_SHEET!$B$20:$L$57,9,0)</f>
        <v>6484</v>
      </c>
      <c r="H51" s="44">
        <f>VLOOKUP($B51,BALANCE_SHEET!$B$20:$L$57,7,0)</f>
        <v>5377</v>
      </c>
      <c r="I51" s="44">
        <f>VLOOKUP($B51,BALANCE_SHEET!$B$20:$L$57,5,0)</f>
        <v>5794</v>
      </c>
      <c r="J51" s="44">
        <f>VLOOKUP($B51,BALANCE_SHEET!$B$20:$L$57,3,0)</f>
        <v>5713</v>
      </c>
      <c r="K51" s="44">
        <f t="shared" ref="K51:M51" si="38">K112</f>
        <v>5713</v>
      </c>
      <c r="L51" s="44">
        <f t="shared" si="38"/>
        <v>5638</v>
      </c>
      <c r="M51" s="44">
        <f t="shared" si="38"/>
        <v>3388</v>
      </c>
      <c r="N51" s="44">
        <f t="shared" ref="N51:N53" si="39">M51*(1+3.5%)</f>
        <v>3506.58</v>
      </c>
      <c r="O51" s="44"/>
      <c r="P51" s="44"/>
      <c r="Q51" s="42"/>
      <c r="R51" s="10" t="s">
        <v>92</v>
      </c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1:31" ht="15.75" customHeight="1" outlineLevel="1">
      <c r="A52" s="10"/>
      <c r="B52" s="43" t="s">
        <v>93</v>
      </c>
      <c r="C52" s="10"/>
      <c r="D52" s="10"/>
      <c r="E52" s="10"/>
      <c r="F52" s="44">
        <f>VLOOKUP($B52,BALANCE_SHEET!$B$20:$L$57,11,0)</f>
        <v>2642</v>
      </c>
      <c r="G52" s="44">
        <f>VLOOKUP($B52,BALANCE_SHEET!$B$20:$L$57,9,0)</f>
        <v>2482</v>
      </c>
      <c r="H52" s="44">
        <f>VLOOKUP($B52,BALANCE_SHEET!$B$20:$L$57,7,0)</f>
        <v>2426</v>
      </c>
      <c r="I52" s="44">
        <f>VLOOKUP($B52,BALANCE_SHEET!$B$20:$L$57,5,0)</f>
        <v>2375</v>
      </c>
      <c r="J52" s="44">
        <f>VLOOKUP($B52,BALANCE_SHEET!$B$20:$L$57,3,0)</f>
        <v>2460</v>
      </c>
      <c r="K52" s="44">
        <f t="shared" ref="K52:M52" si="40">$J$52</f>
        <v>2460</v>
      </c>
      <c r="L52" s="44">
        <f t="shared" si="40"/>
        <v>2460</v>
      </c>
      <c r="M52" s="44">
        <f t="shared" si="40"/>
        <v>2460</v>
      </c>
      <c r="N52" s="44">
        <f t="shared" si="39"/>
        <v>2546.1</v>
      </c>
      <c r="O52" s="44"/>
      <c r="P52" s="44"/>
      <c r="Q52" s="42"/>
      <c r="R52" s="10" t="s">
        <v>77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 ht="15.75" customHeight="1" outlineLevel="1">
      <c r="A53" s="10"/>
      <c r="B53" s="43" t="s">
        <v>94</v>
      </c>
      <c r="C53" s="10"/>
      <c r="D53" s="10"/>
      <c r="E53" s="10"/>
      <c r="F53" s="44">
        <f>VLOOKUP($B53,BALANCE_SHEET!$B$20:$L$57,11,0)</f>
        <v>2415</v>
      </c>
      <c r="G53" s="44">
        <f>VLOOKUP($B53,BALANCE_SHEET!$B$20:$L$57,9,0)</f>
        <v>2555</v>
      </c>
      <c r="H53" s="44">
        <f>VLOOKUP($B53,BALANCE_SHEET!$B$20:$L$57,7,0)</f>
        <v>2550</v>
      </c>
      <c r="I53" s="44">
        <f>VLOOKUP($B53,BALANCE_SHEET!$B$20:$L$57,5,0)</f>
        <v>2576</v>
      </c>
      <c r="J53" s="44">
        <f>VLOOKUP($B53,BALANCE_SHEET!$B$20:$L$57,3,0)</f>
        <v>2654</v>
      </c>
      <c r="K53" s="44">
        <f t="shared" ref="K53:M53" si="41">K$9*$Q53</f>
        <v>2864.3779529652843</v>
      </c>
      <c r="L53" s="44">
        <f t="shared" si="41"/>
        <v>3091.4360093604741</v>
      </c>
      <c r="M53" s="44">
        <f t="shared" si="41"/>
        <v>3336.497007772236</v>
      </c>
      <c r="N53" s="44">
        <f t="shared" si="39"/>
        <v>3453.2744030442641</v>
      </c>
      <c r="O53" s="44"/>
      <c r="P53" s="44"/>
      <c r="Q53" s="45">
        <f>J53/J9</f>
        <v>9.6426689919523311E-3</v>
      </c>
      <c r="R53" s="10" t="s">
        <v>69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spans="1:31" ht="15.75" customHeight="1" outlineLevel="1">
      <c r="A54" s="12"/>
      <c r="B54" s="48" t="s">
        <v>95</v>
      </c>
      <c r="C54" s="12"/>
      <c r="D54" s="12"/>
      <c r="E54" s="12"/>
      <c r="F54" s="49">
        <f>VLOOKUP($B54,BALANCE_SHEET!$B$20:$L$57,11,0)</f>
        <v>41190</v>
      </c>
      <c r="G54" s="49">
        <f>VLOOKUP($B54,BALANCE_SHEET!$B$20:$L$57,9,0)</f>
        <v>43519</v>
      </c>
      <c r="H54" s="49">
        <f>VLOOKUP($B54,BALANCE_SHEET!$B$20:$L$57,7,0)</f>
        <v>43936</v>
      </c>
      <c r="I54" s="49">
        <f>VLOOKUP($B54,BALANCE_SHEET!$B$20:$L$57,5,0)</f>
        <v>46209</v>
      </c>
      <c r="J54" s="49">
        <f>VLOOKUP($B54,BALANCE_SHEET!$B$20:$L$57,3,0)</f>
        <v>47935</v>
      </c>
      <c r="K54" s="49">
        <f t="shared" ref="K54:N54" si="42">K49+SUM(K51:K53)</f>
        <v>51105.320540162196</v>
      </c>
      <c r="L54" s="49">
        <f t="shared" si="42"/>
        <v>54484.872114930055</v>
      </c>
      <c r="M54" s="49">
        <f t="shared" si="42"/>
        <v>55967.824240021655</v>
      </c>
      <c r="N54" s="49">
        <f t="shared" si="42"/>
        <v>57926.698088422418</v>
      </c>
      <c r="O54" s="49"/>
      <c r="P54" s="49"/>
      <c r="Q54" s="50"/>
      <c r="R54" s="12"/>
      <c r="S54" s="12"/>
      <c r="T54" s="12"/>
      <c r="U54" s="12"/>
      <c r="V54" s="10"/>
      <c r="W54" s="10"/>
      <c r="X54" s="10"/>
      <c r="Y54" s="10"/>
      <c r="Z54" s="10"/>
      <c r="AA54" s="12"/>
      <c r="AB54" s="12"/>
      <c r="AC54" s="12"/>
      <c r="AD54" s="12"/>
      <c r="AE54" s="12"/>
    </row>
    <row r="55" spans="1:31" ht="15.75" customHeight="1" outlineLevel="1">
      <c r="A55" s="10"/>
      <c r="B55" s="48" t="s">
        <v>96</v>
      </c>
      <c r="C55" s="10"/>
      <c r="D55" s="10"/>
      <c r="E55" s="10"/>
      <c r="F55" s="44"/>
      <c r="G55" s="44"/>
      <c r="H55" s="44"/>
      <c r="I55" s="44"/>
      <c r="J55" s="44"/>
      <c r="K55" s="10"/>
      <c r="L55" s="10"/>
      <c r="M55" s="10"/>
      <c r="N55" s="10"/>
      <c r="O55" s="10"/>
      <c r="P55" s="10"/>
      <c r="Q55" s="42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1:31" ht="15.75" customHeight="1" outlineLevel="1">
      <c r="A56" s="10"/>
      <c r="B56" s="48" t="s">
        <v>97</v>
      </c>
      <c r="C56" s="10"/>
      <c r="D56" s="10"/>
      <c r="E56" s="10"/>
      <c r="F56" s="44"/>
      <c r="G56" s="44"/>
      <c r="H56" s="44"/>
      <c r="I56" s="44"/>
      <c r="J56" s="44"/>
      <c r="K56" s="10"/>
      <c r="L56" s="10"/>
      <c r="M56" s="10"/>
      <c r="N56" s="10"/>
      <c r="O56" s="10"/>
      <c r="P56" s="10"/>
      <c r="Q56" s="42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1:31" ht="15.75" customHeight="1" outlineLevel="1">
      <c r="A57" s="10"/>
      <c r="B57" s="43" t="s">
        <v>98</v>
      </c>
      <c r="C57" s="10"/>
      <c r="D57" s="10"/>
      <c r="E57" s="10"/>
      <c r="F57" s="44"/>
      <c r="G57" s="44"/>
      <c r="H57" s="44"/>
      <c r="I57" s="44"/>
      <c r="J57" s="44"/>
      <c r="K57" s="10"/>
      <c r="L57" s="10"/>
      <c r="M57" s="10"/>
      <c r="N57" s="10"/>
      <c r="O57" s="10"/>
      <c r="P57" s="10"/>
      <c r="Q57" s="42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spans="1:31" ht="15.75" customHeight="1" outlineLevel="1">
      <c r="A58" s="10"/>
      <c r="B58" s="43" t="s">
        <v>99</v>
      </c>
      <c r="C58" s="10"/>
      <c r="D58" s="10"/>
      <c r="E58" s="10"/>
      <c r="F58" s="44">
        <f>VLOOKUP($B58,BALANCE_SHEET!$B$20:$L$57,11,0)</f>
        <v>0</v>
      </c>
      <c r="G58" s="44">
        <f>VLOOKUP($B58,BALANCE_SHEET!$B$20:$L$57,9,0)</f>
        <v>0</v>
      </c>
      <c r="H58" s="44">
        <f>VLOOKUP($B58,BALANCE_SHEET!$B$20:$L$57,7,0)</f>
        <v>0</v>
      </c>
      <c r="I58" s="44">
        <f>VLOOKUP($B58,BALANCE_SHEET!$B$20:$L$57,5,0)</f>
        <v>0</v>
      </c>
      <c r="J58" s="44">
        <f>VLOOKUP($B58,BALANCE_SHEET!$B$20:$L$57,3,0)</f>
        <v>0</v>
      </c>
      <c r="K58" s="44">
        <f t="shared" ref="K58:N58" si="43">$J$58</f>
        <v>0</v>
      </c>
      <c r="L58" s="44">
        <f t="shared" si="43"/>
        <v>0</v>
      </c>
      <c r="M58" s="44">
        <f t="shared" si="43"/>
        <v>0</v>
      </c>
      <c r="N58" s="44">
        <f t="shared" si="43"/>
        <v>0</v>
      </c>
      <c r="O58" s="44"/>
      <c r="P58" s="44"/>
      <c r="Q58" s="42"/>
      <c r="R58" s="10" t="s">
        <v>77</v>
      </c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 ht="15.75" customHeight="1" outlineLevel="1">
      <c r="A59" s="10"/>
      <c r="B59" s="43" t="s">
        <v>100</v>
      </c>
      <c r="C59" s="10"/>
      <c r="D59" s="10"/>
      <c r="E59" s="10"/>
      <c r="F59" s="44"/>
      <c r="G59" s="44"/>
      <c r="H59" s="44"/>
      <c r="I59" s="44"/>
      <c r="J59" s="44"/>
      <c r="K59" s="10"/>
      <c r="L59" s="10"/>
      <c r="M59" s="10"/>
      <c r="N59" s="10"/>
      <c r="O59" s="10"/>
      <c r="P59" s="10"/>
      <c r="Q59" s="42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 spans="1:31" ht="15.75" customHeight="1" outlineLevel="1">
      <c r="A60" s="10"/>
      <c r="B60" s="43" t="s">
        <v>101</v>
      </c>
      <c r="C60" s="10"/>
      <c r="D60" s="10"/>
      <c r="E60" s="10"/>
      <c r="F60" s="44"/>
      <c r="G60" s="44"/>
      <c r="H60" s="44"/>
      <c r="I60" s="44"/>
      <c r="J60" s="44"/>
      <c r="K60" s="10"/>
      <c r="L60" s="10"/>
      <c r="M60" s="10"/>
      <c r="N60" s="10"/>
      <c r="O60" s="10"/>
      <c r="P60" s="10"/>
      <c r="Q60" s="42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 ht="15.75" customHeight="1" outlineLevel="1">
      <c r="A61" s="10"/>
      <c r="B61" s="43" t="s">
        <v>102</v>
      </c>
      <c r="C61" s="10"/>
      <c r="D61" s="10"/>
      <c r="E61" s="10"/>
      <c r="F61" s="44">
        <f>VLOOKUP($B61,BALANCE_SHEET!$B$20:$L$57,11,0)</f>
        <v>4</v>
      </c>
      <c r="G61" s="44">
        <f>VLOOKUP($B61,BALANCE_SHEET!$B$20:$L$57,9,0)</f>
        <v>2</v>
      </c>
      <c r="H61" s="44">
        <f>VLOOKUP($B61,BALANCE_SHEET!$B$20:$L$57,7,0)</f>
        <v>2</v>
      </c>
      <c r="I61" s="44">
        <f>VLOOKUP($B61,BALANCE_SHEET!$B$20:$L$57,5,0)</f>
        <v>2</v>
      </c>
      <c r="J61" s="44">
        <f>VLOOKUP($B61,BALANCE_SHEET!$B$20:$L$57,3,0)</f>
        <v>2</v>
      </c>
      <c r="K61" s="44">
        <f t="shared" ref="K61:N61" si="44">$J$61</f>
        <v>2</v>
      </c>
      <c r="L61" s="44">
        <f t="shared" si="44"/>
        <v>2</v>
      </c>
      <c r="M61" s="44">
        <f t="shared" si="44"/>
        <v>2</v>
      </c>
      <c r="N61" s="44">
        <f t="shared" si="44"/>
        <v>2</v>
      </c>
      <c r="O61" s="44"/>
      <c r="P61" s="44"/>
      <c r="Q61" s="42"/>
      <c r="R61" s="10" t="s">
        <v>77</v>
      </c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pans="1:31" ht="15.75" customHeight="1" outlineLevel="1">
      <c r="A62" s="10"/>
      <c r="B62" s="43" t="s">
        <v>103</v>
      </c>
      <c r="C62" s="10"/>
      <c r="D62" s="10"/>
      <c r="E62" s="10"/>
      <c r="F62" s="44">
        <f>VLOOKUP($B62,BALANCE_SHEET!$B$20:$L$57,11,0)</f>
        <v>7031</v>
      </c>
      <c r="G62" s="44">
        <f>VLOOKUP($B62,BALANCE_SHEET!$B$20:$L$57,9,0)</f>
        <v>6884</v>
      </c>
      <c r="H62" s="44">
        <f>VLOOKUP($B62,BALANCE_SHEET!$B$20:$L$57,7,0)</f>
        <v>7340</v>
      </c>
      <c r="I62" s="44">
        <f>VLOOKUP($B62,BALANCE_SHEET!$B$20:$L$57,5,0)</f>
        <v>7829</v>
      </c>
      <c r="J62" s="44">
        <f>VLOOKUP($B62,BALANCE_SHEET!$B$20:$L$57,3,0)</f>
        <v>8282</v>
      </c>
      <c r="K62" s="44">
        <f t="shared" ref="K62:N62" si="45">$J$62</f>
        <v>8282</v>
      </c>
      <c r="L62" s="44">
        <f t="shared" si="45"/>
        <v>8282</v>
      </c>
      <c r="M62" s="44">
        <f t="shared" si="45"/>
        <v>8282</v>
      </c>
      <c r="N62" s="44">
        <f t="shared" si="45"/>
        <v>8282</v>
      </c>
      <c r="O62" s="44"/>
      <c r="P62" s="44"/>
      <c r="Q62" s="42"/>
      <c r="R62" s="10" t="s">
        <v>77</v>
      </c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 ht="15.75" customHeight="1" outlineLevel="1">
      <c r="A63" s="10"/>
      <c r="B63" s="43" t="s">
        <v>104</v>
      </c>
      <c r="C63" s="10"/>
      <c r="D63" s="10"/>
      <c r="E63" s="10"/>
      <c r="F63" s="44">
        <f>VLOOKUP($B63,BALANCE_SHEET!$B$20:$L$57,11,0)</f>
        <v>-1137</v>
      </c>
      <c r="G63" s="44">
        <f>VLOOKUP($B63,BALANCE_SHEET!$B$20:$L$57,9,0)</f>
        <v>-1829</v>
      </c>
      <c r="H63" s="44">
        <f>VLOOKUP($B63,BALANCE_SHEET!$B$20:$L$57,7,0)</f>
        <v>-1805</v>
      </c>
      <c r="I63" s="44">
        <f>VLOOKUP($B63,BALANCE_SHEET!$B$20:$L$57,5,0)</f>
        <v>-1828</v>
      </c>
      <c r="J63" s="44">
        <f>VLOOKUP($B63,BALANCE_SHEET!$B$20:$L$57,3,0)</f>
        <v>-1770</v>
      </c>
      <c r="K63" s="44">
        <f t="shared" ref="K63:N63" si="46">$J$63</f>
        <v>-1770</v>
      </c>
      <c r="L63" s="44">
        <f t="shared" si="46"/>
        <v>-1770</v>
      </c>
      <c r="M63" s="44">
        <f t="shared" si="46"/>
        <v>-1770</v>
      </c>
      <c r="N63" s="44">
        <f t="shared" si="46"/>
        <v>-1770</v>
      </c>
      <c r="O63" s="44"/>
      <c r="P63" s="44"/>
      <c r="Q63" s="42"/>
      <c r="R63" s="10" t="s">
        <v>77</v>
      </c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spans="1:31" ht="15.75" customHeight="1" outlineLevel="1">
      <c r="A64" s="10"/>
      <c r="B64" s="43" t="s">
        <v>105</v>
      </c>
      <c r="C64" s="10"/>
      <c r="D64" s="10"/>
      <c r="E64" s="10"/>
      <c r="F64" s="44">
        <f>VLOOKUP($B64,BALANCE_SHEET!$B$20:$L$57,11,0)</f>
        <v>11666</v>
      </c>
      <c r="G64" s="44">
        <f>VLOOKUP($B64,BALANCE_SHEET!$B$20:$L$57,9,0)</f>
        <v>15585</v>
      </c>
      <c r="H64" s="44">
        <f>VLOOKUP($B64,BALANCE_SHEET!$B$20:$L$57,7,0)</f>
        <v>19521</v>
      </c>
      <c r="I64" s="44">
        <f>VLOOKUP($B64,BALANCE_SHEET!$B$20:$L$57,5,0)</f>
        <v>17619</v>
      </c>
      <c r="J64" s="44">
        <f>VLOOKUP($B64,BALANCE_SHEET!$B$20:$L$57,3,0)</f>
        <v>22650</v>
      </c>
      <c r="K64" s="44">
        <f>J64+K22*(1-'Cash flow forecast'!$K$30)</f>
        <v>28626.884551019484</v>
      </c>
      <c r="L64" s="44">
        <f>K64+L22*(1-'Cash flow forecast'!$K$30)</f>
        <v>35075.619321304548</v>
      </c>
      <c r="M64" s="44">
        <f>L64+M22*(1-'Cash flow forecast'!$K$30)</f>
        <v>42031.714807479635</v>
      </c>
      <c r="N64" s="44">
        <f>M64*(1+3.5%)</f>
        <v>43502.824825741416</v>
      </c>
      <c r="O64" s="44"/>
      <c r="P64" s="44"/>
      <c r="Q64" s="42"/>
      <c r="R64" s="10" t="s">
        <v>106</v>
      </c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 ht="15.75" customHeight="1" outlineLevel="1">
      <c r="A65" s="10"/>
      <c r="B65" s="43"/>
      <c r="C65" s="10"/>
      <c r="D65" s="10"/>
      <c r="E65" s="10"/>
      <c r="F65" s="44"/>
      <c r="G65" s="44"/>
      <c r="H65" s="44"/>
      <c r="I65" s="44"/>
      <c r="J65" s="44"/>
      <c r="K65" s="10"/>
      <c r="L65" s="10"/>
      <c r="M65" s="10"/>
      <c r="N65" s="10"/>
      <c r="O65" s="10"/>
      <c r="P65" s="10"/>
      <c r="Q65" s="42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pans="1:31" ht="15.75" customHeight="1" outlineLevel="1">
      <c r="A66" s="12"/>
      <c r="B66" s="48" t="s">
        <v>107</v>
      </c>
      <c r="C66" s="12"/>
      <c r="D66" s="12"/>
      <c r="E66" s="12"/>
      <c r="F66" s="49">
        <f>VLOOKUP($B66,BALANCE_SHEET!$B$20:$L$57,11,0)</f>
        <v>18078</v>
      </c>
      <c r="G66" s="49">
        <f>VLOOKUP($B66,BALANCE_SHEET!$B$20:$L$57,9,0)</f>
        <v>20647</v>
      </c>
      <c r="H66" s="49">
        <f>VLOOKUP($B66,BALANCE_SHEET!$B$20:$L$57,7,0)</f>
        <v>25058</v>
      </c>
      <c r="I66" s="49">
        <f>VLOOKUP($B66,BALANCE_SHEET!$B$20:$L$57,5,0)</f>
        <v>23622</v>
      </c>
      <c r="J66" s="49">
        <f>VLOOKUP($B66,BALANCE_SHEET!$B$20:$L$57,3,0)</f>
        <v>29164</v>
      </c>
      <c r="K66" s="49">
        <f t="shared" ref="K66:N66" si="47">SUM(K58:K64)</f>
        <v>35140.884551019481</v>
      </c>
      <c r="L66" s="49">
        <f t="shared" si="47"/>
        <v>41589.619321304548</v>
      </c>
      <c r="M66" s="49">
        <f t="shared" si="47"/>
        <v>48545.714807479635</v>
      </c>
      <c r="N66" s="49">
        <f t="shared" si="47"/>
        <v>50016.824825741416</v>
      </c>
      <c r="O66" s="49"/>
      <c r="P66" s="49"/>
      <c r="Q66" s="50"/>
      <c r="R66" s="12"/>
      <c r="S66" s="12"/>
      <c r="T66" s="12"/>
      <c r="U66" s="12"/>
      <c r="V66" s="10"/>
      <c r="W66" s="10"/>
      <c r="X66" s="10"/>
      <c r="Y66" s="10"/>
      <c r="Z66" s="10"/>
      <c r="AA66" s="12"/>
      <c r="AB66" s="12"/>
      <c r="AC66" s="12"/>
      <c r="AD66" s="12"/>
      <c r="AE66" s="12"/>
    </row>
    <row r="67" spans="1:31" ht="15.75" customHeight="1" outlineLevel="1">
      <c r="A67" s="12"/>
      <c r="B67" s="48" t="s">
        <v>108</v>
      </c>
      <c r="C67" s="12"/>
      <c r="D67" s="12"/>
      <c r="E67" s="12"/>
      <c r="F67" s="49">
        <f>VLOOKUP($B67,BALANCE_SHEET!$B$20:$L$57,11,0)</f>
        <v>59268</v>
      </c>
      <c r="G67" s="49">
        <f>VLOOKUP($B67,BALANCE_SHEET!$B$20:$L$57,9,0)</f>
        <v>64166</v>
      </c>
      <c r="H67" s="49">
        <f>VLOOKUP($B67,BALANCE_SHEET!$B$20:$L$57,7,0)</f>
        <v>68994</v>
      </c>
      <c r="I67" s="49">
        <f>VLOOKUP($B67,BALANCE_SHEET!$B$20:$L$57,5,0)</f>
        <v>69831</v>
      </c>
      <c r="J67" s="49">
        <f>VLOOKUP($B67,BALANCE_SHEET!$B$20:$L$57,3,0)</f>
        <v>77099</v>
      </c>
      <c r="K67" s="49">
        <f t="shared" ref="K67:N67" si="48">K66+K54</f>
        <v>86246.205091181677</v>
      </c>
      <c r="L67" s="49">
        <f t="shared" si="48"/>
        <v>96074.491436234603</v>
      </c>
      <c r="M67" s="49">
        <f t="shared" si="48"/>
        <v>104513.53904750128</v>
      </c>
      <c r="N67" s="49">
        <f t="shared" si="48"/>
        <v>107943.52291416383</v>
      </c>
      <c r="O67" s="49"/>
      <c r="P67" s="49"/>
      <c r="Q67" s="50"/>
      <c r="R67" s="12"/>
      <c r="S67" s="12"/>
      <c r="T67" s="12"/>
      <c r="U67" s="12"/>
      <c r="V67" s="10"/>
      <c r="W67" s="10"/>
      <c r="X67" s="10"/>
      <c r="Y67" s="10"/>
      <c r="Z67" s="10"/>
      <c r="AA67" s="12"/>
      <c r="AB67" s="12"/>
      <c r="AC67" s="12"/>
      <c r="AD67" s="12"/>
      <c r="AE67" s="12"/>
    </row>
    <row r="68" spans="1:31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44"/>
      <c r="L68" s="44"/>
      <c r="M68" s="44"/>
      <c r="N68" s="44"/>
      <c r="O68" s="10"/>
      <c r="P68" s="10"/>
      <c r="Q68" s="36"/>
      <c r="R68" s="36"/>
      <c r="S68" s="36"/>
      <c r="T68" s="36"/>
      <c r="U68" s="36"/>
      <c r="V68" s="36"/>
      <c r="W68" s="10"/>
      <c r="X68" s="10"/>
      <c r="Y68" s="10"/>
      <c r="Z68" s="10"/>
      <c r="AA68" s="10"/>
      <c r="AB68" s="10"/>
      <c r="AC68" s="10"/>
      <c r="AD68" s="10"/>
      <c r="AE68" s="10"/>
    </row>
    <row r="69" spans="1:31" ht="15.75" customHeight="1">
      <c r="A69" s="10"/>
      <c r="B69" s="12"/>
      <c r="C69" s="10"/>
      <c r="D69" s="10"/>
      <c r="E69" s="10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 t="e">
        <f>#REF!-#REF!</f>
        <v>#REF!</v>
      </c>
      <c r="V69" s="36"/>
      <c r="W69" s="10"/>
      <c r="X69" s="10"/>
      <c r="Y69" s="10"/>
      <c r="Z69" s="10"/>
      <c r="AA69" s="10"/>
      <c r="AB69" s="10"/>
      <c r="AC69" s="10"/>
      <c r="AD69" s="10"/>
      <c r="AE69" s="10"/>
    </row>
    <row r="70" spans="1:31" ht="15.75" customHeight="1">
      <c r="A70" s="34" t="s">
        <v>109</v>
      </c>
      <c r="B70" s="237" t="s">
        <v>110</v>
      </c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9"/>
      <c r="Q70" s="35"/>
      <c r="R70" s="35"/>
      <c r="S70" s="35"/>
      <c r="T70" s="35"/>
      <c r="U70" s="35"/>
      <c r="V70" s="36"/>
      <c r="W70" s="37"/>
      <c r="X70" s="37"/>
      <c r="Y70" s="37"/>
      <c r="Z70" s="37"/>
      <c r="AA70" s="10"/>
      <c r="AB70" s="10"/>
      <c r="AC70" s="10"/>
      <c r="AD70" s="10"/>
      <c r="AE70" s="10"/>
    </row>
    <row r="71" spans="1:3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36"/>
      <c r="R71" s="36"/>
      <c r="S71" s="36"/>
      <c r="T71" s="36"/>
      <c r="U71" s="36"/>
      <c r="V71" s="36"/>
      <c r="W71" s="10"/>
      <c r="X71" s="10"/>
      <c r="Y71" s="10"/>
      <c r="Z71" s="10"/>
      <c r="AA71" s="10"/>
      <c r="AB71" s="10"/>
      <c r="AC71" s="10"/>
      <c r="AD71" s="10"/>
      <c r="AE71" s="10"/>
    </row>
    <row r="72" spans="1:31" ht="15.75" customHeight="1">
      <c r="A72" s="10"/>
      <c r="B72" s="12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36"/>
      <c r="R72" s="36"/>
      <c r="S72" s="36"/>
      <c r="T72" s="36"/>
      <c r="U72" s="36"/>
      <c r="V72" s="36"/>
      <c r="W72" s="10"/>
      <c r="X72" s="10"/>
      <c r="Y72" s="10"/>
      <c r="Z72" s="10"/>
      <c r="AA72" s="10"/>
      <c r="AB72" s="10"/>
      <c r="AC72" s="10"/>
      <c r="AD72" s="10"/>
      <c r="AE72" s="10"/>
    </row>
    <row r="73" spans="1:31" ht="15.75" customHeight="1">
      <c r="A73" s="10"/>
      <c r="B73" s="12" t="s">
        <v>111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36"/>
      <c r="R73" s="36"/>
      <c r="S73" s="36"/>
      <c r="T73" s="36"/>
      <c r="U73" s="36"/>
      <c r="V73" s="36"/>
      <c r="W73" s="10"/>
      <c r="X73" s="10"/>
      <c r="Y73" s="10"/>
      <c r="Z73" s="10"/>
      <c r="AA73" s="10"/>
      <c r="AB73" s="10"/>
      <c r="AC73" s="10"/>
      <c r="AD73" s="10"/>
      <c r="AE73" s="10"/>
    </row>
    <row r="74" spans="1:31" ht="15.75" customHeight="1">
      <c r="A74" s="10"/>
      <c r="B74" s="10"/>
      <c r="C74" s="10"/>
      <c r="D74" s="12"/>
      <c r="E74" s="12" t="s">
        <v>112</v>
      </c>
      <c r="F74" s="12" t="s">
        <v>113</v>
      </c>
      <c r="G74" s="12" t="s">
        <v>114</v>
      </c>
      <c r="H74" s="12" t="s">
        <v>115</v>
      </c>
      <c r="I74" s="12" t="s">
        <v>116</v>
      </c>
      <c r="J74" s="12" t="s">
        <v>117</v>
      </c>
      <c r="K74" s="12"/>
      <c r="L74" s="240" t="s">
        <v>118</v>
      </c>
      <c r="M74" s="241"/>
      <c r="N74" s="10"/>
      <c r="O74" s="10"/>
      <c r="P74" s="10"/>
      <c r="Q74" s="36"/>
      <c r="R74" s="36"/>
      <c r="S74" s="36"/>
      <c r="T74" s="36"/>
      <c r="U74" s="36"/>
      <c r="V74" s="36"/>
      <c r="W74" s="10"/>
      <c r="X74" s="10"/>
      <c r="Y74" s="10"/>
      <c r="Z74" s="10"/>
      <c r="AA74" s="10"/>
      <c r="AB74" s="10"/>
      <c r="AC74" s="10"/>
      <c r="AD74" s="10"/>
      <c r="AE74" s="10"/>
    </row>
    <row r="75" spans="1:31" ht="15.75" customHeight="1">
      <c r="A75" s="10"/>
      <c r="B75" s="10"/>
      <c r="C75" s="10"/>
      <c r="D75" s="12"/>
      <c r="E75" s="12" t="s">
        <v>119</v>
      </c>
      <c r="F75" s="12" t="s">
        <v>119</v>
      </c>
      <c r="G75" s="12" t="s">
        <v>119</v>
      </c>
      <c r="H75" s="12" t="s">
        <v>120</v>
      </c>
      <c r="I75" s="12" t="s">
        <v>119</v>
      </c>
      <c r="J75" s="12" t="s">
        <v>119</v>
      </c>
      <c r="K75" s="12"/>
      <c r="L75" s="240" t="s">
        <v>121</v>
      </c>
      <c r="M75" s="241"/>
      <c r="N75" s="10"/>
      <c r="O75" s="10"/>
      <c r="P75" s="10"/>
      <c r="Q75" s="36"/>
      <c r="R75" s="36"/>
      <c r="S75" s="36"/>
      <c r="T75" s="36"/>
      <c r="U75" s="36"/>
      <c r="V75" s="36"/>
      <c r="W75" s="10"/>
      <c r="X75" s="10"/>
      <c r="Y75" s="10"/>
      <c r="Z75" s="10"/>
      <c r="AA75" s="10"/>
      <c r="AB75" s="10"/>
      <c r="AC75" s="10"/>
      <c r="AD75" s="10"/>
      <c r="AE75" s="10"/>
    </row>
    <row r="76" spans="1:31" ht="15.75" customHeight="1">
      <c r="A76" s="12"/>
      <c r="B76" s="57" t="s">
        <v>122</v>
      </c>
      <c r="C76" s="57"/>
      <c r="D76" s="57"/>
      <c r="E76" s="57">
        <v>163220</v>
      </c>
      <c r="F76" s="57">
        <v>192052</v>
      </c>
      <c r="G76" s="57">
        <v>222730</v>
      </c>
      <c r="H76" s="57">
        <v>237710</v>
      </c>
      <c r="I76" s="57">
        <v>249625</v>
      </c>
      <c r="J76" s="57">
        <v>269912</v>
      </c>
      <c r="K76" s="12"/>
      <c r="L76" s="58">
        <v>237710</v>
      </c>
      <c r="M76" s="59">
        <v>233225</v>
      </c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 spans="1:31" ht="15.75" customHeight="1">
      <c r="A77" s="10"/>
      <c r="B77" s="60" t="s">
        <v>123</v>
      </c>
      <c r="C77" s="60"/>
      <c r="D77" s="60"/>
      <c r="E77" s="60">
        <v>68659</v>
      </c>
      <c r="F77" s="60">
        <v>77277</v>
      </c>
      <c r="G77" s="60">
        <v>85629</v>
      </c>
      <c r="H77" s="60">
        <v>96175</v>
      </c>
      <c r="I77" s="60">
        <v>101463</v>
      </c>
      <c r="J77" s="60">
        <v>109564</v>
      </c>
      <c r="K77" s="10"/>
      <c r="L77" s="61">
        <v>96175</v>
      </c>
      <c r="M77" s="62">
        <v>94360</v>
      </c>
      <c r="N77" s="10"/>
      <c r="O77" s="10"/>
      <c r="P77" s="10"/>
      <c r="Q77" s="36"/>
      <c r="R77" s="36"/>
      <c r="S77" s="36"/>
      <c r="T77" s="36"/>
      <c r="U77" s="36"/>
      <c r="V77" s="36"/>
      <c r="W77" s="10"/>
      <c r="X77" s="10"/>
      <c r="Y77" s="10"/>
      <c r="Z77" s="10"/>
      <c r="AA77" s="10"/>
      <c r="AB77" s="10"/>
      <c r="AC77" s="10"/>
      <c r="AD77" s="10"/>
      <c r="AE77" s="10"/>
    </row>
    <row r="78" spans="1:31" ht="15.75" customHeight="1">
      <c r="A78" s="10"/>
      <c r="B78" s="60" t="s">
        <v>124</v>
      </c>
      <c r="C78" s="60"/>
      <c r="D78" s="60"/>
      <c r="E78" s="60">
        <v>44807</v>
      </c>
      <c r="F78" s="60">
        <v>55966</v>
      </c>
      <c r="G78" s="60">
        <v>61100</v>
      </c>
      <c r="H78" s="60">
        <v>60865</v>
      </c>
      <c r="I78" s="60">
        <v>63973</v>
      </c>
      <c r="J78" s="60">
        <v>71190</v>
      </c>
      <c r="K78" s="10"/>
      <c r="L78" s="61">
        <v>60865</v>
      </c>
      <c r="M78" s="62">
        <v>59717</v>
      </c>
      <c r="N78" s="10"/>
      <c r="O78" s="10"/>
      <c r="P78" s="10"/>
      <c r="Q78" s="36"/>
      <c r="R78" s="36"/>
      <c r="S78" s="36"/>
      <c r="T78" s="36"/>
      <c r="U78" s="36"/>
      <c r="V78" s="36"/>
      <c r="W78" s="10"/>
      <c r="X78" s="10"/>
      <c r="Y78" s="10"/>
      <c r="Z78" s="10"/>
      <c r="AA78" s="10"/>
      <c r="AB78" s="10"/>
      <c r="AC78" s="10"/>
      <c r="AD78" s="10"/>
      <c r="AE78" s="10"/>
    </row>
    <row r="79" spans="1:31" ht="15.75" customHeight="1">
      <c r="A79" s="10"/>
      <c r="B79" s="60" t="s">
        <v>125</v>
      </c>
      <c r="C79" s="60"/>
      <c r="D79" s="60"/>
      <c r="E79" s="60">
        <v>26550</v>
      </c>
      <c r="F79" s="60">
        <v>31626</v>
      </c>
      <c r="G79" s="60">
        <v>46474</v>
      </c>
      <c r="H79" s="60">
        <v>48693</v>
      </c>
      <c r="I79" s="60">
        <v>49969</v>
      </c>
      <c r="J79" s="60">
        <v>51170</v>
      </c>
      <c r="K79" s="10"/>
      <c r="L79" s="61">
        <v>48693</v>
      </c>
      <c r="M79" s="62">
        <v>47774</v>
      </c>
      <c r="N79" s="10"/>
      <c r="O79" s="10"/>
      <c r="P79" s="10"/>
      <c r="Q79" s="36"/>
      <c r="R79" s="36"/>
      <c r="S79" s="36"/>
      <c r="T79" s="36"/>
      <c r="U79" s="36"/>
      <c r="V79" s="36"/>
      <c r="W79" s="10"/>
      <c r="X79" s="10"/>
      <c r="Y79" s="10"/>
      <c r="Z79" s="10"/>
      <c r="AA79" s="10"/>
      <c r="AB79" s="10"/>
      <c r="AC79" s="10"/>
      <c r="AD79" s="10"/>
      <c r="AE79" s="10"/>
    </row>
    <row r="80" spans="1:31" ht="15.75" customHeight="1">
      <c r="A80" s="10"/>
      <c r="B80" s="60" t="s">
        <v>126</v>
      </c>
      <c r="C80" s="60"/>
      <c r="D80" s="60"/>
      <c r="E80" s="60">
        <v>23204</v>
      </c>
      <c r="F80" s="60">
        <v>27183</v>
      </c>
      <c r="G80" s="60">
        <v>29527</v>
      </c>
      <c r="H80" s="60">
        <v>31977</v>
      </c>
      <c r="I80" s="60">
        <v>34220</v>
      </c>
      <c r="J80" s="60">
        <v>37988</v>
      </c>
      <c r="K80" s="10"/>
      <c r="L80" s="61">
        <v>31977</v>
      </c>
      <c r="M80" s="62">
        <v>31374</v>
      </c>
      <c r="N80" s="10"/>
      <c r="O80" s="10"/>
      <c r="P80" s="10"/>
      <c r="Q80" s="36"/>
      <c r="R80" s="36"/>
      <c r="S80" s="36"/>
      <c r="T80" s="36"/>
      <c r="U80" s="36"/>
      <c r="V80" s="36"/>
      <c r="W80" s="10"/>
      <c r="X80" s="10"/>
      <c r="Y80" s="10"/>
      <c r="Z80" s="10"/>
      <c r="AA80" s="10"/>
      <c r="AB80" s="10"/>
      <c r="AC80" s="10"/>
      <c r="AD80" s="10"/>
      <c r="AE80" s="10"/>
    </row>
    <row r="81" spans="1:31" ht="15.75" customHeight="1">
      <c r="A81" s="10"/>
      <c r="B81" s="60"/>
      <c r="C81" s="60"/>
      <c r="D81" s="60"/>
      <c r="E81" s="60"/>
      <c r="F81" s="60"/>
      <c r="G81" s="60"/>
      <c r="H81" s="60"/>
      <c r="I81" s="60"/>
      <c r="J81" s="60"/>
      <c r="K81" s="10"/>
      <c r="L81" s="10"/>
      <c r="M81" s="10"/>
      <c r="N81" s="10"/>
      <c r="O81" s="10"/>
      <c r="P81" s="10"/>
      <c r="Q81" s="36"/>
      <c r="R81" s="36"/>
      <c r="S81" s="36"/>
      <c r="T81" s="36"/>
      <c r="U81" s="36"/>
      <c r="V81" s="36"/>
      <c r="W81" s="10"/>
      <c r="X81" s="10"/>
      <c r="Y81" s="10"/>
      <c r="Z81" s="10"/>
      <c r="AA81" s="10"/>
      <c r="AB81" s="10"/>
      <c r="AC81" s="10"/>
      <c r="AD81" s="10"/>
      <c r="AE81" s="10"/>
    </row>
    <row r="82" spans="1:31" ht="15.75" customHeight="1">
      <c r="A82" s="10"/>
      <c r="B82" s="12" t="s">
        <v>127</v>
      </c>
      <c r="C82" s="10"/>
      <c r="D82" s="10"/>
      <c r="E82" s="10"/>
      <c r="F82" s="10"/>
      <c r="G82" s="63" t="s">
        <v>128</v>
      </c>
      <c r="H82" s="63"/>
      <c r="I82" s="64">
        <f>N90</f>
        <v>8.7895204217908501E-2</v>
      </c>
      <c r="J82" s="10"/>
      <c r="K82" s="10"/>
      <c r="L82" s="10"/>
      <c r="M82" s="10"/>
      <c r="N82" s="10"/>
      <c r="O82" s="10"/>
      <c r="P82" s="10"/>
      <c r="Q82" s="36"/>
      <c r="R82" s="36"/>
      <c r="S82" s="36"/>
      <c r="T82" s="36"/>
      <c r="U82" s="36"/>
      <c r="V82" s="36"/>
      <c r="W82" s="10"/>
      <c r="X82" s="10"/>
      <c r="Y82" s="10"/>
      <c r="Z82" s="10"/>
      <c r="AA82" s="10"/>
      <c r="AB82" s="10"/>
      <c r="AC82" s="10"/>
      <c r="AD82" s="10"/>
      <c r="AE82" s="10"/>
    </row>
    <row r="83" spans="1:31" ht="15.75" customHeight="1">
      <c r="A83" s="10"/>
      <c r="B83" s="12"/>
      <c r="C83" s="10"/>
      <c r="D83" s="10"/>
      <c r="E83" s="10"/>
      <c r="F83" s="10"/>
      <c r="G83" s="63" t="s">
        <v>129</v>
      </c>
      <c r="H83" s="65"/>
      <c r="I83" s="64">
        <f>L92</f>
        <v>8.2468248555046753E-2</v>
      </c>
      <c r="J83" s="10"/>
      <c r="K83" s="10"/>
      <c r="L83" s="10"/>
      <c r="M83" s="10"/>
      <c r="N83" s="10"/>
      <c r="O83" s="10"/>
      <c r="P83" s="10"/>
      <c r="Q83" s="36"/>
      <c r="R83" s="36"/>
      <c r="S83" s="36"/>
      <c r="T83" s="36"/>
      <c r="U83" s="36"/>
      <c r="V83" s="36"/>
      <c r="W83" s="10"/>
      <c r="X83" s="10"/>
      <c r="Y83" s="10"/>
      <c r="Z83" s="10"/>
      <c r="AA83" s="10"/>
      <c r="AB83" s="10"/>
      <c r="AC83" s="10"/>
      <c r="AD83" s="10"/>
      <c r="AE83" s="10"/>
    </row>
    <row r="84" spans="1:31" ht="15.75" customHeight="1">
      <c r="A84" s="10"/>
      <c r="B84" s="12"/>
      <c r="C84" s="10"/>
      <c r="D84" s="10"/>
      <c r="E84" s="10"/>
      <c r="F84" s="10"/>
      <c r="G84" s="12"/>
      <c r="H84" s="10"/>
      <c r="I84" s="66"/>
      <c r="J84" s="10"/>
      <c r="K84" s="10"/>
      <c r="L84" s="10"/>
      <c r="M84" s="10"/>
      <c r="N84" s="10"/>
      <c r="O84" s="10"/>
      <c r="P84" s="10"/>
      <c r="Q84" s="36"/>
      <c r="R84" s="36"/>
      <c r="S84" s="36"/>
      <c r="T84" s="36"/>
      <c r="U84" s="36"/>
      <c r="V84" s="36"/>
      <c r="W84" s="10"/>
      <c r="X84" s="10"/>
      <c r="Y84" s="10"/>
      <c r="Z84" s="10"/>
      <c r="AA84" s="10"/>
      <c r="AB84" s="10"/>
      <c r="AC84" s="10"/>
      <c r="AD84" s="10"/>
      <c r="AE84" s="10"/>
    </row>
    <row r="85" spans="1:31" ht="34.5" customHeight="1">
      <c r="A85" s="36"/>
      <c r="B85" s="67"/>
      <c r="C85" s="67"/>
      <c r="D85" s="67"/>
      <c r="E85" s="67"/>
      <c r="F85" s="68" t="s">
        <v>113</v>
      </c>
      <c r="G85" s="68" t="s">
        <v>114</v>
      </c>
      <c r="H85" s="68" t="s">
        <v>115</v>
      </c>
      <c r="I85" s="68" t="s">
        <v>116</v>
      </c>
      <c r="J85" s="68" t="s">
        <v>117</v>
      </c>
      <c r="K85" s="69" t="s">
        <v>130</v>
      </c>
      <c r="L85" s="69" t="s">
        <v>131</v>
      </c>
      <c r="M85" s="68" t="s">
        <v>132</v>
      </c>
      <c r="N85" s="69" t="s">
        <v>133</v>
      </c>
      <c r="O85" s="69" t="s">
        <v>134</v>
      </c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</row>
    <row r="86" spans="1:31" ht="15.75" customHeight="1">
      <c r="A86" s="10"/>
      <c r="B86" s="60" t="s">
        <v>123</v>
      </c>
      <c r="C86" s="10"/>
      <c r="D86" s="10"/>
      <c r="E86" s="10"/>
      <c r="F86" s="46">
        <f t="shared" ref="F86:G86" si="49">F77/E77-1</f>
        <v>0.12551886861154404</v>
      </c>
      <c r="G86" s="46">
        <f t="shared" si="49"/>
        <v>0.10807872976435418</v>
      </c>
      <c r="H86" s="46">
        <f t="shared" ref="H86:H89" si="50">M77/G77-1</f>
        <v>0.1019631199710378</v>
      </c>
      <c r="I86" s="46">
        <f t="shared" ref="I86:J86" si="51">I77/H77-1</f>
        <v>5.498310371718218E-2</v>
      </c>
      <c r="J86" s="46">
        <f t="shared" si="51"/>
        <v>7.9841912815509009E-2</v>
      </c>
      <c r="K86" s="46">
        <f t="shared" ref="K86:K89" si="52">AVERAGE(G86:J86)</f>
        <v>8.621671656702079E-2</v>
      </c>
      <c r="L86" s="46">
        <f t="shared" ref="L86:L89" si="53">(J77/F77)^(1/4)-1</f>
        <v>9.1200123223838414E-2</v>
      </c>
      <c r="M86" s="24">
        <f t="shared" ref="M86:M89" si="54">J77/$J$76</f>
        <v>0.4059248940395388</v>
      </c>
      <c r="N86" s="46">
        <f t="shared" ref="N86:N89" si="55">K86*M86</f>
        <v>3.4997511536904863E-2</v>
      </c>
      <c r="O86" s="24">
        <f t="shared" ref="O86:O89" si="56">L86*M86</f>
        <v>3.7020400356029493E-2</v>
      </c>
      <c r="P86" s="10"/>
      <c r="Q86" s="36"/>
      <c r="R86" s="36"/>
      <c r="S86" s="36"/>
      <c r="T86" s="36"/>
      <c r="U86" s="36"/>
      <c r="V86" s="36"/>
      <c r="W86" s="10"/>
      <c r="X86" s="10"/>
      <c r="Y86" s="10"/>
      <c r="Z86" s="10"/>
      <c r="AA86" s="10"/>
      <c r="AB86" s="10"/>
      <c r="AC86" s="10"/>
      <c r="AD86" s="10"/>
      <c r="AE86" s="10"/>
    </row>
    <row r="87" spans="1:31" ht="15.75" customHeight="1">
      <c r="A87" s="10"/>
      <c r="B87" s="60" t="s">
        <v>124</v>
      </c>
      <c r="C87" s="10"/>
      <c r="D87" s="10"/>
      <c r="E87" s="10"/>
      <c r="F87" s="46">
        <f t="shared" ref="F87:G87" si="57">F78/E78-1</f>
        <v>0.24904590800544568</v>
      </c>
      <c r="G87" s="46">
        <f t="shared" si="57"/>
        <v>9.1734267233677613E-2</v>
      </c>
      <c r="H87" s="46">
        <f t="shared" si="50"/>
        <v>-2.263502454991817E-2</v>
      </c>
      <c r="I87" s="46">
        <f t="shared" ref="I87:J87" si="58">I78/H78-1</f>
        <v>5.1063829787234116E-2</v>
      </c>
      <c r="J87" s="46">
        <f t="shared" si="58"/>
        <v>0.1128132180763759</v>
      </c>
      <c r="K87" s="46">
        <f t="shared" si="52"/>
        <v>5.8244072636842364E-2</v>
      </c>
      <c r="L87" s="46">
        <f t="shared" si="53"/>
        <v>6.1997956805469379E-2</v>
      </c>
      <c r="M87" s="24">
        <f t="shared" si="54"/>
        <v>0.2637526304869735</v>
      </c>
      <c r="N87" s="46">
        <f t="shared" si="55"/>
        <v>1.5362027368241528E-2</v>
      </c>
      <c r="O87" s="24">
        <f t="shared" si="56"/>
        <v>1.6352124192260311E-2</v>
      </c>
      <c r="P87" s="10"/>
      <c r="Q87" s="36"/>
      <c r="R87" s="36"/>
      <c r="S87" s="36"/>
      <c r="T87" s="36"/>
      <c r="U87" s="36"/>
      <c r="V87" s="36"/>
      <c r="W87" s="10"/>
      <c r="X87" s="10"/>
      <c r="Y87" s="10"/>
      <c r="Z87" s="10"/>
      <c r="AA87" s="10"/>
      <c r="AB87" s="10"/>
      <c r="AC87" s="10"/>
      <c r="AD87" s="10"/>
      <c r="AE87" s="10"/>
    </row>
    <row r="88" spans="1:31" ht="15.75" customHeight="1">
      <c r="A88" s="10"/>
      <c r="B88" s="60" t="s">
        <v>125</v>
      </c>
      <c r="C88" s="10"/>
      <c r="D88" s="10"/>
      <c r="E88" s="10"/>
      <c r="F88" s="46">
        <f t="shared" ref="F88:G88" si="59">F79/E79-1</f>
        <v>0.1911864406779662</v>
      </c>
      <c r="G88" s="46">
        <f t="shared" si="59"/>
        <v>0.46948713084171256</v>
      </c>
      <c r="H88" s="46">
        <f t="shared" si="50"/>
        <v>2.7972629857554665E-2</v>
      </c>
      <c r="I88" s="46">
        <f t="shared" ref="I88:J88" si="60">I79/H79-1</f>
        <v>2.6204998665105839E-2</v>
      </c>
      <c r="J88" s="46">
        <f t="shared" si="60"/>
        <v>2.4034901639016226E-2</v>
      </c>
      <c r="K88" s="46">
        <f t="shared" si="52"/>
        <v>0.13692491525084732</v>
      </c>
      <c r="L88" s="46">
        <f t="shared" si="53"/>
        <v>0.12782777979071169</v>
      </c>
      <c r="M88" s="24">
        <f t="shared" si="54"/>
        <v>0.18958030765582856</v>
      </c>
      <c r="N88" s="46">
        <f t="shared" si="55"/>
        <v>2.5958267559003888E-2</v>
      </c>
      <c r="O88" s="24">
        <f t="shared" si="56"/>
        <v>2.4233629819684629E-2</v>
      </c>
      <c r="P88" s="10"/>
      <c r="Q88" s="36"/>
      <c r="R88" s="36"/>
      <c r="S88" s="36"/>
      <c r="T88" s="36"/>
      <c r="U88" s="36"/>
      <c r="V88" s="36"/>
      <c r="W88" s="10"/>
      <c r="X88" s="10"/>
      <c r="Y88" s="10"/>
      <c r="Z88" s="10"/>
      <c r="AA88" s="10"/>
      <c r="AB88" s="10"/>
      <c r="AC88" s="10"/>
      <c r="AD88" s="10"/>
      <c r="AE88" s="10"/>
    </row>
    <row r="89" spans="1:31" ht="15.75" customHeight="1">
      <c r="A89" s="10"/>
      <c r="B89" s="60" t="s">
        <v>126</v>
      </c>
      <c r="C89" s="10"/>
      <c r="D89" s="10"/>
      <c r="E89" s="10"/>
      <c r="F89" s="46">
        <f t="shared" ref="F89:G89" si="61">F80/E80-1</f>
        <v>0.17147905533528696</v>
      </c>
      <c r="G89" s="46">
        <f t="shared" si="61"/>
        <v>8.6230364566089124E-2</v>
      </c>
      <c r="H89" s="46">
        <f t="shared" si="50"/>
        <v>6.2552917668574626E-2</v>
      </c>
      <c r="I89" s="46">
        <f t="shared" ref="I89:J89" si="62">I80/H80-1</f>
        <v>7.0144166119398221E-2</v>
      </c>
      <c r="J89" s="46">
        <f t="shared" si="62"/>
        <v>0.11011104617182932</v>
      </c>
      <c r="K89" s="46">
        <f t="shared" si="52"/>
        <v>8.2259623631472822E-2</v>
      </c>
      <c r="L89" s="46">
        <f t="shared" si="53"/>
        <v>8.7269639307373748E-2</v>
      </c>
      <c r="M89" s="24">
        <f t="shared" si="54"/>
        <v>0.14074216781765908</v>
      </c>
      <c r="N89" s="46">
        <f t="shared" si="55"/>
        <v>1.1577397753758222E-2</v>
      </c>
      <c r="O89" s="24">
        <f t="shared" si="56"/>
        <v>1.2282518220784973E-2</v>
      </c>
      <c r="P89" s="10"/>
      <c r="Q89" s="36"/>
      <c r="R89" s="36"/>
      <c r="S89" s="36"/>
      <c r="T89" s="36"/>
      <c r="U89" s="36"/>
      <c r="V89" s="36"/>
      <c r="W89" s="10"/>
      <c r="X89" s="10"/>
      <c r="Y89" s="10"/>
      <c r="Z89" s="10"/>
      <c r="AA89" s="10"/>
      <c r="AB89" s="10"/>
      <c r="AC89" s="10"/>
      <c r="AD89" s="10"/>
      <c r="AE89" s="10"/>
    </row>
    <row r="90" spans="1:31" ht="15.75" customHeight="1">
      <c r="A90" s="12"/>
      <c r="B90" s="70" t="s">
        <v>122</v>
      </c>
      <c r="C90" s="71"/>
      <c r="D90" s="71"/>
      <c r="E90" s="71"/>
      <c r="F90" s="72">
        <f t="shared" ref="F90:G90" si="63">F76/E76-1</f>
        <v>0.17664501899277041</v>
      </c>
      <c r="G90" s="72">
        <f t="shared" si="63"/>
        <v>0.15973798762835067</v>
      </c>
      <c r="H90" s="72">
        <f>M76/G76-1</f>
        <v>4.711983118574059E-2</v>
      </c>
      <c r="I90" s="72">
        <f t="shared" ref="I90:J90" si="64">I76/H76-1</f>
        <v>5.0124100795086557E-2</v>
      </c>
      <c r="J90" s="72">
        <f t="shared" si="64"/>
        <v>8.1269904857286024E-2</v>
      </c>
      <c r="K90" s="73">
        <f>AVERAGE(F90:J90)</f>
        <v>0.10297936869184685</v>
      </c>
      <c r="L90" s="73">
        <f>(J76/F76)^(1/4)-1</f>
        <v>8.8806838184738668E-2</v>
      </c>
      <c r="M90" s="74">
        <v>1</v>
      </c>
      <c r="N90" s="73">
        <f t="shared" ref="N90:O90" si="65">SUM(N86:N89)</f>
        <v>8.7895204217908501E-2</v>
      </c>
      <c r="O90" s="73">
        <f t="shared" si="65"/>
        <v>8.9888672588759405E-2</v>
      </c>
      <c r="P90" s="12"/>
      <c r="Q90" s="75"/>
      <c r="R90" s="75"/>
      <c r="S90" s="75"/>
      <c r="T90" s="75"/>
      <c r="U90" s="75"/>
      <c r="V90" s="75"/>
      <c r="W90" s="12"/>
      <c r="X90" s="12"/>
      <c r="Y90" s="12"/>
      <c r="Z90" s="12"/>
      <c r="AA90" s="12"/>
      <c r="AB90" s="12"/>
      <c r="AC90" s="12"/>
      <c r="AD90" s="12"/>
      <c r="AE90" s="12"/>
    </row>
    <row r="91" spans="1:3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36"/>
      <c r="R91" s="36"/>
      <c r="S91" s="36"/>
      <c r="T91" s="36"/>
      <c r="U91" s="36"/>
      <c r="V91" s="36"/>
      <c r="W91" s="10"/>
      <c r="X91" s="10"/>
      <c r="Y91" s="10"/>
      <c r="Z91" s="10"/>
      <c r="AA91" s="10"/>
      <c r="AB91" s="10"/>
      <c r="AC91" s="10"/>
      <c r="AD91" s="10"/>
      <c r="AE91" s="10"/>
    </row>
    <row r="92" spans="1:31" ht="15.75" customHeight="1">
      <c r="A92" s="10"/>
      <c r="B92" s="60" t="s">
        <v>22</v>
      </c>
      <c r="C92" s="10"/>
      <c r="D92" s="10"/>
      <c r="E92" s="10"/>
      <c r="F92" s="10"/>
      <c r="G92" s="24">
        <f t="shared" ref="G92:J92" si="66">G8/F8-1</f>
        <v>8.9502192416817117E-2</v>
      </c>
      <c r="H92" s="24">
        <f t="shared" si="66"/>
        <v>8.4280303030302983E-2</v>
      </c>
      <c r="I92" s="24">
        <f t="shared" si="66"/>
        <v>5.4148471615720561E-2</v>
      </c>
      <c r="J92" s="24">
        <f t="shared" si="66"/>
        <v>0.10252692626346316</v>
      </c>
      <c r="K92" s="76">
        <f>AVERAGE(G92:J92)</f>
        <v>8.2614473331575955E-2</v>
      </c>
      <c r="L92" s="76">
        <f>(J8/F8)^(1/4)-1</f>
        <v>8.2468248555046753E-2</v>
      </c>
      <c r="M92" s="10"/>
      <c r="N92" s="46">
        <f>AVERAGE(L90,L92)</f>
        <v>8.563754336989271E-2</v>
      </c>
      <c r="O92" s="10"/>
      <c r="P92" s="10"/>
      <c r="Q92" s="36"/>
      <c r="R92" s="36"/>
      <c r="S92" s="36"/>
      <c r="T92" s="36"/>
      <c r="U92" s="36"/>
      <c r="V92" s="36"/>
      <c r="W92" s="10"/>
      <c r="X92" s="10"/>
      <c r="Y92" s="10"/>
      <c r="Z92" s="10"/>
      <c r="AA92" s="10"/>
      <c r="AB92" s="10"/>
      <c r="AC92" s="10"/>
      <c r="AD92" s="10"/>
      <c r="AE92" s="10"/>
    </row>
    <row r="93" spans="1:31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36"/>
      <c r="R93" s="36"/>
      <c r="S93" s="36"/>
      <c r="T93" s="36"/>
      <c r="U93" s="36"/>
      <c r="V93" s="36"/>
      <c r="W93" s="10"/>
      <c r="X93" s="10"/>
      <c r="Y93" s="10"/>
      <c r="Z93" s="10"/>
      <c r="AA93" s="10"/>
      <c r="AB93" s="10"/>
      <c r="AC93" s="10"/>
      <c r="AD93" s="10"/>
      <c r="AE93" s="10"/>
    </row>
    <row r="94" spans="1:31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36"/>
      <c r="R94" s="36"/>
      <c r="S94" s="36"/>
      <c r="T94" s="36"/>
      <c r="U94" s="36"/>
      <c r="V94" s="36"/>
      <c r="W94" s="10"/>
      <c r="X94" s="10"/>
      <c r="Y94" s="10"/>
      <c r="Z94" s="10"/>
      <c r="AA94" s="10"/>
      <c r="AB94" s="10"/>
      <c r="AC94" s="10"/>
      <c r="AD94" s="10"/>
      <c r="AE94" s="10"/>
    </row>
    <row r="95" spans="1:31" ht="15.75" customHeight="1">
      <c r="A95" s="34" t="s">
        <v>109</v>
      </c>
      <c r="B95" s="237" t="s">
        <v>135</v>
      </c>
      <c r="C95" s="238"/>
      <c r="D95" s="238"/>
      <c r="E95" s="238"/>
      <c r="F95" s="238"/>
      <c r="G95" s="238"/>
      <c r="H95" s="238"/>
      <c r="I95" s="238"/>
      <c r="J95" s="238"/>
      <c r="K95" s="238"/>
      <c r="L95" s="238"/>
      <c r="M95" s="238"/>
      <c r="N95" s="238"/>
      <c r="O95" s="238"/>
      <c r="P95" s="239"/>
      <c r="Q95" s="35"/>
      <c r="R95" s="35"/>
      <c r="S95" s="35"/>
      <c r="T95" s="35"/>
      <c r="U95" s="35"/>
      <c r="V95" s="35"/>
      <c r="W95" s="34"/>
      <c r="X95" s="34"/>
      <c r="Y95" s="34"/>
      <c r="Z95" s="34"/>
      <c r="AA95" s="10"/>
      <c r="AB95" s="10"/>
      <c r="AC95" s="10"/>
      <c r="AD95" s="10"/>
      <c r="AE95" s="10"/>
    </row>
    <row r="96" spans="1:31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36"/>
      <c r="R96" s="36"/>
      <c r="S96" s="36"/>
      <c r="T96" s="36"/>
      <c r="U96" s="36"/>
      <c r="V96" s="36"/>
      <c r="W96" s="10"/>
      <c r="X96" s="10"/>
      <c r="Y96" s="10"/>
      <c r="Z96" s="10"/>
      <c r="AA96" s="10"/>
      <c r="AB96" s="10"/>
      <c r="AC96" s="10"/>
      <c r="AD96" s="10"/>
      <c r="AE96" s="10"/>
    </row>
    <row r="97" spans="1:31" ht="15.75" customHeight="1">
      <c r="A97" s="10"/>
      <c r="B97" s="10"/>
      <c r="C97" s="10"/>
      <c r="D97" s="10"/>
      <c r="E97" s="10"/>
      <c r="F97" s="68" t="s">
        <v>113</v>
      </c>
      <c r="G97" s="68" t="s">
        <v>114</v>
      </c>
      <c r="H97" s="68" t="s">
        <v>115</v>
      </c>
      <c r="I97" s="68" t="s">
        <v>116</v>
      </c>
      <c r="J97" s="68" t="s">
        <v>117</v>
      </c>
      <c r="K97" s="77" t="s">
        <v>130</v>
      </c>
      <c r="L97" s="10"/>
      <c r="M97" s="10"/>
      <c r="N97" s="10"/>
      <c r="O97" s="10"/>
      <c r="P97" s="10"/>
      <c r="Q97" s="36"/>
      <c r="R97" s="36"/>
      <c r="S97" s="36"/>
      <c r="T97" s="36"/>
      <c r="U97" s="36"/>
      <c r="V97" s="36"/>
      <c r="W97" s="10"/>
      <c r="X97" s="10"/>
      <c r="Y97" s="10"/>
      <c r="Z97" s="10"/>
      <c r="AA97" s="10"/>
      <c r="AB97" s="10"/>
      <c r="AC97" s="10"/>
      <c r="AD97" s="10"/>
      <c r="AE97" s="10"/>
    </row>
    <row r="98" spans="1:31" ht="14.5">
      <c r="A98" s="10"/>
      <c r="B98" s="43" t="s">
        <v>136</v>
      </c>
      <c r="C98" s="78"/>
      <c r="D98" s="78"/>
      <c r="E98" s="78"/>
      <c r="F98" s="78">
        <v>0.246</v>
      </c>
      <c r="G98" s="78">
        <v>0.25</v>
      </c>
      <c r="H98" s="78">
        <v>0.25900000000000001</v>
      </c>
      <c r="I98" s="79">
        <v>0.24399999999999999</v>
      </c>
      <c r="J98" s="78">
        <v>0.251</v>
      </c>
      <c r="K98" s="76">
        <f>AVERAGE(F98:J98)</f>
        <v>0.25</v>
      </c>
      <c r="L98" s="10"/>
      <c r="M98" s="10"/>
      <c r="N98" s="10"/>
      <c r="O98" s="10"/>
      <c r="P98" s="10"/>
      <c r="Q98" s="36"/>
      <c r="R98" s="36"/>
      <c r="S98" s="36"/>
      <c r="T98" s="36"/>
      <c r="U98" s="36"/>
      <c r="V98" s="36"/>
      <c r="W98" s="10"/>
      <c r="X98" s="10"/>
      <c r="Y98" s="10"/>
      <c r="Z98" s="10"/>
      <c r="AA98" s="10"/>
      <c r="AB98" s="10"/>
      <c r="AC98" s="10"/>
      <c r="AD98" s="10"/>
      <c r="AE98" s="10"/>
    </row>
    <row r="99" spans="1:31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36"/>
      <c r="R99" s="36"/>
      <c r="S99" s="36"/>
      <c r="T99" s="36"/>
      <c r="U99" s="36"/>
      <c r="V99" s="36"/>
      <c r="W99" s="10"/>
      <c r="X99" s="10"/>
      <c r="Y99" s="10"/>
      <c r="Z99" s="10"/>
      <c r="AA99" s="10"/>
      <c r="AB99" s="10"/>
      <c r="AC99" s="10"/>
      <c r="AD99" s="10"/>
      <c r="AE99" s="10"/>
    </row>
    <row r="100" spans="1:31" ht="15.75" customHeight="1">
      <c r="A100" s="34" t="s">
        <v>109</v>
      </c>
      <c r="B100" s="237" t="s">
        <v>137</v>
      </c>
      <c r="C100" s="238"/>
      <c r="D100" s="238"/>
      <c r="E100" s="238"/>
      <c r="F100" s="238"/>
      <c r="G100" s="238"/>
      <c r="H100" s="238"/>
      <c r="I100" s="238"/>
      <c r="J100" s="238"/>
      <c r="K100" s="238"/>
      <c r="L100" s="238"/>
      <c r="M100" s="238"/>
      <c r="N100" s="238"/>
      <c r="O100" s="238"/>
      <c r="P100" s="239"/>
      <c r="Q100" s="35"/>
      <c r="R100" s="35"/>
      <c r="S100" s="35"/>
      <c r="T100" s="35"/>
      <c r="U100" s="35"/>
      <c r="V100" s="35"/>
      <c r="W100" s="34"/>
      <c r="X100" s="34"/>
      <c r="Y100" s="34"/>
      <c r="Z100" s="34"/>
      <c r="AA100" s="10"/>
      <c r="AB100" s="10"/>
      <c r="AC100" s="10"/>
      <c r="AD100" s="10"/>
      <c r="AE100" s="10"/>
    </row>
    <row r="101" spans="1:3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36"/>
      <c r="R101" s="36"/>
      <c r="S101" s="36"/>
      <c r="T101" s="36"/>
      <c r="U101" s="36"/>
      <c r="V101" s="36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pans="1:31" ht="15.75" customHeight="1">
      <c r="A102" s="10"/>
      <c r="B102" s="67" t="s">
        <v>138</v>
      </c>
      <c r="C102" s="67"/>
      <c r="D102" s="67"/>
      <c r="E102" s="67"/>
      <c r="F102" s="68" t="s">
        <v>113</v>
      </c>
      <c r="G102" s="68" t="s">
        <v>114</v>
      </c>
      <c r="H102" s="68" t="s">
        <v>115</v>
      </c>
      <c r="I102" s="68" t="s">
        <v>116</v>
      </c>
      <c r="J102" s="68" t="s">
        <v>117</v>
      </c>
      <c r="K102" s="77" t="s">
        <v>130</v>
      </c>
      <c r="L102" s="10"/>
      <c r="M102" s="10"/>
      <c r="N102" s="10"/>
      <c r="O102" s="10"/>
      <c r="P102" s="10"/>
      <c r="Q102" s="36"/>
      <c r="R102" s="36"/>
      <c r="S102" s="36"/>
      <c r="T102" s="36"/>
      <c r="U102" s="36"/>
      <c r="V102" s="36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pans="1:31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36"/>
      <c r="R103" s="36"/>
      <c r="S103" s="36"/>
      <c r="T103" s="36"/>
      <c r="U103" s="36"/>
      <c r="V103" s="36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pans="1:31" ht="15.75" customHeight="1">
      <c r="A104" s="10"/>
      <c r="B104" s="43" t="s">
        <v>45</v>
      </c>
      <c r="C104" s="10"/>
      <c r="D104" s="10"/>
      <c r="E104" s="10"/>
      <c r="F104" s="46">
        <f t="shared" ref="F104:J104" si="67">F12/F$9</f>
        <v>0.87115230517177145</v>
      </c>
      <c r="G104" s="46">
        <f t="shared" si="67"/>
        <v>0.8785128263877261</v>
      </c>
      <c r="H104" s="46">
        <f t="shared" si="67"/>
        <v>0.87740311197325516</v>
      </c>
      <c r="I104" s="46">
        <f t="shared" si="67"/>
        <v>0.87386668657866085</v>
      </c>
      <c r="J104" s="46">
        <f t="shared" si="67"/>
        <v>0.87156793285737644</v>
      </c>
      <c r="K104" s="76">
        <f t="shared" ref="K104:K105" si="68">AVERAGE(F104:J104)</f>
        <v>0.87450057259375813</v>
      </c>
      <c r="L104" s="10"/>
      <c r="M104" s="10"/>
      <c r="N104" s="10"/>
      <c r="O104" s="10"/>
      <c r="P104" s="10"/>
      <c r="Q104" s="36"/>
      <c r="R104" s="36"/>
      <c r="S104" s="36"/>
      <c r="T104" s="36"/>
      <c r="U104" s="36"/>
      <c r="V104" s="36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pans="1:31" ht="15.75" customHeight="1">
      <c r="A105" s="10"/>
      <c r="B105" s="43" t="s">
        <v>47</v>
      </c>
      <c r="C105" s="10"/>
      <c r="D105" s="10"/>
      <c r="E105" s="10"/>
      <c r="F105" s="46">
        <f t="shared" ref="F105:J105" si="69">F13/F$9</f>
        <v>9.4610802892884663E-2</v>
      </c>
      <c r="G105" s="46">
        <f t="shared" si="69"/>
        <v>8.7149818906033821E-2</v>
      </c>
      <c r="H105" s="46">
        <f t="shared" si="69"/>
        <v>8.910809360683479E-2</v>
      </c>
      <c r="I105" s="46">
        <f t="shared" si="69"/>
        <v>8.964327400345054E-2</v>
      </c>
      <c r="J105" s="46">
        <f t="shared" si="69"/>
        <v>9.0707940487220015E-2</v>
      </c>
      <c r="K105" s="76">
        <f t="shared" si="68"/>
        <v>9.0243985979284763E-2</v>
      </c>
      <c r="L105" s="10"/>
      <c r="M105" s="10"/>
      <c r="N105" s="10"/>
      <c r="O105" s="10"/>
      <c r="P105" s="10"/>
      <c r="Q105" s="36"/>
      <c r="R105" s="36"/>
      <c r="S105" s="36"/>
      <c r="T105" s="36"/>
      <c r="U105" s="36"/>
      <c r="V105" s="36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spans="1:31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36"/>
      <c r="R106" s="36"/>
      <c r="S106" s="36"/>
      <c r="T106" s="36"/>
      <c r="U106" s="36"/>
      <c r="V106" s="36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spans="1:31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36"/>
      <c r="R107" s="36"/>
      <c r="S107" s="36"/>
      <c r="T107" s="36"/>
      <c r="U107" s="36"/>
      <c r="V107" s="36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spans="1:31" ht="15.75" customHeight="1">
      <c r="A108" s="80" t="s">
        <v>33</v>
      </c>
      <c r="B108" s="237" t="s">
        <v>139</v>
      </c>
      <c r="C108" s="238"/>
      <c r="D108" s="238"/>
      <c r="E108" s="238"/>
      <c r="F108" s="238"/>
      <c r="G108" s="238"/>
      <c r="H108" s="238"/>
      <c r="I108" s="238"/>
      <c r="J108" s="238"/>
      <c r="K108" s="238"/>
      <c r="L108" s="238"/>
      <c r="M108" s="238"/>
      <c r="N108" s="238"/>
      <c r="O108" s="238"/>
      <c r="P108" s="239"/>
      <c r="Q108" s="35"/>
      <c r="R108" s="35"/>
      <c r="S108" s="35"/>
      <c r="T108" s="35"/>
      <c r="U108" s="35"/>
      <c r="V108" s="35"/>
      <c r="W108" s="34"/>
      <c r="X108" s="34"/>
      <c r="Y108" s="34"/>
      <c r="Z108" s="34"/>
      <c r="AA108" s="10"/>
      <c r="AB108" s="10"/>
      <c r="AC108" s="10"/>
      <c r="AD108" s="10"/>
      <c r="AE108" s="10"/>
    </row>
    <row r="109" spans="1:31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36"/>
      <c r="R109" s="36"/>
      <c r="S109" s="36"/>
      <c r="T109" s="36"/>
      <c r="U109" s="36"/>
      <c r="V109" s="36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spans="1:31" ht="15.75" customHeight="1">
      <c r="A110" s="10"/>
      <c r="B110" s="10"/>
      <c r="C110" s="10"/>
      <c r="D110" s="10"/>
      <c r="E110" s="68" t="s">
        <v>112</v>
      </c>
      <c r="F110" s="68" t="s">
        <v>113</v>
      </c>
      <c r="G110" s="68" t="s">
        <v>114</v>
      </c>
      <c r="H110" s="68" t="s">
        <v>115</v>
      </c>
      <c r="I110" s="68" t="s">
        <v>116</v>
      </c>
      <c r="J110" s="68" t="s">
        <v>117</v>
      </c>
      <c r="K110" s="68" t="s">
        <v>140</v>
      </c>
      <c r="L110" s="68" t="s">
        <v>141</v>
      </c>
      <c r="M110" s="68" t="s">
        <v>142</v>
      </c>
      <c r="N110" s="68" t="s">
        <v>143</v>
      </c>
      <c r="O110" s="68" t="s">
        <v>144</v>
      </c>
      <c r="P110" s="68" t="s">
        <v>145</v>
      </c>
      <c r="Q110" s="68" t="s">
        <v>146</v>
      </c>
      <c r="R110" s="68" t="s">
        <v>147</v>
      </c>
      <c r="S110" s="68" t="s">
        <v>148</v>
      </c>
      <c r="T110" s="68" t="s">
        <v>149</v>
      </c>
      <c r="U110" s="36"/>
      <c r="V110" s="36"/>
      <c r="W110" s="10"/>
      <c r="X110" s="10"/>
      <c r="Y110" s="10"/>
      <c r="Z110" s="10"/>
      <c r="AA110" s="10"/>
      <c r="AB110" s="10"/>
      <c r="AC110" s="10"/>
      <c r="AD110" s="10"/>
      <c r="AE110" s="10"/>
    </row>
    <row r="111" spans="1:31" ht="15.75" customHeight="1">
      <c r="A111" s="10"/>
      <c r="B111" s="12" t="s">
        <v>150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36"/>
      <c r="R111" s="36"/>
      <c r="S111" s="36"/>
      <c r="T111" s="36"/>
      <c r="U111" s="36"/>
      <c r="V111" s="36"/>
      <c r="W111" s="10"/>
      <c r="X111" s="10"/>
      <c r="Y111" s="10"/>
      <c r="Z111" s="10"/>
      <c r="AA111" s="10"/>
      <c r="AB111" s="10"/>
      <c r="AC111" s="10"/>
      <c r="AD111" s="10"/>
      <c r="AE111" s="10"/>
    </row>
    <row r="112" spans="1:31" ht="15.75" customHeight="1">
      <c r="A112" s="10"/>
      <c r="B112" s="81" t="s">
        <v>151</v>
      </c>
      <c r="C112" s="10"/>
      <c r="D112" s="10"/>
      <c r="E112" s="10"/>
      <c r="F112" s="44">
        <f t="shared" ref="F112:T112" si="70">E114</f>
        <v>7514</v>
      </c>
      <c r="G112" s="44">
        <f t="shared" si="70"/>
        <v>6692</v>
      </c>
      <c r="H112" s="44">
        <f t="shared" si="70"/>
        <v>6484</v>
      </c>
      <c r="I112" s="44">
        <f t="shared" si="70"/>
        <v>5377</v>
      </c>
      <c r="J112" s="44">
        <f t="shared" si="70"/>
        <v>5794</v>
      </c>
      <c r="K112" s="44">
        <f t="shared" si="70"/>
        <v>5713</v>
      </c>
      <c r="L112" s="44">
        <f t="shared" si="70"/>
        <v>5638</v>
      </c>
      <c r="M112" s="44">
        <f t="shared" si="70"/>
        <v>3388</v>
      </c>
      <c r="N112" s="44">
        <f t="shared" si="70"/>
        <v>3388</v>
      </c>
      <c r="O112" s="44">
        <f t="shared" si="70"/>
        <v>3240</v>
      </c>
      <c r="P112" s="44">
        <f t="shared" si="70"/>
        <v>1490</v>
      </c>
      <c r="Q112" s="44">
        <f t="shared" si="70"/>
        <v>1490</v>
      </c>
      <c r="R112" s="44">
        <f t="shared" si="70"/>
        <v>490</v>
      </c>
      <c r="S112" s="44">
        <f t="shared" si="70"/>
        <v>445</v>
      </c>
      <c r="T112" s="44">
        <f t="shared" si="70"/>
        <v>400</v>
      </c>
      <c r="U112" s="36"/>
      <c r="V112" s="36"/>
      <c r="W112" s="10"/>
      <c r="X112" s="10"/>
      <c r="Y112" s="10"/>
      <c r="Z112" s="10"/>
      <c r="AA112" s="10"/>
      <c r="AB112" s="10"/>
      <c r="AC112" s="10"/>
      <c r="AD112" s="10"/>
      <c r="AE112" s="10"/>
    </row>
    <row r="113" spans="1:31" ht="15.75" customHeight="1">
      <c r="A113" s="10"/>
      <c r="B113" s="81" t="s">
        <v>152</v>
      </c>
      <c r="C113" s="10"/>
      <c r="D113" s="10"/>
      <c r="E113" s="10"/>
      <c r="F113" s="44">
        <f t="shared" ref="F113:J113" si="71">F114-F112</f>
        <v>-822</v>
      </c>
      <c r="G113" s="44">
        <f t="shared" si="71"/>
        <v>-208</v>
      </c>
      <c r="H113" s="44">
        <f t="shared" si="71"/>
        <v>-1107</v>
      </c>
      <c r="I113" s="44">
        <f t="shared" si="71"/>
        <v>417</v>
      </c>
      <c r="J113" s="44">
        <f t="shared" si="71"/>
        <v>-81</v>
      </c>
      <c r="K113" s="44">
        <v>-75</v>
      </c>
      <c r="L113" s="44">
        <v>-2250</v>
      </c>
      <c r="M113" s="44">
        <v>0</v>
      </c>
      <c r="N113" s="44">
        <v>-148</v>
      </c>
      <c r="O113" s="44">
        <v>-1750</v>
      </c>
      <c r="P113" s="37" t="s">
        <v>153</v>
      </c>
      <c r="Q113" s="44">
        <v>-1000</v>
      </c>
      <c r="R113" s="44">
        <v>-45</v>
      </c>
      <c r="S113" s="44">
        <v>-45</v>
      </c>
      <c r="T113" s="44">
        <v>-45</v>
      </c>
      <c r="U113" s="36"/>
      <c r="V113" s="36"/>
      <c r="W113" s="12" t="s">
        <v>154</v>
      </c>
      <c r="X113" s="10"/>
      <c r="Y113" s="10"/>
      <c r="Z113" s="10"/>
      <c r="AA113" s="10"/>
      <c r="AB113" s="10"/>
      <c r="AC113" s="10"/>
      <c r="AD113" s="10"/>
      <c r="AE113" s="10"/>
    </row>
    <row r="114" spans="1:31" ht="15.75" customHeight="1">
      <c r="A114" s="10"/>
      <c r="B114" s="81" t="s">
        <v>155</v>
      </c>
      <c r="C114" s="10"/>
      <c r="D114" s="10"/>
      <c r="E114" s="82">
        <v>7514</v>
      </c>
      <c r="F114" s="44">
        <f t="shared" ref="F114:J114" si="72">F51</f>
        <v>6692</v>
      </c>
      <c r="G114" s="44">
        <f t="shared" si="72"/>
        <v>6484</v>
      </c>
      <c r="H114" s="44">
        <f t="shared" si="72"/>
        <v>5377</v>
      </c>
      <c r="I114" s="44">
        <f t="shared" si="72"/>
        <v>5794</v>
      </c>
      <c r="J114" s="44">
        <f t="shared" si="72"/>
        <v>5713</v>
      </c>
      <c r="K114" s="44">
        <f t="shared" ref="K114:T114" si="73">SUM(K112:K113)</f>
        <v>5638</v>
      </c>
      <c r="L114" s="44">
        <f t="shared" si="73"/>
        <v>3388</v>
      </c>
      <c r="M114" s="44">
        <f t="shared" si="73"/>
        <v>3388</v>
      </c>
      <c r="N114" s="44">
        <f t="shared" si="73"/>
        <v>3240</v>
      </c>
      <c r="O114" s="44">
        <f t="shared" si="73"/>
        <v>1490</v>
      </c>
      <c r="P114" s="44">
        <f t="shared" si="73"/>
        <v>1490</v>
      </c>
      <c r="Q114" s="44">
        <f t="shared" si="73"/>
        <v>490</v>
      </c>
      <c r="R114" s="44">
        <f t="shared" si="73"/>
        <v>445</v>
      </c>
      <c r="S114" s="44">
        <f t="shared" si="73"/>
        <v>400</v>
      </c>
      <c r="T114" s="44">
        <f t="shared" si="73"/>
        <v>355</v>
      </c>
      <c r="U114" s="36"/>
      <c r="V114" s="36"/>
      <c r="W114" s="10"/>
      <c r="X114" s="10"/>
      <c r="Y114" s="10"/>
      <c r="Z114" s="10"/>
      <c r="AA114" s="10"/>
      <c r="AB114" s="10"/>
      <c r="AC114" s="10"/>
      <c r="AD114" s="10"/>
      <c r="AE114" s="10"/>
    </row>
    <row r="115" spans="1:31" ht="15.75" customHeight="1">
      <c r="A115" s="10"/>
      <c r="B115" s="81"/>
      <c r="C115" s="10"/>
      <c r="D115" s="10"/>
      <c r="E115" s="10"/>
      <c r="F115" s="10"/>
      <c r="G115" s="10"/>
      <c r="H115" s="10"/>
      <c r="I115" s="10"/>
      <c r="J115" s="10"/>
      <c r="K115" s="44"/>
      <c r="L115" s="10"/>
      <c r="M115" s="10"/>
      <c r="N115" s="10"/>
      <c r="O115" s="10"/>
      <c r="P115" s="10"/>
      <c r="Q115" s="36"/>
      <c r="R115" s="36"/>
      <c r="S115" s="36"/>
      <c r="T115" s="36"/>
      <c r="U115" s="36"/>
      <c r="V115" s="36"/>
      <c r="W115" s="10"/>
      <c r="X115" s="10"/>
      <c r="Y115" s="10"/>
      <c r="Z115" s="10"/>
      <c r="AA115" s="10"/>
      <c r="AB115" s="10"/>
      <c r="AC115" s="10"/>
      <c r="AD115" s="10"/>
      <c r="AE115" s="10"/>
    </row>
    <row r="116" spans="1:31" ht="15.75" customHeight="1">
      <c r="A116" s="10"/>
      <c r="B116" s="81" t="s">
        <v>156</v>
      </c>
      <c r="C116" s="10"/>
      <c r="D116" s="10"/>
      <c r="E116" s="10"/>
      <c r="F116" s="44">
        <f t="shared" ref="F116:T116" si="74">(F114+E114)/2</f>
        <v>7103</v>
      </c>
      <c r="G116" s="44">
        <f t="shared" si="74"/>
        <v>6588</v>
      </c>
      <c r="H116" s="44">
        <f t="shared" si="74"/>
        <v>5930.5</v>
      </c>
      <c r="I116" s="44">
        <f t="shared" si="74"/>
        <v>5585.5</v>
      </c>
      <c r="J116" s="44">
        <f t="shared" si="74"/>
        <v>5753.5</v>
      </c>
      <c r="K116" s="44">
        <f t="shared" si="74"/>
        <v>5675.5</v>
      </c>
      <c r="L116" s="44">
        <f t="shared" si="74"/>
        <v>4513</v>
      </c>
      <c r="M116" s="44">
        <f t="shared" si="74"/>
        <v>3388</v>
      </c>
      <c r="N116" s="44">
        <f t="shared" si="74"/>
        <v>3314</v>
      </c>
      <c r="O116" s="44">
        <f t="shared" si="74"/>
        <v>2365</v>
      </c>
      <c r="P116" s="44">
        <f t="shared" si="74"/>
        <v>1490</v>
      </c>
      <c r="Q116" s="44">
        <f t="shared" si="74"/>
        <v>990</v>
      </c>
      <c r="R116" s="44">
        <f t="shared" si="74"/>
        <v>467.5</v>
      </c>
      <c r="S116" s="44">
        <f t="shared" si="74"/>
        <v>422.5</v>
      </c>
      <c r="T116" s="44">
        <f t="shared" si="74"/>
        <v>377.5</v>
      </c>
      <c r="U116" s="36"/>
      <c r="V116" s="36"/>
      <c r="W116" s="10"/>
      <c r="X116" s="10"/>
      <c r="Y116" s="10"/>
      <c r="Z116" s="10"/>
      <c r="AA116" s="10"/>
      <c r="AB116" s="10"/>
      <c r="AC116" s="10"/>
      <c r="AD116" s="10"/>
      <c r="AE116" s="10"/>
    </row>
    <row r="117" spans="1:31" ht="15.75" customHeight="1">
      <c r="A117" s="10"/>
      <c r="B117" s="81" t="s">
        <v>157</v>
      </c>
      <c r="C117" s="10"/>
      <c r="D117" s="10"/>
      <c r="E117" s="10"/>
      <c r="F117" s="24">
        <f t="shared" ref="F117:J117" si="75">-F118/F116</f>
        <v>2.4074334788117695E-2</v>
      </c>
      <c r="G117" s="24">
        <f t="shared" si="75"/>
        <v>2.398299939283546E-2</v>
      </c>
      <c r="H117" s="24">
        <f t="shared" si="75"/>
        <v>2.697917544895034E-2</v>
      </c>
      <c r="I117" s="24">
        <f t="shared" si="75"/>
        <v>3.0256915226926865E-2</v>
      </c>
      <c r="J117" s="83">
        <f t="shared" si="75"/>
        <v>2.676631615538368E-2</v>
      </c>
      <c r="K117" s="83">
        <f t="shared" ref="K117:T117" si="76">$J$117</f>
        <v>2.676631615538368E-2</v>
      </c>
      <c r="L117" s="83">
        <f t="shared" si="76"/>
        <v>2.676631615538368E-2</v>
      </c>
      <c r="M117" s="83">
        <f t="shared" si="76"/>
        <v>2.676631615538368E-2</v>
      </c>
      <c r="N117" s="83">
        <f t="shared" si="76"/>
        <v>2.676631615538368E-2</v>
      </c>
      <c r="O117" s="83">
        <f t="shared" si="76"/>
        <v>2.676631615538368E-2</v>
      </c>
      <c r="P117" s="83">
        <f t="shared" si="76"/>
        <v>2.676631615538368E-2</v>
      </c>
      <c r="Q117" s="83">
        <f t="shared" si="76"/>
        <v>2.676631615538368E-2</v>
      </c>
      <c r="R117" s="83">
        <f t="shared" si="76"/>
        <v>2.676631615538368E-2</v>
      </c>
      <c r="S117" s="83">
        <f t="shared" si="76"/>
        <v>2.676631615538368E-2</v>
      </c>
      <c r="T117" s="83">
        <f t="shared" si="76"/>
        <v>2.676631615538368E-2</v>
      </c>
      <c r="U117" s="36"/>
      <c r="V117" s="36"/>
      <c r="W117" s="10"/>
      <c r="X117" s="10"/>
      <c r="Y117" s="10"/>
      <c r="Z117" s="10"/>
      <c r="AA117" s="10"/>
      <c r="AB117" s="10"/>
      <c r="AC117" s="10"/>
      <c r="AD117" s="10"/>
      <c r="AE117" s="10"/>
    </row>
    <row r="118" spans="1:31" ht="15.75" customHeight="1">
      <c r="A118" s="10"/>
      <c r="B118" s="81" t="s">
        <v>158</v>
      </c>
      <c r="C118" s="10"/>
      <c r="D118" s="10"/>
      <c r="E118" s="10"/>
      <c r="F118" s="44">
        <f t="shared" ref="F118:J118" si="77">F17</f>
        <v>-171</v>
      </c>
      <c r="G118" s="44">
        <f t="shared" si="77"/>
        <v>-158</v>
      </c>
      <c r="H118" s="44">
        <f t="shared" si="77"/>
        <v>-160</v>
      </c>
      <c r="I118" s="44">
        <f t="shared" si="77"/>
        <v>-169</v>
      </c>
      <c r="J118" s="44">
        <f t="shared" si="77"/>
        <v>-154</v>
      </c>
      <c r="K118" s="44">
        <f t="shared" ref="K118:T118" si="78">-K116*K117</f>
        <v>-151.91222733988008</v>
      </c>
      <c r="L118" s="44">
        <f t="shared" si="78"/>
        <v>-120.79638480924655</v>
      </c>
      <c r="M118" s="44">
        <f t="shared" si="78"/>
        <v>-90.684279134439905</v>
      </c>
      <c r="N118" s="44">
        <f t="shared" si="78"/>
        <v>-88.70357173894152</v>
      </c>
      <c r="O118" s="44">
        <f t="shared" si="78"/>
        <v>-63.302337707482401</v>
      </c>
      <c r="P118" s="44">
        <f t="shared" si="78"/>
        <v>-39.881811071521682</v>
      </c>
      <c r="Q118" s="44">
        <f t="shared" si="78"/>
        <v>-26.498652993829843</v>
      </c>
      <c r="R118" s="44">
        <f t="shared" si="78"/>
        <v>-12.513252802641871</v>
      </c>
      <c r="S118" s="44">
        <f t="shared" si="78"/>
        <v>-11.308768575649605</v>
      </c>
      <c r="T118" s="44">
        <f t="shared" si="78"/>
        <v>-10.104284348657339</v>
      </c>
      <c r="U118" s="36"/>
      <c r="V118" s="36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spans="1:31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36"/>
      <c r="R119" s="36"/>
      <c r="S119" s="36"/>
      <c r="T119" s="36"/>
      <c r="U119" s="36"/>
      <c r="V119" s="36"/>
      <c r="W119" s="10"/>
      <c r="X119" s="10"/>
      <c r="Y119" s="10"/>
      <c r="Z119" s="10"/>
      <c r="AA119" s="10"/>
      <c r="AB119" s="10"/>
      <c r="AC119" s="10"/>
      <c r="AD119" s="10"/>
      <c r="AE119" s="10"/>
    </row>
    <row r="120" spans="1:31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36"/>
      <c r="R120" s="36"/>
      <c r="S120" s="36"/>
      <c r="T120" s="36"/>
      <c r="U120" s="36"/>
      <c r="V120" s="36"/>
      <c r="W120" s="10"/>
      <c r="X120" s="10"/>
      <c r="Y120" s="10"/>
      <c r="Z120" s="10"/>
      <c r="AA120" s="10"/>
      <c r="AB120" s="10"/>
      <c r="AC120" s="10"/>
      <c r="AD120" s="10"/>
      <c r="AE120" s="10"/>
    </row>
    <row r="121" spans="1:3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36"/>
      <c r="R121" s="36"/>
      <c r="S121" s="36"/>
      <c r="T121" s="36"/>
      <c r="U121" s="36"/>
      <c r="V121" s="36"/>
      <c r="W121" s="10"/>
      <c r="X121" s="10"/>
      <c r="Y121" s="10"/>
      <c r="Z121" s="10"/>
      <c r="AA121" s="10"/>
      <c r="AB121" s="10"/>
      <c r="AC121" s="10"/>
      <c r="AD121" s="10"/>
      <c r="AE121" s="10"/>
    </row>
    <row r="122" spans="1:31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36"/>
      <c r="R122" s="36"/>
      <c r="S122" s="36"/>
      <c r="T122" s="36"/>
      <c r="U122" s="36"/>
      <c r="V122" s="36"/>
      <c r="W122" s="10"/>
      <c r="X122" s="10"/>
      <c r="Y122" s="10"/>
      <c r="Z122" s="10"/>
      <c r="AA122" s="10"/>
      <c r="AB122" s="10"/>
      <c r="AC122" s="10"/>
      <c r="AD122" s="10"/>
      <c r="AE122" s="10"/>
    </row>
    <row r="123" spans="1:31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36"/>
      <c r="R123" s="36"/>
      <c r="S123" s="36"/>
      <c r="T123" s="36"/>
      <c r="U123" s="36"/>
      <c r="V123" s="36"/>
      <c r="W123" s="10"/>
      <c r="X123" s="10"/>
      <c r="Y123" s="10"/>
      <c r="Z123" s="10"/>
      <c r="AA123" s="10"/>
      <c r="AB123" s="10"/>
      <c r="AC123" s="10"/>
      <c r="AD123" s="10"/>
      <c r="AE123" s="10"/>
    </row>
    <row r="124" spans="1:31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36"/>
      <c r="R124" s="36"/>
      <c r="S124" s="36"/>
      <c r="T124" s="36"/>
      <c r="U124" s="36"/>
      <c r="V124" s="36"/>
      <c r="W124" s="10"/>
      <c r="X124" s="10"/>
      <c r="Y124" s="10"/>
      <c r="Z124" s="10"/>
      <c r="AA124" s="10"/>
      <c r="AB124" s="10"/>
      <c r="AC124" s="10"/>
      <c r="AD124" s="10"/>
      <c r="AE124" s="10"/>
    </row>
    <row r="125" spans="1:31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36"/>
      <c r="R125" s="36"/>
      <c r="S125" s="36"/>
      <c r="T125" s="36"/>
      <c r="U125" s="36"/>
      <c r="V125" s="36"/>
      <c r="W125" s="10"/>
      <c r="X125" s="10"/>
      <c r="Y125" s="10"/>
      <c r="Z125" s="10"/>
      <c r="AA125" s="10"/>
      <c r="AB125" s="10"/>
      <c r="AC125" s="10"/>
      <c r="AD125" s="10"/>
      <c r="AE125" s="10"/>
    </row>
    <row r="126" spans="1:31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36"/>
      <c r="R126" s="36"/>
      <c r="S126" s="36"/>
      <c r="T126" s="36"/>
      <c r="U126" s="36"/>
      <c r="V126" s="36"/>
      <c r="W126" s="10"/>
      <c r="X126" s="10"/>
      <c r="Y126" s="10"/>
      <c r="Z126" s="10"/>
      <c r="AA126" s="10"/>
      <c r="AB126" s="10"/>
      <c r="AC126" s="10"/>
      <c r="AD126" s="10"/>
      <c r="AE126" s="10"/>
    </row>
    <row r="127" spans="1:31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36"/>
      <c r="R127" s="36"/>
      <c r="S127" s="36"/>
      <c r="T127" s="36"/>
      <c r="U127" s="36"/>
      <c r="V127" s="36"/>
      <c r="W127" s="10"/>
      <c r="X127" s="10"/>
      <c r="Y127" s="10"/>
      <c r="Z127" s="10"/>
      <c r="AA127" s="10"/>
      <c r="AB127" s="10"/>
      <c r="AC127" s="10"/>
      <c r="AD127" s="10"/>
      <c r="AE127" s="10"/>
    </row>
    <row r="128" spans="1:31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36"/>
      <c r="R128" s="36"/>
      <c r="S128" s="36"/>
      <c r="T128" s="36"/>
      <c r="U128" s="36"/>
      <c r="V128" s="36"/>
      <c r="W128" s="10"/>
      <c r="X128" s="10"/>
      <c r="Y128" s="10"/>
      <c r="Z128" s="10"/>
      <c r="AA128" s="10"/>
      <c r="AB128" s="10"/>
      <c r="AC128" s="10"/>
      <c r="AD128" s="10"/>
      <c r="AE128" s="10"/>
    </row>
    <row r="129" spans="1:31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36"/>
      <c r="R129" s="36"/>
      <c r="S129" s="36"/>
      <c r="T129" s="36"/>
      <c r="U129" s="36"/>
      <c r="V129" s="36"/>
      <c r="W129" s="10"/>
      <c r="X129" s="10"/>
      <c r="Y129" s="10"/>
      <c r="Z129" s="10"/>
      <c r="AA129" s="10"/>
      <c r="AB129" s="10"/>
      <c r="AC129" s="10"/>
      <c r="AD129" s="10"/>
      <c r="AE129" s="10"/>
    </row>
    <row r="130" spans="1:31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36"/>
      <c r="R130" s="36"/>
      <c r="S130" s="36"/>
      <c r="T130" s="36"/>
      <c r="U130" s="36"/>
      <c r="V130" s="36"/>
      <c r="W130" s="10"/>
      <c r="X130" s="10"/>
      <c r="Y130" s="10"/>
      <c r="Z130" s="10"/>
      <c r="AA130" s="10"/>
      <c r="AB130" s="10"/>
      <c r="AC130" s="10"/>
      <c r="AD130" s="10"/>
      <c r="AE130" s="10"/>
    </row>
    <row r="131" spans="1: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36"/>
      <c r="R131" s="36"/>
      <c r="S131" s="36"/>
      <c r="T131" s="36"/>
      <c r="U131" s="36"/>
      <c r="V131" s="36"/>
      <c r="W131" s="10"/>
      <c r="X131" s="10"/>
      <c r="Y131" s="10"/>
      <c r="Z131" s="10"/>
      <c r="AA131" s="10"/>
      <c r="AB131" s="10"/>
      <c r="AC131" s="10"/>
      <c r="AD131" s="10"/>
      <c r="AE131" s="10"/>
    </row>
    <row r="132" spans="1:31" ht="15.75" customHeight="1">
      <c r="A132" s="34" t="s">
        <v>109</v>
      </c>
      <c r="B132" s="237" t="s">
        <v>159</v>
      </c>
      <c r="C132" s="238"/>
      <c r="D132" s="238"/>
      <c r="E132" s="238"/>
      <c r="F132" s="238"/>
      <c r="G132" s="238"/>
      <c r="H132" s="238"/>
      <c r="I132" s="238"/>
      <c r="J132" s="238"/>
      <c r="K132" s="238"/>
      <c r="L132" s="238"/>
      <c r="M132" s="238"/>
      <c r="N132" s="238"/>
      <c r="O132" s="238"/>
      <c r="P132" s="239"/>
      <c r="Q132" s="35"/>
      <c r="R132" s="35"/>
      <c r="S132" s="35"/>
      <c r="T132" s="35"/>
      <c r="U132" s="35"/>
      <c r="V132" s="35"/>
      <c r="W132" s="37"/>
      <c r="X132" s="37"/>
      <c r="Y132" s="37"/>
      <c r="Z132" s="37"/>
      <c r="AA132" s="37"/>
      <c r="AB132" s="10"/>
      <c r="AC132" s="10"/>
      <c r="AD132" s="10"/>
      <c r="AE132" s="10"/>
    </row>
    <row r="133" spans="1:31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36"/>
      <c r="R133" s="36"/>
      <c r="S133" s="36"/>
      <c r="T133" s="36"/>
      <c r="U133" s="36"/>
      <c r="V133" s="36"/>
      <c r="W133" s="10"/>
      <c r="X133" s="10"/>
      <c r="Y133" s="10"/>
      <c r="Z133" s="10"/>
      <c r="AA133" s="10"/>
      <c r="AB133" s="10"/>
      <c r="AC133" s="10"/>
      <c r="AD133" s="10"/>
      <c r="AE133" s="10"/>
    </row>
    <row r="134" spans="1:31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36"/>
      <c r="R134" s="36"/>
      <c r="S134" s="36"/>
      <c r="T134" s="36"/>
      <c r="U134" s="36"/>
      <c r="V134" s="36"/>
      <c r="W134" s="10"/>
      <c r="X134" s="10"/>
      <c r="Y134" s="10"/>
      <c r="Z134" s="10"/>
      <c r="AA134" s="10"/>
      <c r="AB134" s="10"/>
      <c r="AC134" s="10"/>
      <c r="AD134" s="10"/>
      <c r="AE134" s="10"/>
    </row>
    <row r="135" spans="1:31" ht="15.75" customHeight="1">
      <c r="A135" s="10"/>
      <c r="B135" s="12" t="s">
        <v>160</v>
      </c>
      <c r="C135" s="10"/>
      <c r="D135" s="10"/>
      <c r="E135" s="68" t="s">
        <v>112</v>
      </c>
      <c r="F135" s="68" t="s">
        <v>113</v>
      </c>
      <c r="G135" s="68" t="s">
        <v>114</v>
      </c>
      <c r="H135" s="68" t="s">
        <v>115</v>
      </c>
      <c r="I135" s="68" t="s">
        <v>116</v>
      </c>
      <c r="J135" s="68" t="s">
        <v>117</v>
      </c>
      <c r="K135" s="68" t="s">
        <v>140</v>
      </c>
      <c r="L135" s="68" t="s">
        <v>141</v>
      </c>
      <c r="M135" s="68" t="s">
        <v>142</v>
      </c>
      <c r="N135" s="68"/>
      <c r="O135" s="68" t="s">
        <v>161</v>
      </c>
      <c r="P135" s="68" t="s">
        <v>162</v>
      </c>
      <c r="Q135" s="68"/>
      <c r="R135" s="68"/>
      <c r="S135" s="68"/>
      <c r="T135" s="68"/>
      <c r="U135" s="68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 spans="1:31" ht="15.75" customHeight="1">
      <c r="A136" s="10"/>
      <c r="B136" s="81" t="s">
        <v>163</v>
      </c>
      <c r="C136" s="10"/>
      <c r="D136" s="10"/>
      <c r="E136" s="10"/>
      <c r="F136" s="44">
        <f t="shared" ref="F136:N136" si="79">E139</f>
        <v>21807</v>
      </c>
      <c r="G136" s="44">
        <f t="shared" si="79"/>
        <v>23492</v>
      </c>
      <c r="H136" s="44">
        <f t="shared" si="79"/>
        <v>24646</v>
      </c>
      <c r="I136" s="44">
        <f t="shared" si="79"/>
        <v>26684</v>
      </c>
      <c r="J136" s="44">
        <f t="shared" si="79"/>
        <v>29032</v>
      </c>
      <c r="K136" s="44">
        <f t="shared" si="79"/>
        <v>31909</v>
      </c>
      <c r="L136" s="44">
        <f t="shared" si="79"/>
        <v>35152.471452813887</v>
      </c>
      <c r="M136" s="44">
        <f t="shared" si="79"/>
        <v>38557.863992643252</v>
      </c>
      <c r="N136" s="44">
        <f t="shared" si="79"/>
        <v>42138.021406648564</v>
      </c>
      <c r="O136" s="36"/>
      <c r="P136" s="10"/>
      <c r="Q136" s="44"/>
      <c r="R136" s="44"/>
      <c r="S136" s="44"/>
      <c r="T136" s="44"/>
      <c r="U136" s="36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</row>
    <row r="137" spans="1:31" ht="15.75" customHeight="1">
      <c r="A137" s="10"/>
      <c r="B137" s="81" t="s">
        <v>164</v>
      </c>
      <c r="C137" s="10"/>
      <c r="D137" s="10"/>
      <c r="E137" s="10"/>
      <c r="F137" s="84">
        <f>-CASH_FLOW!L34</f>
        <v>3588</v>
      </c>
      <c r="G137" s="84">
        <f>-CASH_FLOW!J34</f>
        <v>3891</v>
      </c>
      <c r="H137" s="84">
        <f>-CASH_FLOW!H34</f>
        <v>4323</v>
      </c>
      <c r="I137" s="84">
        <f>-CASH_FLOW!F34</f>
        <v>4710</v>
      </c>
      <c r="J137" s="84">
        <f>-CASH_FLOW!D34</f>
        <v>5498</v>
      </c>
      <c r="K137" s="44">
        <f t="shared" ref="K137:N137" si="80">$O$137*K9</f>
        <v>5933.8168746809097</v>
      </c>
      <c r="L137" s="44">
        <f t="shared" si="80"/>
        <v>6404.1880857060614</v>
      </c>
      <c r="M137" s="44">
        <f t="shared" si="80"/>
        <v>6911.8540123329904</v>
      </c>
      <c r="N137" s="44">
        <f t="shared" si="80"/>
        <v>7153.7689027646447</v>
      </c>
      <c r="O137" s="85">
        <f>J137/J9</f>
        <v>1.9975657165694771E-2</v>
      </c>
      <c r="P137" s="10" t="s">
        <v>165</v>
      </c>
      <c r="Q137" s="44"/>
      <c r="R137" s="44"/>
      <c r="S137" s="44"/>
      <c r="T137" s="44"/>
      <c r="U137" s="85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</row>
    <row r="138" spans="1:31" ht="15.75" customHeight="1">
      <c r="A138" s="10"/>
      <c r="B138" s="81" t="s">
        <v>166</v>
      </c>
      <c r="C138" s="10"/>
      <c r="D138" s="10"/>
      <c r="E138" s="10"/>
      <c r="F138" s="84">
        <f t="shared" ref="F138:J138" si="81">F139-(F136+F137)</f>
        <v>-1903</v>
      </c>
      <c r="G138" s="84">
        <f t="shared" si="81"/>
        <v>-2737</v>
      </c>
      <c r="H138" s="84">
        <f t="shared" si="81"/>
        <v>-2285</v>
      </c>
      <c r="I138" s="84">
        <f t="shared" si="81"/>
        <v>-2362</v>
      </c>
      <c r="J138" s="84">
        <f t="shared" si="81"/>
        <v>-2621</v>
      </c>
      <c r="K138" s="44">
        <f t="shared" ref="K138:N138" si="82">-(K144+K145/2)*K148</f>
        <v>-2690.3454218670231</v>
      </c>
      <c r="L138" s="44">
        <f t="shared" si="82"/>
        <v>-2998.7955458766974</v>
      </c>
      <c r="M138" s="44">
        <f t="shared" si="82"/>
        <v>-3331.6965983276737</v>
      </c>
      <c r="N138" s="44">
        <f t="shared" si="82"/>
        <v>-3683.3371712051144</v>
      </c>
      <c r="O138" s="36"/>
      <c r="P138" s="10"/>
      <c r="Q138" s="44"/>
      <c r="R138" s="44"/>
      <c r="S138" s="44"/>
      <c r="T138" s="44"/>
      <c r="U138" s="36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</row>
    <row r="139" spans="1:31" ht="15.75" customHeight="1">
      <c r="A139" s="10"/>
      <c r="B139" s="81" t="s">
        <v>167</v>
      </c>
      <c r="C139" s="10"/>
      <c r="D139" s="10"/>
      <c r="E139" s="44">
        <v>21807</v>
      </c>
      <c r="F139" s="44">
        <f t="shared" ref="F139:J139" si="83">F38</f>
        <v>23492</v>
      </c>
      <c r="G139" s="44">
        <f t="shared" si="83"/>
        <v>24646</v>
      </c>
      <c r="H139" s="44">
        <f t="shared" si="83"/>
        <v>26684</v>
      </c>
      <c r="I139" s="44">
        <f t="shared" si="83"/>
        <v>29032</v>
      </c>
      <c r="J139" s="44">
        <f t="shared" si="83"/>
        <v>31909</v>
      </c>
      <c r="K139" s="86">
        <f t="shared" ref="K139:N139" si="84">SUM(K136:K138)</f>
        <v>35152.471452813887</v>
      </c>
      <c r="L139" s="86">
        <f t="shared" si="84"/>
        <v>38557.863992643252</v>
      </c>
      <c r="M139" s="86">
        <f t="shared" si="84"/>
        <v>42138.021406648564</v>
      </c>
      <c r="N139" s="86">
        <f t="shared" si="84"/>
        <v>45608.45313820809</v>
      </c>
      <c r="O139" s="36"/>
      <c r="P139" s="10"/>
      <c r="Q139" s="86"/>
      <c r="R139" s="86"/>
      <c r="S139" s="86"/>
      <c r="T139" s="86"/>
      <c r="U139" s="36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</row>
    <row r="140" spans="1:31" ht="15.75" customHeight="1">
      <c r="A140" s="10"/>
      <c r="B140" s="10"/>
      <c r="C140" s="10"/>
      <c r="D140" s="10"/>
      <c r="E140" s="10"/>
      <c r="F140" s="44"/>
      <c r="G140" s="44"/>
      <c r="H140" s="44"/>
      <c r="I140" s="44"/>
      <c r="J140" s="44"/>
      <c r="K140" s="10"/>
      <c r="L140" s="10"/>
      <c r="M140" s="10"/>
      <c r="N140" s="10"/>
      <c r="O140" s="36"/>
      <c r="P140" s="10"/>
      <c r="Q140" s="36"/>
      <c r="R140" s="36"/>
      <c r="S140" s="36"/>
      <c r="T140" s="36"/>
      <c r="U140" s="36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</row>
    <row r="141" spans="1:31" ht="15.75" customHeight="1">
      <c r="A141" s="10"/>
      <c r="B141" s="10"/>
      <c r="C141" s="10"/>
      <c r="D141" s="10"/>
      <c r="E141" s="10"/>
      <c r="F141" s="44"/>
      <c r="G141" s="44"/>
      <c r="H141" s="44"/>
      <c r="I141" s="44"/>
      <c r="J141" s="44"/>
      <c r="K141" s="10"/>
      <c r="L141" s="10"/>
      <c r="M141" s="10"/>
      <c r="N141" s="10"/>
      <c r="O141" s="36"/>
      <c r="P141" s="10"/>
      <c r="Q141" s="36"/>
      <c r="R141" s="36"/>
      <c r="S141" s="36"/>
      <c r="T141" s="36"/>
      <c r="U141" s="36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</row>
    <row r="142" spans="1:31" ht="15.75" customHeight="1">
      <c r="A142" s="10"/>
      <c r="B142" s="87" t="s">
        <v>168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36"/>
      <c r="P142" s="10"/>
      <c r="Q142" s="36"/>
      <c r="R142" s="36"/>
      <c r="S142" s="36"/>
      <c r="T142" s="36"/>
      <c r="U142" s="36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 spans="1:31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36"/>
      <c r="P143" s="10"/>
      <c r="Q143" s="36"/>
      <c r="R143" s="36"/>
      <c r="S143" s="36"/>
      <c r="T143" s="36"/>
      <c r="U143" s="36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</row>
    <row r="144" spans="1:31" ht="15.75" customHeight="1">
      <c r="A144" s="10"/>
      <c r="B144" s="10" t="s">
        <v>169</v>
      </c>
      <c r="C144" s="10"/>
      <c r="D144" s="10"/>
      <c r="E144" s="10"/>
      <c r="F144" s="44">
        <v>34703</v>
      </c>
      <c r="G144" s="44">
        <f t="shared" ref="G144:N144" si="85">F147</f>
        <v>37658</v>
      </c>
      <c r="H144" s="44">
        <f t="shared" si="85"/>
        <v>39932</v>
      </c>
      <c r="I144" s="44">
        <f t="shared" si="85"/>
        <v>43369</v>
      </c>
      <c r="J144" s="44">
        <f t="shared" si="85"/>
        <v>46950</v>
      </c>
      <c r="K144" s="44">
        <f t="shared" si="85"/>
        <v>50840</v>
      </c>
      <c r="L144" s="44">
        <f t="shared" si="85"/>
        <v>56773.81687468091</v>
      </c>
      <c r="M144" s="44">
        <f t="shared" si="85"/>
        <v>63178.00496038697</v>
      </c>
      <c r="N144" s="44">
        <f t="shared" si="85"/>
        <v>70089.858972719958</v>
      </c>
      <c r="O144" s="36"/>
      <c r="P144" s="10"/>
      <c r="Q144" s="44"/>
      <c r="R144" s="44"/>
      <c r="S144" s="44"/>
      <c r="T144" s="44"/>
      <c r="U144" s="36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</row>
    <row r="145" spans="1:31" ht="15.75" customHeight="1">
      <c r="A145" s="10"/>
      <c r="B145" s="10" t="s">
        <v>170</v>
      </c>
      <c r="C145" s="10"/>
      <c r="D145" s="10"/>
      <c r="E145" s="10"/>
      <c r="F145" s="44">
        <f t="shared" ref="F145:N145" si="86">F137</f>
        <v>3588</v>
      </c>
      <c r="G145" s="44">
        <f t="shared" si="86"/>
        <v>3891</v>
      </c>
      <c r="H145" s="44">
        <f t="shared" si="86"/>
        <v>4323</v>
      </c>
      <c r="I145" s="44">
        <f t="shared" si="86"/>
        <v>4710</v>
      </c>
      <c r="J145" s="44">
        <f t="shared" si="86"/>
        <v>5498</v>
      </c>
      <c r="K145" s="44">
        <f t="shared" si="86"/>
        <v>5933.8168746809097</v>
      </c>
      <c r="L145" s="44">
        <f t="shared" si="86"/>
        <v>6404.1880857060614</v>
      </c>
      <c r="M145" s="44">
        <f t="shared" si="86"/>
        <v>6911.8540123329904</v>
      </c>
      <c r="N145" s="44">
        <f t="shared" si="86"/>
        <v>7153.7689027646447</v>
      </c>
      <c r="O145" s="36"/>
      <c r="P145" s="10"/>
      <c r="Q145" s="44"/>
      <c r="R145" s="44"/>
      <c r="S145" s="44"/>
      <c r="T145" s="44"/>
      <c r="U145" s="36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</row>
    <row r="146" spans="1:31" ht="15.75" hidden="1" customHeight="1">
      <c r="A146" s="10"/>
      <c r="B146" s="10" t="s">
        <v>171</v>
      </c>
      <c r="C146" s="10"/>
      <c r="D146" s="10"/>
      <c r="E146" s="10"/>
      <c r="F146" s="44">
        <f t="shared" ref="F146:J146" si="87">F147-(F144+F145)</f>
        <v>-633</v>
      </c>
      <c r="G146" s="44">
        <f t="shared" si="87"/>
        <v>-1617</v>
      </c>
      <c r="H146" s="44">
        <f t="shared" si="87"/>
        <v>-886</v>
      </c>
      <c r="I146" s="44">
        <f t="shared" si="87"/>
        <v>-1129</v>
      </c>
      <c r="J146" s="44">
        <f t="shared" si="87"/>
        <v>-1608</v>
      </c>
      <c r="K146" s="44">
        <v>0</v>
      </c>
      <c r="L146" s="44">
        <v>0</v>
      </c>
      <c r="M146" s="44">
        <v>0</v>
      </c>
      <c r="N146" s="44"/>
      <c r="O146" s="36"/>
      <c r="P146" s="10"/>
      <c r="Q146" s="36"/>
      <c r="R146" s="36"/>
      <c r="S146" s="36"/>
      <c r="T146" s="36"/>
      <c r="U146" s="36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 spans="1:31" ht="15.75" customHeight="1">
      <c r="A147" s="10"/>
      <c r="B147" s="10" t="s">
        <v>172</v>
      </c>
      <c r="C147" s="10"/>
      <c r="D147" s="10"/>
      <c r="E147" s="10"/>
      <c r="F147" s="44">
        <v>37658</v>
      </c>
      <c r="G147" s="44">
        <v>39932</v>
      </c>
      <c r="H147" s="44">
        <v>43369</v>
      </c>
      <c r="I147" s="44">
        <v>46950</v>
      </c>
      <c r="J147" s="44">
        <v>50840</v>
      </c>
      <c r="K147" s="44">
        <f t="shared" ref="K147:N147" si="88">SUM(K144:K146)</f>
        <v>56773.81687468091</v>
      </c>
      <c r="L147" s="44">
        <f t="shared" si="88"/>
        <v>63178.00496038697</v>
      </c>
      <c r="M147" s="44">
        <f t="shared" si="88"/>
        <v>70089.858972719958</v>
      </c>
      <c r="N147" s="44">
        <f t="shared" si="88"/>
        <v>77243.627875484599</v>
      </c>
      <c r="O147" s="36"/>
      <c r="P147" s="10"/>
      <c r="Q147" s="44"/>
      <c r="R147" s="44"/>
      <c r="S147" s="44"/>
      <c r="T147" s="44"/>
      <c r="U147" s="36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</row>
    <row r="148" spans="1:31" ht="15.75" customHeight="1">
      <c r="A148" s="10"/>
      <c r="B148" s="10" t="s">
        <v>173</v>
      </c>
      <c r="C148" s="10"/>
      <c r="D148" s="10"/>
      <c r="E148" s="10"/>
      <c r="F148" s="46">
        <f t="shared" ref="F148:J148" si="89">-F138/(F147+F137/2)</f>
        <v>4.8235830883098449E-2</v>
      </c>
      <c r="G148" s="46">
        <f t="shared" si="89"/>
        <v>6.535729210196406E-2</v>
      </c>
      <c r="H148" s="46">
        <f t="shared" si="89"/>
        <v>5.0186138961794843E-2</v>
      </c>
      <c r="I148" s="46">
        <f t="shared" si="89"/>
        <v>4.7905891897373494E-2</v>
      </c>
      <c r="J148" s="46">
        <f t="shared" si="89"/>
        <v>4.8909291085857169E-2</v>
      </c>
      <c r="K148" s="88">
        <f t="shared" ref="K148:N148" si="90">5%</f>
        <v>0.05</v>
      </c>
      <c r="L148" s="88">
        <f t="shared" si="90"/>
        <v>0.05</v>
      </c>
      <c r="M148" s="88">
        <f t="shared" si="90"/>
        <v>0.05</v>
      </c>
      <c r="N148" s="88">
        <f t="shared" si="90"/>
        <v>0.05</v>
      </c>
      <c r="O148" s="36"/>
      <c r="P148" s="10" t="s">
        <v>174</v>
      </c>
      <c r="Q148" s="88"/>
      <c r="R148" s="88"/>
      <c r="S148" s="88"/>
      <c r="T148" s="88"/>
      <c r="U148" s="36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spans="1:31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36"/>
      <c r="R149" s="36"/>
      <c r="S149" s="36"/>
      <c r="T149" s="36"/>
      <c r="U149" s="36"/>
      <c r="V149" s="36"/>
      <c r="W149" s="10"/>
      <c r="X149" s="10"/>
      <c r="Y149" s="10"/>
      <c r="Z149" s="10"/>
      <c r="AA149" s="10"/>
      <c r="AB149" s="10"/>
      <c r="AC149" s="10"/>
      <c r="AD149" s="10"/>
      <c r="AE149" s="10"/>
    </row>
    <row r="150" spans="1:31" ht="15.75" hidden="1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36"/>
      <c r="R150" s="36"/>
      <c r="S150" s="36"/>
      <c r="T150" s="36"/>
      <c r="U150" s="36"/>
      <c r="V150" s="36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spans="1:31" ht="15.75" hidden="1" customHeight="1">
      <c r="A151" s="34" t="s">
        <v>109</v>
      </c>
      <c r="B151" s="237" t="s">
        <v>175</v>
      </c>
      <c r="C151" s="238"/>
      <c r="D151" s="238"/>
      <c r="E151" s="238"/>
      <c r="F151" s="238"/>
      <c r="G151" s="238"/>
      <c r="H151" s="238"/>
      <c r="I151" s="238"/>
      <c r="J151" s="238"/>
      <c r="K151" s="238"/>
      <c r="L151" s="238"/>
      <c r="M151" s="238"/>
      <c r="N151" s="238"/>
      <c r="O151" s="238"/>
      <c r="P151" s="239"/>
      <c r="Q151" s="36"/>
      <c r="R151" s="36"/>
      <c r="S151" s="36"/>
      <c r="T151" s="36"/>
      <c r="U151" s="36"/>
      <c r="V151" s="36"/>
      <c r="W151" s="10"/>
      <c r="X151" s="10"/>
      <c r="Y151" s="10"/>
      <c r="Z151" s="10"/>
      <c r="AA151" s="10"/>
      <c r="AB151" s="10"/>
      <c r="AC151" s="10"/>
      <c r="AD151" s="10"/>
      <c r="AE151" s="10"/>
    </row>
    <row r="152" spans="1:31" ht="15.75" hidden="1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36"/>
      <c r="R152" s="36"/>
      <c r="S152" s="36"/>
      <c r="T152" s="36"/>
      <c r="U152" s="36"/>
      <c r="V152" s="36"/>
      <c r="W152" s="10"/>
      <c r="X152" s="10"/>
      <c r="Y152" s="10"/>
      <c r="Z152" s="10"/>
      <c r="AA152" s="10"/>
      <c r="AB152" s="10"/>
      <c r="AC152" s="10"/>
      <c r="AD152" s="10"/>
      <c r="AE152" s="10"/>
    </row>
    <row r="153" spans="1:31" ht="15.75" hidden="1" customHeight="1">
      <c r="A153" s="10"/>
      <c r="B153" s="10"/>
      <c r="C153" s="10"/>
      <c r="D153" s="10"/>
      <c r="E153" s="10"/>
      <c r="F153" s="68" t="s">
        <v>113</v>
      </c>
      <c r="G153" s="68" t="s">
        <v>114</v>
      </c>
      <c r="H153" s="68" t="s">
        <v>115</v>
      </c>
      <c r="I153" s="68" t="s">
        <v>116</v>
      </c>
      <c r="J153" s="68" t="s">
        <v>117</v>
      </c>
      <c r="K153" s="10" t="s">
        <v>176</v>
      </c>
      <c r="L153" s="10"/>
      <c r="M153" s="46"/>
      <c r="N153" s="46"/>
      <c r="O153" s="46"/>
      <c r="P153" s="46"/>
      <c r="Q153" s="46"/>
      <c r="R153" s="46"/>
      <c r="S153" s="46"/>
      <c r="T153" s="46"/>
      <c r="U153" s="36"/>
      <c r="V153" s="36"/>
      <c r="W153" s="10"/>
      <c r="X153" s="10"/>
      <c r="Y153" s="10"/>
      <c r="Z153" s="10"/>
      <c r="AA153" s="10"/>
      <c r="AB153" s="10"/>
      <c r="AC153" s="10"/>
      <c r="AD153" s="10"/>
      <c r="AE153" s="10"/>
    </row>
    <row r="154" spans="1:31" ht="15.75" hidden="1" customHeight="1">
      <c r="A154" s="10"/>
      <c r="B154" s="10" t="s">
        <v>177</v>
      </c>
      <c r="C154" s="10"/>
      <c r="D154" s="10"/>
      <c r="E154" s="10"/>
      <c r="F154" s="46">
        <f t="shared" ref="F154:J154" si="91">F31/F9</f>
        <v>5.7459589953503566E-2</v>
      </c>
      <c r="G154" s="46">
        <f t="shared" si="91"/>
        <v>4.4956246640288341E-2</v>
      </c>
      <c r="H154" s="46">
        <f t="shared" si="91"/>
        <v>5.654381113541624E-2</v>
      </c>
      <c r="I154" s="46">
        <f t="shared" si="91"/>
        <v>3.8930568710135074E-2</v>
      </c>
      <c r="J154" s="46">
        <f t="shared" si="91"/>
        <v>5.1450578596472105E-2</v>
      </c>
      <c r="K154" s="46">
        <f>AVERAGE(F154:J154)</f>
        <v>4.9868159007163071E-2</v>
      </c>
      <c r="L154" s="10"/>
      <c r="M154" s="46"/>
      <c r="N154" s="46"/>
      <c r="O154" s="46"/>
      <c r="P154" s="46"/>
      <c r="Q154" s="46"/>
      <c r="R154" s="46"/>
      <c r="S154" s="46"/>
      <c r="T154" s="46"/>
      <c r="U154" s="36"/>
      <c r="V154" s="36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spans="1:31" ht="15.75" hidden="1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36"/>
      <c r="R155" s="36"/>
      <c r="S155" s="36"/>
      <c r="T155" s="36"/>
      <c r="U155" s="36"/>
      <c r="V155" s="36"/>
      <c r="W155" s="10"/>
      <c r="X155" s="10"/>
      <c r="Y155" s="10"/>
      <c r="Z155" s="10"/>
      <c r="AA155" s="10"/>
      <c r="AB155" s="10"/>
      <c r="AC155" s="10"/>
      <c r="AD155" s="10"/>
      <c r="AE155" s="10"/>
    </row>
    <row r="156" spans="1:31" ht="15.75" hidden="1" customHeight="1">
      <c r="A156" s="10"/>
      <c r="B156" s="10"/>
      <c r="C156" s="10"/>
      <c r="D156" s="10"/>
      <c r="E156" s="68" t="s">
        <v>112</v>
      </c>
      <c r="F156" s="68" t="s">
        <v>113</v>
      </c>
      <c r="G156" s="68" t="s">
        <v>114</v>
      </c>
      <c r="H156" s="68" t="s">
        <v>115</v>
      </c>
      <c r="I156" s="68" t="s">
        <v>116</v>
      </c>
      <c r="J156" s="68" t="s">
        <v>117</v>
      </c>
      <c r="K156" s="68" t="s">
        <v>140</v>
      </c>
      <c r="L156" s="68" t="s">
        <v>141</v>
      </c>
      <c r="M156" s="68" t="s">
        <v>142</v>
      </c>
      <c r="N156" s="68" t="s">
        <v>143</v>
      </c>
      <c r="O156" s="68" t="s">
        <v>144</v>
      </c>
      <c r="P156" s="68" t="s">
        <v>145</v>
      </c>
      <c r="Q156" s="68" t="s">
        <v>146</v>
      </c>
      <c r="R156" s="68" t="s">
        <v>147</v>
      </c>
      <c r="S156" s="68" t="s">
        <v>148</v>
      </c>
      <c r="T156" s="68" t="s">
        <v>149</v>
      </c>
      <c r="U156" s="36"/>
      <c r="V156" s="36"/>
      <c r="W156" s="10"/>
      <c r="X156" s="10"/>
      <c r="Y156" s="10"/>
      <c r="Z156" s="10"/>
      <c r="AA156" s="10"/>
      <c r="AB156" s="10"/>
      <c r="AC156" s="10"/>
      <c r="AD156" s="10"/>
      <c r="AE156" s="10"/>
    </row>
    <row r="157" spans="1:31" ht="15.75" hidden="1" customHeight="1">
      <c r="A157" s="10"/>
      <c r="B157" s="10" t="s">
        <v>178</v>
      </c>
      <c r="C157" s="10"/>
      <c r="D157" s="10"/>
      <c r="E157" s="10"/>
      <c r="F157" s="44">
        <f t="shared" ref="F157:J157" si="92">F31</f>
        <v>11258</v>
      </c>
      <c r="G157" s="44">
        <f t="shared" si="92"/>
        <v>10203</v>
      </c>
      <c r="H157" s="44">
        <f t="shared" si="92"/>
        <v>13700</v>
      </c>
      <c r="I157" s="44">
        <f t="shared" si="92"/>
        <v>9906</v>
      </c>
      <c r="J157" s="44">
        <f t="shared" si="92"/>
        <v>14161</v>
      </c>
      <c r="K157" s="89">
        <f t="shared" ref="K157:P157" si="93">$K$154*K9</f>
        <v>14813.456246843985</v>
      </c>
      <c r="L157" s="89">
        <f t="shared" si="93"/>
        <v>15987.712800669773</v>
      </c>
      <c r="M157" s="89">
        <f t="shared" si="93"/>
        <v>17255.073615963876</v>
      </c>
      <c r="N157" s="89">
        <f t="shared" si="93"/>
        <v>17859.001192522614</v>
      </c>
      <c r="O157" s="89">
        <f t="shared" si="93"/>
        <v>0</v>
      </c>
      <c r="P157" s="89">
        <f t="shared" si="93"/>
        <v>0</v>
      </c>
      <c r="Q157" s="89" t="e">
        <f t="shared" ref="Q157:T157" si="94">$K$154*#REF!</f>
        <v>#REF!</v>
      </c>
      <c r="R157" s="89" t="e">
        <f t="shared" si="94"/>
        <v>#REF!</v>
      </c>
      <c r="S157" s="89" t="e">
        <f t="shared" si="94"/>
        <v>#REF!</v>
      </c>
      <c r="T157" s="89" t="e">
        <f t="shared" si="94"/>
        <v>#REF!</v>
      </c>
      <c r="U157" s="36"/>
      <c r="V157" s="36"/>
      <c r="W157" s="10"/>
      <c r="X157" s="10"/>
      <c r="Y157" s="10"/>
      <c r="Z157" s="10"/>
      <c r="AA157" s="10"/>
      <c r="AB157" s="10"/>
      <c r="AC157" s="10"/>
      <c r="AD157" s="10"/>
      <c r="AE157" s="10"/>
    </row>
    <row r="158" spans="1:31" ht="15.75" hidden="1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36"/>
      <c r="R158" s="36"/>
      <c r="S158" s="36"/>
      <c r="T158" s="36"/>
      <c r="U158" s="36"/>
      <c r="V158" s="36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spans="1:31" ht="15.75" hidden="1" customHeight="1">
      <c r="A159" s="10"/>
      <c r="B159" s="10" t="s">
        <v>179</v>
      </c>
      <c r="C159" s="10"/>
      <c r="D159" s="10"/>
      <c r="E159" s="10"/>
      <c r="F159" s="10">
        <f t="shared" ref="F159:T159" si="95">E163</f>
        <v>1028</v>
      </c>
      <c r="G159" s="44">
        <f t="shared" si="95"/>
        <v>917</v>
      </c>
      <c r="H159" s="44">
        <f t="shared" si="95"/>
        <v>846</v>
      </c>
      <c r="I159" s="44">
        <f t="shared" si="95"/>
        <v>1534</v>
      </c>
      <c r="J159" s="44">
        <f t="shared" si="95"/>
        <v>1238</v>
      </c>
      <c r="K159" s="44">
        <f t="shared" si="95"/>
        <v>1123</v>
      </c>
      <c r="L159" s="44">
        <f t="shared" si="95"/>
        <v>1123</v>
      </c>
      <c r="M159" s="44">
        <f t="shared" si="95"/>
        <v>1123</v>
      </c>
      <c r="N159" s="44">
        <f t="shared" si="95"/>
        <v>1123</v>
      </c>
      <c r="O159" s="44">
        <f t="shared" si="95"/>
        <v>1162.3049999999998</v>
      </c>
      <c r="P159" s="44">
        <f t="shared" si="95"/>
        <v>0</v>
      </c>
      <c r="Q159" s="44">
        <f t="shared" si="95"/>
        <v>0</v>
      </c>
      <c r="R159" s="44" t="e">
        <f t="shared" si="95"/>
        <v>#REF!</v>
      </c>
      <c r="S159" s="44" t="e">
        <f t="shared" si="95"/>
        <v>#REF!</v>
      </c>
      <c r="T159" s="44" t="e">
        <f t="shared" si="95"/>
        <v>#REF!</v>
      </c>
      <c r="U159" s="36"/>
      <c r="V159" s="36"/>
      <c r="W159" s="10"/>
      <c r="X159" s="10"/>
      <c r="Y159" s="10"/>
      <c r="Z159" s="10"/>
      <c r="AA159" s="10"/>
      <c r="AB159" s="10"/>
      <c r="AC159" s="10"/>
      <c r="AD159" s="10"/>
      <c r="AE159" s="10"/>
    </row>
    <row r="160" spans="1:31" ht="15.75" hidden="1" customHeight="1">
      <c r="A160" s="10"/>
      <c r="B160" s="10" t="s">
        <v>180</v>
      </c>
      <c r="C160" s="10"/>
      <c r="D160" s="10"/>
      <c r="E160" s="10"/>
      <c r="F160" s="10">
        <f t="shared" ref="F160:T160" si="96">E162</f>
        <v>12277</v>
      </c>
      <c r="G160" s="44">
        <f t="shared" si="96"/>
        <v>11258</v>
      </c>
      <c r="H160" s="44">
        <f t="shared" si="96"/>
        <v>10203</v>
      </c>
      <c r="I160" s="44">
        <f t="shared" si="96"/>
        <v>13700</v>
      </c>
      <c r="J160" s="44">
        <f t="shared" si="96"/>
        <v>9906</v>
      </c>
      <c r="K160" s="44">
        <f t="shared" si="96"/>
        <v>14161</v>
      </c>
      <c r="L160" s="44">
        <f t="shared" si="96"/>
        <v>18233.953984379012</v>
      </c>
      <c r="M160" s="44">
        <f t="shared" si="96"/>
        <v>22680.912269443084</v>
      </c>
      <c r="N160" s="44">
        <f t="shared" si="96"/>
        <v>25407.199294391685</v>
      </c>
      <c r="O160" s="44">
        <f t="shared" si="96"/>
        <v>26068.461269695414</v>
      </c>
      <c r="P160" s="44">
        <f t="shared" si="96"/>
        <v>0</v>
      </c>
      <c r="Q160" s="44">
        <f t="shared" si="96"/>
        <v>0</v>
      </c>
      <c r="R160" s="44" t="e">
        <f t="shared" si="96"/>
        <v>#REF!</v>
      </c>
      <c r="S160" s="44" t="e">
        <f t="shared" si="96"/>
        <v>#REF!</v>
      </c>
      <c r="T160" s="44" t="e">
        <f t="shared" si="96"/>
        <v>#REF!</v>
      </c>
      <c r="U160" s="36"/>
      <c r="V160" s="36"/>
      <c r="W160" s="10"/>
      <c r="X160" s="10"/>
      <c r="Y160" s="10"/>
      <c r="Z160" s="10"/>
      <c r="AA160" s="10"/>
      <c r="AB160" s="10"/>
      <c r="AC160" s="10"/>
      <c r="AD160" s="10"/>
      <c r="AE160" s="10"/>
    </row>
    <row r="161" spans="1:31" ht="15.75" hidden="1" customHeight="1">
      <c r="A161" s="10"/>
      <c r="B161" s="10" t="s">
        <v>181</v>
      </c>
      <c r="C161" s="10"/>
      <c r="D161" s="10"/>
      <c r="E161" s="10"/>
      <c r="F161" s="44">
        <f t="shared" ref="F161:T161" si="97">F163-F159</f>
        <v>-111</v>
      </c>
      <c r="G161" s="44">
        <f t="shared" si="97"/>
        <v>-71</v>
      </c>
      <c r="H161" s="44">
        <f t="shared" si="97"/>
        <v>688</v>
      </c>
      <c r="I161" s="44">
        <f t="shared" si="97"/>
        <v>-296</v>
      </c>
      <c r="J161" s="44">
        <f t="shared" si="97"/>
        <v>-115</v>
      </c>
      <c r="K161" s="44">
        <f t="shared" si="97"/>
        <v>0</v>
      </c>
      <c r="L161" s="44">
        <f t="shared" si="97"/>
        <v>0</v>
      </c>
      <c r="M161" s="44">
        <f t="shared" si="97"/>
        <v>0</v>
      </c>
      <c r="N161" s="44">
        <f t="shared" si="97"/>
        <v>39.304999999999836</v>
      </c>
      <c r="O161" s="44">
        <f t="shared" si="97"/>
        <v>-1162.3049999999998</v>
      </c>
      <c r="P161" s="44">
        <f t="shared" si="97"/>
        <v>0</v>
      </c>
      <c r="Q161" s="44" t="e">
        <f t="shared" si="97"/>
        <v>#REF!</v>
      </c>
      <c r="R161" s="44" t="e">
        <f t="shared" si="97"/>
        <v>#REF!</v>
      </c>
      <c r="S161" s="44" t="e">
        <f t="shared" si="97"/>
        <v>#REF!</v>
      </c>
      <c r="T161" s="44" t="e">
        <f t="shared" si="97"/>
        <v>#REF!</v>
      </c>
      <c r="U161" s="36"/>
      <c r="V161" s="36"/>
      <c r="W161" s="10"/>
      <c r="X161" s="10"/>
      <c r="Y161" s="10"/>
      <c r="Z161" s="10"/>
      <c r="AA161" s="10"/>
      <c r="AB161" s="10"/>
      <c r="AC161" s="10"/>
      <c r="AD161" s="10"/>
      <c r="AE161" s="10"/>
    </row>
    <row r="162" spans="1:31" ht="15.75" hidden="1" customHeight="1">
      <c r="A162" s="10"/>
      <c r="B162" s="10" t="s">
        <v>182</v>
      </c>
      <c r="C162" s="10"/>
      <c r="D162" s="10"/>
      <c r="E162" s="10">
        <f>12277</f>
        <v>12277</v>
      </c>
      <c r="F162" s="44">
        <f t="shared" ref="F162:P162" si="98">F31</f>
        <v>11258</v>
      </c>
      <c r="G162" s="44">
        <f t="shared" si="98"/>
        <v>10203</v>
      </c>
      <c r="H162" s="44">
        <f t="shared" si="98"/>
        <v>13700</v>
      </c>
      <c r="I162" s="44">
        <f t="shared" si="98"/>
        <v>9906</v>
      </c>
      <c r="J162" s="44">
        <f t="shared" si="98"/>
        <v>14161</v>
      </c>
      <c r="K162" s="44">
        <f t="shared" si="98"/>
        <v>18233.953984379012</v>
      </c>
      <c r="L162" s="44">
        <f t="shared" si="98"/>
        <v>22680.912269443084</v>
      </c>
      <c r="M162" s="44">
        <f t="shared" si="98"/>
        <v>25407.199294391685</v>
      </c>
      <c r="N162" s="44">
        <f t="shared" si="98"/>
        <v>26068.461269695414</v>
      </c>
      <c r="O162" s="44">
        <f t="shared" si="98"/>
        <v>0</v>
      </c>
      <c r="P162" s="44">
        <f t="shared" si="98"/>
        <v>0</v>
      </c>
      <c r="Q162" s="44" t="e">
        <f t="shared" ref="Q162:T162" si="99">#REF!</f>
        <v>#REF!</v>
      </c>
      <c r="R162" s="44" t="e">
        <f t="shared" si="99"/>
        <v>#REF!</v>
      </c>
      <c r="S162" s="44" t="e">
        <f t="shared" si="99"/>
        <v>#REF!</v>
      </c>
      <c r="T162" s="44" t="e">
        <f t="shared" si="99"/>
        <v>#REF!</v>
      </c>
      <c r="U162" s="36"/>
      <c r="V162" s="36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spans="1:31" ht="15.75" hidden="1" customHeight="1">
      <c r="A163" s="10"/>
      <c r="B163" s="10" t="s">
        <v>183</v>
      </c>
      <c r="C163" s="10"/>
      <c r="D163" s="10"/>
      <c r="E163" s="10">
        <v>1028</v>
      </c>
      <c r="F163" s="44">
        <f t="shared" ref="F163:P163" si="100">F32</f>
        <v>917</v>
      </c>
      <c r="G163" s="44">
        <f t="shared" si="100"/>
        <v>846</v>
      </c>
      <c r="H163" s="44">
        <f t="shared" si="100"/>
        <v>1534</v>
      </c>
      <c r="I163" s="44">
        <f t="shared" si="100"/>
        <v>1238</v>
      </c>
      <c r="J163" s="44">
        <f t="shared" si="100"/>
        <v>1123</v>
      </c>
      <c r="K163" s="44">
        <f t="shared" si="100"/>
        <v>1123</v>
      </c>
      <c r="L163" s="44">
        <f t="shared" si="100"/>
        <v>1123</v>
      </c>
      <c r="M163" s="44">
        <f t="shared" si="100"/>
        <v>1123</v>
      </c>
      <c r="N163" s="44">
        <f t="shared" si="100"/>
        <v>1162.3049999999998</v>
      </c>
      <c r="O163" s="44">
        <f t="shared" si="100"/>
        <v>0</v>
      </c>
      <c r="P163" s="44">
        <f t="shared" si="100"/>
        <v>0</v>
      </c>
      <c r="Q163" s="44" t="e">
        <f t="shared" ref="Q163:T163" si="101">#REF!</f>
        <v>#REF!</v>
      </c>
      <c r="R163" s="44" t="e">
        <f t="shared" si="101"/>
        <v>#REF!</v>
      </c>
      <c r="S163" s="44" t="e">
        <f t="shared" si="101"/>
        <v>#REF!</v>
      </c>
      <c r="T163" s="44" t="e">
        <f t="shared" si="101"/>
        <v>#REF!</v>
      </c>
      <c r="U163" s="36"/>
      <c r="V163" s="36"/>
      <c r="W163" s="10"/>
      <c r="X163" s="10"/>
      <c r="Y163" s="10"/>
      <c r="Z163" s="10"/>
      <c r="AA163" s="10"/>
      <c r="AB163" s="10"/>
      <c r="AC163" s="10"/>
      <c r="AD163" s="10"/>
      <c r="AE163" s="10"/>
    </row>
    <row r="164" spans="1:31" ht="15.75" hidden="1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36"/>
      <c r="R164" s="36"/>
      <c r="S164" s="36"/>
      <c r="T164" s="36"/>
      <c r="U164" s="36"/>
      <c r="V164" s="36"/>
      <c r="W164" s="10"/>
      <c r="X164" s="10"/>
      <c r="Y164" s="10"/>
      <c r="Z164" s="10"/>
      <c r="AA164" s="10"/>
      <c r="AB164" s="10"/>
      <c r="AC164" s="10"/>
      <c r="AD164" s="10"/>
      <c r="AE164" s="10"/>
    </row>
    <row r="165" spans="1:31" ht="15.75" hidden="1" customHeight="1">
      <c r="A165" s="10"/>
      <c r="B165" s="10" t="s">
        <v>184</v>
      </c>
      <c r="C165" s="10"/>
      <c r="D165" s="10"/>
      <c r="E165" s="10"/>
      <c r="F165" s="10"/>
      <c r="G165" s="10"/>
      <c r="H165" s="10"/>
      <c r="I165" s="10"/>
      <c r="J165" s="10"/>
      <c r="K165" s="44">
        <f t="shared" ref="K165:T165" si="102">K162-K157</f>
        <v>3420.4977375350263</v>
      </c>
      <c r="L165" s="44">
        <f t="shared" si="102"/>
        <v>6693.1994687733113</v>
      </c>
      <c r="M165" s="44">
        <f t="shared" si="102"/>
        <v>8152.1256784278085</v>
      </c>
      <c r="N165" s="44">
        <f t="shared" si="102"/>
        <v>8209.4600771728001</v>
      </c>
      <c r="O165" s="44">
        <f t="shared" si="102"/>
        <v>0</v>
      </c>
      <c r="P165" s="44">
        <f t="shared" si="102"/>
        <v>0</v>
      </c>
      <c r="Q165" s="44" t="e">
        <f t="shared" si="102"/>
        <v>#REF!</v>
      </c>
      <c r="R165" s="44" t="e">
        <f t="shared" si="102"/>
        <v>#REF!</v>
      </c>
      <c r="S165" s="44" t="e">
        <f t="shared" si="102"/>
        <v>#REF!</v>
      </c>
      <c r="T165" s="44" t="e">
        <f t="shared" si="102"/>
        <v>#REF!</v>
      </c>
      <c r="U165" s="36"/>
      <c r="V165" s="36"/>
      <c r="W165" s="10"/>
      <c r="X165" s="10"/>
      <c r="Y165" s="10"/>
      <c r="Z165" s="10"/>
      <c r="AA165" s="10"/>
      <c r="AB165" s="10"/>
      <c r="AC165" s="10"/>
      <c r="AD165" s="10"/>
      <c r="AE165" s="10"/>
    </row>
    <row r="166" spans="1:31" ht="15.75" hidden="1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36"/>
      <c r="R166" s="36"/>
      <c r="S166" s="36"/>
      <c r="T166" s="36"/>
      <c r="U166" s="36"/>
      <c r="V166" s="36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spans="1:31" ht="15.75" hidden="1" customHeight="1">
      <c r="A167" s="10"/>
      <c r="B167" s="10" t="s">
        <v>185</v>
      </c>
      <c r="C167" s="10"/>
      <c r="D167" s="10"/>
      <c r="E167" s="10"/>
      <c r="F167" s="46">
        <f t="shared" ref="F167:J167" si="103">F32/F41</f>
        <v>1.5472092866302221E-2</v>
      </c>
      <c r="G167" s="46">
        <f t="shared" si="103"/>
        <v>1.3184552566779915E-2</v>
      </c>
      <c r="H167" s="46">
        <f t="shared" si="103"/>
        <v>2.2233817433400006E-2</v>
      </c>
      <c r="I167" s="46">
        <f t="shared" si="103"/>
        <v>1.7728515988601052E-2</v>
      </c>
      <c r="J167" s="46">
        <f t="shared" si="103"/>
        <v>1.4565688270924396E-2</v>
      </c>
      <c r="K167" s="90">
        <f t="shared" ref="K167:O167" si="104">$J$168*K41</f>
        <v>1434.8723722782659</v>
      </c>
      <c r="L167" s="90">
        <f t="shared" si="104"/>
        <v>1598.3849178847288</v>
      </c>
      <c r="M167" s="90">
        <f t="shared" si="104"/>
        <v>1738.7847911654783</v>
      </c>
      <c r="N167" s="90">
        <f t="shared" si="104"/>
        <v>1795.8492044046584</v>
      </c>
      <c r="O167" s="90">
        <f t="shared" si="104"/>
        <v>0</v>
      </c>
      <c r="P167" s="10"/>
      <c r="Q167" s="36"/>
      <c r="R167" s="36"/>
      <c r="S167" s="36"/>
      <c r="T167" s="36"/>
      <c r="U167" s="36"/>
      <c r="V167" s="36"/>
      <c r="W167" s="10"/>
      <c r="X167" s="10"/>
      <c r="Y167" s="10"/>
      <c r="Z167" s="10"/>
      <c r="AA167" s="10"/>
      <c r="AB167" s="10"/>
      <c r="AC167" s="10"/>
      <c r="AD167" s="10"/>
      <c r="AE167" s="10"/>
    </row>
    <row r="168" spans="1:31" ht="15.75" hidden="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46">
        <f>AVERAGE(F167:J167)</f>
        <v>1.6636933425201519E-2</v>
      </c>
      <c r="K168" s="10"/>
      <c r="L168" s="10"/>
      <c r="M168" s="10"/>
      <c r="N168" s="10"/>
      <c r="O168" s="10"/>
      <c r="P168" s="10"/>
      <c r="Q168" s="36"/>
      <c r="R168" s="36"/>
      <c r="S168" s="36"/>
      <c r="T168" s="36"/>
      <c r="U168" s="36"/>
      <c r="V168" s="36"/>
      <c r="W168" s="10"/>
      <c r="X168" s="10"/>
      <c r="Y168" s="10"/>
      <c r="Z168" s="10"/>
      <c r="AA168" s="10"/>
      <c r="AB168" s="10"/>
      <c r="AC168" s="10"/>
      <c r="AD168" s="10"/>
      <c r="AE168" s="10"/>
    </row>
    <row r="169" spans="1:31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36"/>
      <c r="R169" s="36"/>
      <c r="S169" s="36"/>
      <c r="T169" s="36"/>
      <c r="U169" s="36"/>
      <c r="V169" s="36"/>
      <c r="W169" s="10"/>
      <c r="X169" s="10"/>
      <c r="Y169" s="10"/>
      <c r="Z169" s="10"/>
      <c r="AA169" s="10"/>
      <c r="AB169" s="10"/>
      <c r="AC169" s="10"/>
      <c r="AD169" s="10"/>
      <c r="AE169" s="10"/>
    </row>
    <row r="170" spans="1:31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36"/>
      <c r="R170" s="36"/>
      <c r="S170" s="36"/>
      <c r="T170" s="36"/>
      <c r="U170" s="36"/>
      <c r="V170" s="36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spans="1:3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36"/>
      <c r="R171" s="36"/>
      <c r="S171" s="36"/>
      <c r="T171" s="36"/>
      <c r="U171" s="36"/>
      <c r="V171" s="36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spans="1:31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36"/>
      <c r="R172" s="36"/>
      <c r="S172" s="36"/>
      <c r="T172" s="36"/>
      <c r="U172" s="36"/>
      <c r="V172" s="36"/>
      <c r="W172" s="10"/>
      <c r="X172" s="10"/>
      <c r="Y172" s="10"/>
      <c r="Z172" s="10"/>
      <c r="AA172" s="10"/>
      <c r="AB172" s="10"/>
      <c r="AC172" s="10"/>
      <c r="AD172" s="10"/>
      <c r="AE172" s="10"/>
    </row>
    <row r="173" spans="1:31" ht="15.75" customHeight="1">
      <c r="A173" s="10"/>
      <c r="B173" s="81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36"/>
      <c r="R173" s="36"/>
      <c r="S173" s="36"/>
      <c r="T173" s="36"/>
      <c r="U173" s="36"/>
      <c r="V173" s="36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spans="1:31" ht="15.75" customHeight="1">
      <c r="A174" s="10"/>
      <c r="B174" s="81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36"/>
      <c r="R174" s="36"/>
      <c r="S174" s="36"/>
      <c r="T174" s="36"/>
      <c r="U174" s="36"/>
      <c r="V174" s="36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spans="1:31" ht="15.75" customHeight="1">
      <c r="A175" s="10"/>
      <c r="B175" s="81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36"/>
      <c r="R175" s="36"/>
      <c r="S175" s="36"/>
      <c r="T175" s="36"/>
      <c r="U175" s="36"/>
      <c r="V175" s="36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spans="1:31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36"/>
      <c r="R176" s="36"/>
      <c r="S176" s="36"/>
      <c r="T176" s="36"/>
      <c r="U176" s="36"/>
      <c r="V176" s="36"/>
      <c r="W176" s="10"/>
      <c r="X176" s="10"/>
      <c r="Y176" s="10"/>
      <c r="Z176" s="10"/>
      <c r="AA176" s="10"/>
      <c r="AB176" s="10"/>
      <c r="AC176" s="10"/>
      <c r="AD176" s="10"/>
      <c r="AE176" s="10"/>
    </row>
    <row r="177" spans="1:31" ht="15.75" customHeight="1">
      <c r="A177" s="10"/>
      <c r="B177" s="81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36"/>
      <c r="R177" s="36"/>
      <c r="S177" s="36"/>
      <c r="T177" s="36"/>
      <c r="U177" s="36"/>
      <c r="V177" s="36"/>
      <c r="W177" s="10"/>
      <c r="X177" s="10"/>
      <c r="Y177" s="10"/>
      <c r="Z177" s="10"/>
      <c r="AA177" s="10"/>
      <c r="AB177" s="10"/>
      <c r="AC177" s="10"/>
      <c r="AD177" s="10"/>
      <c r="AE177" s="10"/>
    </row>
    <row r="178" spans="1:31" ht="15.75" customHeight="1">
      <c r="A178" s="10"/>
      <c r="B178" s="81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36"/>
      <c r="R178" s="36"/>
      <c r="S178" s="36"/>
      <c r="T178" s="36"/>
      <c r="U178" s="36"/>
      <c r="V178" s="36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spans="1:31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36"/>
      <c r="R179" s="36"/>
      <c r="S179" s="36"/>
      <c r="T179" s="36"/>
      <c r="U179" s="36"/>
      <c r="V179" s="36"/>
      <c r="W179" s="10"/>
      <c r="X179" s="10"/>
      <c r="Y179" s="10"/>
      <c r="Z179" s="10"/>
      <c r="AA179" s="10"/>
      <c r="AB179" s="10"/>
      <c r="AC179" s="10"/>
      <c r="AD179" s="10"/>
      <c r="AE179" s="10"/>
    </row>
    <row r="180" spans="1:31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36"/>
      <c r="R180" s="36"/>
      <c r="S180" s="36"/>
      <c r="T180" s="36"/>
      <c r="U180" s="36"/>
      <c r="V180" s="36"/>
      <c r="W180" s="10"/>
      <c r="X180" s="10"/>
      <c r="Y180" s="10"/>
      <c r="Z180" s="10"/>
      <c r="AA180" s="10"/>
      <c r="AB180" s="10"/>
      <c r="AC180" s="10"/>
      <c r="AD180" s="10"/>
      <c r="AE180" s="10"/>
    </row>
    <row r="181" spans="1:3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36"/>
      <c r="R181" s="36"/>
      <c r="S181" s="36"/>
      <c r="T181" s="36"/>
      <c r="U181" s="36"/>
      <c r="V181" s="36"/>
      <c r="W181" s="10"/>
      <c r="X181" s="10"/>
      <c r="Y181" s="10"/>
      <c r="Z181" s="10"/>
      <c r="AA181" s="10"/>
      <c r="AB181" s="10"/>
      <c r="AC181" s="10"/>
      <c r="AD181" s="10"/>
      <c r="AE181" s="10"/>
    </row>
    <row r="182" spans="1:31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36"/>
      <c r="R182" s="36"/>
      <c r="S182" s="36"/>
      <c r="T182" s="36"/>
      <c r="U182" s="36"/>
      <c r="V182" s="36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spans="1:31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36"/>
      <c r="R183" s="36"/>
      <c r="S183" s="36"/>
      <c r="T183" s="36"/>
      <c r="U183" s="36"/>
      <c r="V183" s="36"/>
      <c r="W183" s="10"/>
      <c r="X183" s="10"/>
      <c r="Y183" s="10"/>
      <c r="Z183" s="10"/>
      <c r="AA183" s="10"/>
      <c r="AB183" s="10"/>
      <c r="AC183" s="10"/>
      <c r="AD183" s="10"/>
      <c r="AE183" s="10"/>
    </row>
    <row r="184" spans="1:31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36"/>
      <c r="R184" s="36"/>
      <c r="S184" s="36"/>
      <c r="T184" s="36"/>
      <c r="U184" s="36"/>
      <c r="V184" s="36"/>
      <c r="W184" s="10"/>
      <c r="X184" s="10"/>
      <c r="Y184" s="10"/>
      <c r="Z184" s="10"/>
      <c r="AA184" s="10"/>
      <c r="AB184" s="10"/>
      <c r="AC184" s="10"/>
      <c r="AD184" s="10"/>
      <c r="AE184" s="10"/>
    </row>
    <row r="185" spans="1:31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36"/>
      <c r="R185" s="36"/>
      <c r="S185" s="36"/>
      <c r="T185" s="36"/>
      <c r="U185" s="36"/>
      <c r="V185" s="36"/>
      <c r="W185" s="10"/>
      <c r="X185" s="10"/>
      <c r="Y185" s="10"/>
      <c r="Z185" s="10"/>
      <c r="AA185" s="10"/>
      <c r="AB185" s="10"/>
      <c r="AC185" s="10"/>
      <c r="AD185" s="10"/>
      <c r="AE185" s="10"/>
    </row>
    <row r="186" spans="1:31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36"/>
      <c r="R186" s="36"/>
      <c r="S186" s="36"/>
      <c r="T186" s="36"/>
      <c r="U186" s="36"/>
      <c r="V186" s="36"/>
      <c r="W186" s="10"/>
      <c r="X186" s="10"/>
      <c r="Y186" s="10"/>
      <c r="Z186" s="10"/>
      <c r="AA186" s="10"/>
      <c r="AB186" s="10"/>
      <c r="AC186" s="10"/>
      <c r="AD186" s="10"/>
      <c r="AE186" s="10"/>
    </row>
    <row r="187" spans="1:31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36"/>
      <c r="R187" s="36"/>
      <c r="S187" s="36"/>
      <c r="T187" s="36"/>
      <c r="U187" s="36"/>
      <c r="V187" s="36"/>
      <c r="W187" s="10"/>
      <c r="X187" s="10"/>
      <c r="Y187" s="10"/>
      <c r="Z187" s="10"/>
      <c r="AA187" s="10"/>
      <c r="AB187" s="10"/>
      <c r="AC187" s="10"/>
      <c r="AD187" s="10"/>
      <c r="AE187" s="10"/>
    </row>
    <row r="188" spans="1:31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36"/>
      <c r="R188" s="36"/>
      <c r="S188" s="36"/>
      <c r="T188" s="36"/>
      <c r="U188" s="36"/>
      <c r="V188" s="36"/>
      <c r="W188" s="10"/>
      <c r="X188" s="10"/>
      <c r="Y188" s="10"/>
      <c r="Z188" s="10"/>
      <c r="AA188" s="10"/>
      <c r="AB188" s="10"/>
      <c r="AC188" s="10"/>
      <c r="AD188" s="10"/>
      <c r="AE188" s="10"/>
    </row>
    <row r="189" spans="1:31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36"/>
      <c r="R189" s="36"/>
      <c r="S189" s="36"/>
      <c r="T189" s="36"/>
      <c r="U189" s="36"/>
      <c r="V189" s="36"/>
      <c r="W189" s="10"/>
      <c r="X189" s="10"/>
      <c r="Y189" s="10"/>
      <c r="Z189" s="10"/>
      <c r="AA189" s="10"/>
      <c r="AB189" s="10"/>
      <c r="AC189" s="10"/>
      <c r="AD189" s="10"/>
      <c r="AE189" s="10"/>
    </row>
    <row r="190" spans="1:31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36"/>
      <c r="R190" s="36"/>
      <c r="S190" s="36"/>
      <c r="T190" s="36"/>
      <c r="U190" s="36"/>
      <c r="V190" s="36"/>
      <c r="W190" s="10"/>
      <c r="X190" s="10"/>
      <c r="Y190" s="10"/>
      <c r="Z190" s="10"/>
      <c r="AA190" s="10"/>
      <c r="AB190" s="10"/>
      <c r="AC190" s="10"/>
      <c r="AD190" s="10"/>
      <c r="AE190" s="10"/>
    </row>
    <row r="191" spans="1:3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36"/>
      <c r="R191" s="36"/>
      <c r="S191" s="36"/>
      <c r="T191" s="36"/>
      <c r="U191" s="36"/>
      <c r="V191" s="36"/>
      <c r="W191" s="10"/>
      <c r="X191" s="10"/>
      <c r="Y191" s="10"/>
      <c r="Z191" s="10"/>
      <c r="AA191" s="10"/>
      <c r="AB191" s="10"/>
      <c r="AC191" s="10"/>
      <c r="AD191" s="10"/>
      <c r="AE191" s="10"/>
    </row>
    <row r="192" spans="1:31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36"/>
      <c r="R192" s="36"/>
      <c r="S192" s="36"/>
      <c r="T192" s="36"/>
      <c r="U192" s="36"/>
      <c r="V192" s="36"/>
      <c r="W192" s="10"/>
      <c r="X192" s="10"/>
      <c r="Y192" s="10"/>
      <c r="Z192" s="10"/>
      <c r="AA192" s="10"/>
      <c r="AB192" s="10"/>
      <c r="AC192" s="10"/>
      <c r="AD192" s="10"/>
      <c r="AE192" s="10"/>
    </row>
    <row r="193" spans="1:31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36"/>
      <c r="R193" s="36"/>
      <c r="S193" s="36"/>
      <c r="T193" s="36"/>
      <c r="U193" s="36"/>
      <c r="V193" s="36"/>
      <c r="W193" s="10"/>
      <c r="X193" s="10"/>
      <c r="Y193" s="10"/>
      <c r="Z193" s="10"/>
      <c r="AA193" s="10"/>
      <c r="AB193" s="10"/>
      <c r="AC193" s="10"/>
      <c r="AD193" s="10"/>
      <c r="AE193" s="10"/>
    </row>
    <row r="194" spans="1:31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36"/>
      <c r="R194" s="36"/>
      <c r="S194" s="36"/>
      <c r="T194" s="36"/>
      <c r="U194" s="36"/>
      <c r="V194" s="36"/>
      <c r="W194" s="10"/>
      <c r="X194" s="10"/>
      <c r="Y194" s="10"/>
      <c r="Z194" s="10"/>
      <c r="AA194" s="10"/>
      <c r="AB194" s="10"/>
      <c r="AC194" s="10"/>
      <c r="AD194" s="10"/>
      <c r="AE194" s="10"/>
    </row>
    <row r="195" spans="1:31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36"/>
      <c r="R195" s="36"/>
      <c r="S195" s="36"/>
      <c r="T195" s="36"/>
      <c r="U195" s="36"/>
      <c r="V195" s="36"/>
      <c r="W195" s="10"/>
      <c r="X195" s="10"/>
      <c r="Y195" s="10"/>
      <c r="Z195" s="10"/>
      <c r="AA195" s="10"/>
      <c r="AB195" s="10"/>
      <c r="AC195" s="10"/>
      <c r="AD195" s="10"/>
      <c r="AE195" s="10"/>
    </row>
    <row r="196" spans="1:31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36"/>
      <c r="R196" s="36"/>
      <c r="S196" s="36"/>
      <c r="T196" s="36"/>
      <c r="U196" s="36"/>
      <c r="V196" s="36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spans="1:31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36"/>
      <c r="R197" s="36"/>
      <c r="S197" s="36"/>
      <c r="T197" s="36"/>
      <c r="U197" s="36"/>
      <c r="V197" s="36"/>
      <c r="W197" s="10"/>
      <c r="X197" s="10"/>
      <c r="Y197" s="10"/>
      <c r="Z197" s="10"/>
      <c r="AA197" s="10"/>
      <c r="AB197" s="10"/>
      <c r="AC197" s="10"/>
      <c r="AD197" s="10"/>
      <c r="AE197" s="10"/>
    </row>
    <row r="198" spans="1:31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36"/>
      <c r="R198" s="36"/>
      <c r="S198" s="36"/>
      <c r="T198" s="36"/>
      <c r="U198" s="36"/>
      <c r="V198" s="36"/>
      <c r="W198" s="10"/>
      <c r="X198" s="10"/>
      <c r="Y198" s="10"/>
      <c r="Z198" s="10"/>
      <c r="AA198" s="10"/>
      <c r="AB198" s="10"/>
      <c r="AC198" s="10"/>
      <c r="AD198" s="10"/>
      <c r="AE198" s="10"/>
    </row>
    <row r="199" spans="1:31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36"/>
      <c r="R199" s="36"/>
      <c r="S199" s="36"/>
      <c r="T199" s="36"/>
      <c r="U199" s="36"/>
      <c r="V199" s="36"/>
      <c r="W199" s="10"/>
      <c r="X199" s="10"/>
      <c r="Y199" s="10"/>
      <c r="Z199" s="10"/>
      <c r="AA199" s="10"/>
      <c r="AB199" s="10"/>
      <c r="AC199" s="10"/>
      <c r="AD199" s="10"/>
      <c r="AE199" s="10"/>
    </row>
    <row r="200" spans="1:31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36"/>
      <c r="R200" s="36"/>
      <c r="S200" s="36"/>
      <c r="T200" s="36"/>
      <c r="U200" s="36"/>
      <c r="V200" s="36"/>
      <c r="W200" s="10"/>
      <c r="X200" s="10"/>
      <c r="Y200" s="10"/>
      <c r="Z200" s="10"/>
      <c r="AA200" s="10"/>
      <c r="AB200" s="10"/>
      <c r="AC200" s="10"/>
      <c r="AD200" s="10"/>
      <c r="AE200" s="10"/>
    </row>
    <row r="201" spans="1:3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36"/>
      <c r="R201" s="36"/>
      <c r="S201" s="36"/>
      <c r="T201" s="36"/>
      <c r="U201" s="36"/>
      <c r="V201" s="36"/>
      <c r="W201" s="10"/>
      <c r="X201" s="10"/>
      <c r="Y201" s="10"/>
      <c r="Z201" s="10"/>
      <c r="AA201" s="10"/>
      <c r="AB201" s="10"/>
      <c r="AC201" s="10"/>
      <c r="AD201" s="10"/>
      <c r="AE201" s="10"/>
    </row>
    <row r="202" spans="1:31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36"/>
      <c r="R202" s="36"/>
      <c r="S202" s="36"/>
      <c r="T202" s="36"/>
      <c r="U202" s="36"/>
      <c r="V202" s="36"/>
      <c r="W202" s="10"/>
      <c r="X202" s="10"/>
      <c r="Y202" s="10"/>
      <c r="Z202" s="10"/>
      <c r="AA202" s="10"/>
      <c r="AB202" s="10"/>
      <c r="AC202" s="10"/>
      <c r="AD202" s="10"/>
      <c r="AE202" s="10"/>
    </row>
    <row r="203" spans="1:31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36"/>
      <c r="R203" s="36"/>
      <c r="S203" s="36"/>
      <c r="T203" s="36"/>
      <c r="U203" s="36"/>
      <c r="V203" s="36"/>
      <c r="W203" s="10"/>
      <c r="X203" s="10"/>
      <c r="Y203" s="10"/>
      <c r="Z203" s="10"/>
      <c r="AA203" s="10"/>
      <c r="AB203" s="10"/>
      <c r="AC203" s="10"/>
      <c r="AD203" s="10"/>
      <c r="AE203" s="10"/>
    </row>
    <row r="204" spans="1:31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36"/>
      <c r="R204" s="36"/>
      <c r="S204" s="36"/>
      <c r="T204" s="36"/>
      <c r="U204" s="36"/>
      <c r="V204" s="36"/>
      <c r="W204" s="10"/>
      <c r="X204" s="10"/>
      <c r="Y204" s="10"/>
      <c r="Z204" s="10"/>
      <c r="AA204" s="10"/>
      <c r="AB204" s="10"/>
      <c r="AC204" s="10"/>
      <c r="AD204" s="10"/>
      <c r="AE204" s="10"/>
    </row>
    <row r="205" spans="1:31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36"/>
      <c r="R205" s="36"/>
      <c r="S205" s="36"/>
      <c r="T205" s="36"/>
      <c r="U205" s="36"/>
      <c r="V205" s="36"/>
      <c r="W205" s="10"/>
      <c r="X205" s="10"/>
      <c r="Y205" s="10"/>
      <c r="Z205" s="10"/>
      <c r="AA205" s="10"/>
      <c r="AB205" s="10"/>
      <c r="AC205" s="10"/>
      <c r="AD205" s="10"/>
      <c r="AE205" s="10"/>
    </row>
    <row r="206" spans="1:31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36"/>
      <c r="R206" s="36"/>
      <c r="S206" s="36"/>
      <c r="T206" s="36"/>
      <c r="U206" s="36"/>
      <c r="V206" s="36"/>
      <c r="W206" s="10"/>
      <c r="X206" s="10"/>
      <c r="Y206" s="10"/>
      <c r="Z206" s="10"/>
      <c r="AA206" s="10"/>
      <c r="AB206" s="10"/>
      <c r="AC206" s="10"/>
      <c r="AD206" s="10"/>
      <c r="AE206" s="10"/>
    </row>
    <row r="207" spans="1:31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36"/>
      <c r="R207" s="36"/>
      <c r="S207" s="36"/>
      <c r="T207" s="36"/>
      <c r="U207" s="36"/>
      <c r="V207" s="36"/>
      <c r="W207" s="10"/>
      <c r="X207" s="10"/>
      <c r="Y207" s="10"/>
      <c r="Z207" s="10"/>
      <c r="AA207" s="10"/>
      <c r="AB207" s="10"/>
      <c r="AC207" s="10"/>
      <c r="AD207" s="10"/>
      <c r="AE207" s="10"/>
    </row>
    <row r="208" spans="1:31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36"/>
      <c r="R208" s="36"/>
      <c r="S208" s="36"/>
      <c r="T208" s="36"/>
      <c r="U208" s="36"/>
      <c r="V208" s="36"/>
      <c r="W208" s="10"/>
      <c r="X208" s="10"/>
      <c r="Y208" s="10"/>
      <c r="Z208" s="10"/>
      <c r="AA208" s="10"/>
      <c r="AB208" s="10"/>
      <c r="AC208" s="10"/>
      <c r="AD208" s="10"/>
      <c r="AE208" s="10"/>
    </row>
    <row r="209" spans="1:31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36"/>
      <c r="R209" s="36"/>
      <c r="S209" s="36"/>
      <c r="T209" s="36"/>
      <c r="U209" s="36"/>
      <c r="V209" s="36"/>
      <c r="W209" s="10"/>
      <c r="X209" s="10"/>
      <c r="Y209" s="10"/>
      <c r="Z209" s="10"/>
      <c r="AA209" s="10"/>
      <c r="AB209" s="10"/>
      <c r="AC209" s="10"/>
      <c r="AD209" s="10"/>
      <c r="AE209" s="10"/>
    </row>
    <row r="210" spans="1:31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36"/>
      <c r="R210" s="36"/>
      <c r="S210" s="36"/>
      <c r="T210" s="36"/>
      <c r="U210" s="36"/>
      <c r="V210" s="36"/>
      <c r="W210" s="10"/>
      <c r="X210" s="10"/>
      <c r="Y210" s="10"/>
      <c r="Z210" s="10"/>
      <c r="AA210" s="10"/>
      <c r="AB210" s="10"/>
      <c r="AC210" s="10"/>
      <c r="AD210" s="10"/>
      <c r="AE210" s="10"/>
    </row>
    <row r="211" spans="1:3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36"/>
      <c r="R211" s="36"/>
      <c r="S211" s="36"/>
      <c r="T211" s="36"/>
      <c r="U211" s="36"/>
      <c r="V211" s="36"/>
      <c r="W211" s="10"/>
      <c r="X211" s="10"/>
      <c r="Y211" s="10"/>
      <c r="Z211" s="10"/>
      <c r="AA211" s="10"/>
      <c r="AB211" s="10"/>
      <c r="AC211" s="10"/>
      <c r="AD211" s="10"/>
      <c r="AE211" s="10"/>
    </row>
    <row r="212" spans="1:31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36"/>
      <c r="R212" s="36"/>
      <c r="S212" s="36"/>
      <c r="T212" s="36"/>
      <c r="U212" s="36"/>
      <c r="V212" s="36"/>
      <c r="W212" s="10"/>
      <c r="X212" s="10"/>
      <c r="Y212" s="10"/>
      <c r="Z212" s="10"/>
      <c r="AA212" s="10"/>
      <c r="AB212" s="10"/>
      <c r="AC212" s="10"/>
      <c r="AD212" s="10"/>
      <c r="AE212" s="10"/>
    </row>
    <row r="213" spans="1:31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36"/>
      <c r="R213" s="36"/>
      <c r="S213" s="36"/>
      <c r="T213" s="36"/>
      <c r="U213" s="36"/>
      <c r="V213" s="36"/>
      <c r="W213" s="10"/>
      <c r="X213" s="10"/>
      <c r="Y213" s="10"/>
      <c r="Z213" s="10"/>
      <c r="AA213" s="10"/>
      <c r="AB213" s="10"/>
      <c r="AC213" s="10"/>
      <c r="AD213" s="10"/>
      <c r="AE213" s="10"/>
    </row>
    <row r="214" spans="1:31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36"/>
      <c r="R214" s="36"/>
      <c r="S214" s="36"/>
      <c r="T214" s="36"/>
      <c r="U214" s="36"/>
      <c r="V214" s="36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spans="1:31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36"/>
      <c r="R215" s="36"/>
      <c r="S215" s="36"/>
      <c r="T215" s="36"/>
      <c r="U215" s="36"/>
      <c r="V215" s="36"/>
      <c r="W215" s="10"/>
      <c r="X215" s="10"/>
      <c r="Y215" s="10"/>
      <c r="Z215" s="10"/>
      <c r="AA215" s="10"/>
      <c r="AB215" s="10"/>
      <c r="AC215" s="10"/>
      <c r="AD215" s="10"/>
      <c r="AE215" s="10"/>
    </row>
    <row r="216" spans="1:31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36"/>
      <c r="R216" s="36"/>
      <c r="S216" s="36"/>
      <c r="T216" s="36"/>
      <c r="U216" s="36"/>
      <c r="V216" s="36"/>
      <c r="W216" s="10"/>
      <c r="X216" s="10"/>
      <c r="Y216" s="10"/>
      <c r="Z216" s="10"/>
      <c r="AA216" s="10"/>
      <c r="AB216" s="10"/>
      <c r="AC216" s="10"/>
      <c r="AD216" s="10"/>
      <c r="AE216" s="10"/>
    </row>
    <row r="217" spans="1:31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36"/>
      <c r="R217" s="36"/>
      <c r="S217" s="36"/>
      <c r="T217" s="36"/>
      <c r="U217" s="36"/>
      <c r="V217" s="36"/>
      <c r="W217" s="10"/>
      <c r="X217" s="10"/>
      <c r="Y217" s="10"/>
      <c r="Z217" s="10"/>
      <c r="AA217" s="10"/>
      <c r="AB217" s="10"/>
      <c r="AC217" s="10"/>
      <c r="AD217" s="10"/>
      <c r="AE217" s="10"/>
    </row>
    <row r="218" spans="1:31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36"/>
      <c r="R218" s="36"/>
      <c r="S218" s="36"/>
      <c r="T218" s="36"/>
      <c r="U218" s="36"/>
      <c r="V218" s="36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spans="1:31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36"/>
      <c r="R219" s="36"/>
      <c r="S219" s="36"/>
      <c r="T219" s="36"/>
      <c r="U219" s="36"/>
      <c r="V219" s="36"/>
      <c r="W219" s="10"/>
      <c r="X219" s="10"/>
      <c r="Y219" s="10"/>
      <c r="Z219" s="10"/>
      <c r="AA219" s="10"/>
      <c r="AB219" s="10"/>
      <c r="AC219" s="10"/>
      <c r="AD219" s="10"/>
      <c r="AE219" s="10"/>
    </row>
    <row r="220" spans="1:31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36"/>
      <c r="R220" s="36"/>
      <c r="S220" s="36"/>
      <c r="T220" s="36"/>
      <c r="U220" s="36"/>
      <c r="V220" s="36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spans="1:3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36"/>
      <c r="R221" s="36"/>
      <c r="S221" s="36"/>
      <c r="T221" s="36"/>
      <c r="U221" s="36"/>
      <c r="V221" s="36"/>
      <c r="W221" s="10"/>
      <c r="X221" s="10"/>
      <c r="Y221" s="10"/>
      <c r="Z221" s="10"/>
      <c r="AA221" s="10"/>
      <c r="AB221" s="10"/>
      <c r="AC221" s="10"/>
      <c r="AD221" s="10"/>
      <c r="AE221" s="10"/>
    </row>
    <row r="222" spans="1:31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36"/>
      <c r="R222" s="36"/>
      <c r="S222" s="36"/>
      <c r="T222" s="36"/>
      <c r="U222" s="36"/>
      <c r="V222" s="36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spans="1:31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36"/>
      <c r="R223" s="36"/>
      <c r="S223" s="36"/>
      <c r="T223" s="36"/>
      <c r="U223" s="36"/>
      <c r="V223" s="36"/>
      <c r="W223" s="10"/>
      <c r="X223" s="10"/>
      <c r="Y223" s="10"/>
      <c r="Z223" s="10"/>
      <c r="AA223" s="10"/>
      <c r="AB223" s="10"/>
      <c r="AC223" s="10"/>
      <c r="AD223" s="10"/>
      <c r="AE223" s="10"/>
    </row>
    <row r="224" spans="1:31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36"/>
      <c r="R224" s="36"/>
      <c r="S224" s="36"/>
      <c r="T224" s="36"/>
      <c r="U224" s="36"/>
      <c r="V224" s="36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spans="1:31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36"/>
      <c r="R225" s="36"/>
      <c r="S225" s="36"/>
      <c r="T225" s="36"/>
      <c r="U225" s="36"/>
      <c r="V225" s="36"/>
      <c r="W225" s="10"/>
      <c r="X225" s="10"/>
      <c r="Y225" s="10"/>
      <c r="Z225" s="10"/>
      <c r="AA225" s="10"/>
      <c r="AB225" s="10"/>
      <c r="AC225" s="10"/>
      <c r="AD225" s="10"/>
      <c r="AE225" s="10"/>
    </row>
    <row r="226" spans="1:31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36"/>
      <c r="R226" s="36"/>
      <c r="S226" s="36"/>
      <c r="T226" s="36"/>
      <c r="U226" s="36"/>
      <c r="V226" s="36"/>
      <c r="W226" s="10"/>
      <c r="X226" s="10"/>
      <c r="Y226" s="10"/>
      <c r="Z226" s="10"/>
      <c r="AA226" s="10"/>
      <c r="AB226" s="10"/>
      <c r="AC226" s="10"/>
      <c r="AD226" s="10"/>
      <c r="AE226" s="10"/>
    </row>
    <row r="227" spans="1:31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36"/>
      <c r="R227" s="36"/>
      <c r="S227" s="36"/>
      <c r="T227" s="36"/>
      <c r="U227" s="36"/>
      <c r="V227" s="36"/>
      <c r="W227" s="10"/>
      <c r="X227" s="10"/>
      <c r="Y227" s="10"/>
      <c r="Z227" s="10"/>
      <c r="AA227" s="10"/>
      <c r="AB227" s="10"/>
      <c r="AC227" s="10"/>
      <c r="AD227" s="10"/>
      <c r="AE227" s="10"/>
    </row>
    <row r="228" spans="1:31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36"/>
      <c r="R228" s="36"/>
      <c r="S228" s="36"/>
      <c r="T228" s="36"/>
      <c r="U228" s="36"/>
      <c r="V228" s="36"/>
      <c r="W228" s="10"/>
      <c r="X228" s="10"/>
      <c r="Y228" s="10"/>
      <c r="Z228" s="10"/>
      <c r="AA228" s="10"/>
      <c r="AB228" s="10"/>
      <c r="AC228" s="10"/>
      <c r="AD228" s="10"/>
      <c r="AE228" s="10"/>
    </row>
    <row r="229" spans="1:31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36"/>
      <c r="R229" s="36"/>
      <c r="S229" s="36"/>
      <c r="T229" s="36"/>
      <c r="U229" s="36"/>
      <c r="V229" s="36"/>
      <c r="W229" s="10"/>
      <c r="X229" s="10"/>
      <c r="Y229" s="10"/>
      <c r="Z229" s="10"/>
      <c r="AA229" s="10"/>
      <c r="AB229" s="10"/>
      <c r="AC229" s="10"/>
      <c r="AD229" s="10"/>
      <c r="AE229" s="10"/>
    </row>
    <row r="230" spans="1:31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36"/>
      <c r="R230" s="36"/>
      <c r="S230" s="36"/>
      <c r="T230" s="36"/>
      <c r="U230" s="36"/>
      <c r="V230" s="36"/>
      <c r="W230" s="10"/>
      <c r="X230" s="10"/>
      <c r="Y230" s="10"/>
      <c r="Z230" s="10"/>
      <c r="AA230" s="10"/>
      <c r="AB230" s="10"/>
      <c r="AC230" s="10"/>
      <c r="AD230" s="10"/>
      <c r="AE230" s="10"/>
    </row>
    <row r="231" spans="1: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36"/>
      <c r="R231" s="36"/>
      <c r="S231" s="36"/>
      <c r="T231" s="36"/>
      <c r="U231" s="36"/>
      <c r="V231" s="36"/>
      <c r="W231" s="10"/>
      <c r="X231" s="10"/>
      <c r="Y231" s="10"/>
      <c r="Z231" s="10"/>
      <c r="AA231" s="10"/>
      <c r="AB231" s="10"/>
      <c r="AC231" s="10"/>
      <c r="AD231" s="10"/>
      <c r="AE231" s="10"/>
    </row>
    <row r="232" spans="1:31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36"/>
      <c r="R232" s="36"/>
      <c r="S232" s="36"/>
      <c r="T232" s="36"/>
      <c r="U232" s="36"/>
      <c r="V232" s="36"/>
      <c r="W232" s="10"/>
      <c r="X232" s="10"/>
      <c r="Y232" s="10"/>
      <c r="Z232" s="10"/>
      <c r="AA232" s="10"/>
      <c r="AB232" s="10"/>
      <c r="AC232" s="10"/>
      <c r="AD232" s="10"/>
      <c r="AE232" s="10"/>
    </row>
    <row r="233" spans="1:31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36"/>
      <c r="R233" s="36"/>
      <c r="S233" s="36"/>
      <c r="T233" s="36"/>
      <c r="U233" s="36"/>
      <c r="V233" s="36"/>
      <c r="W233" s="10"/>
      <c r="X233" s="10"/>
      <c r="Y233" s="10"/>
      <c r="Z233" s="10"/>
      <c r="AA233" s="10"/>
      <c r="AB233" s="10"/>
      <c r="AC233" s="10"/>
      <c r="AD233" s="10"/>
      <c r="AE233" s="10"/>
    </row>
    <row r="234" spans="1:31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36"/>
      <c r="R234" s="36"/>
      <c r="S234" s="36"/>
      <c r="T234" s="36"/>
      <c r="U234" s="36"/>
      <c r="V234" s="36"/>
      <c r="W234" s="10"/>
      <c r="X234" s="10"/>
      <c r="Y234" s="10"/>
      <c r="Z234" s="10"/>
      <c r="AA234" s="10"/>
      <c r="AB234" s="10"/>
      <c r="AC234" s="10"/>
      <c r="AD234" s="10"/>
      <c r="AE234" s="10"/>
    </row>
    <row r="235" spans="1:31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36"/>
      <c r="R235" s="36"/>
      <c r="S235" s="36"/>
      <c r="T235" s="36"/>
      <c r="U235" s="36"/>
      <c r="V235" s="36"/>
      <c r="W235" s="10"/>
      <c r="X235" s="10"/>
      <c r="Y235" s="10"/>
      <c r="Z235" s="10"/>
      <c r="AA235" s="10"/>
      <c r="AB235" s="10"/>
      <c r="AC235" s="10"/>
      <c r="AD235" s="10"/>
      <c r="AE235" s="10"/>
    </row>
    <row r="236" spans="1:31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36"/>
      <c r="R236" s="36"/>
      <c r="S236" s="36"/>
      <c r="T236" s="36"/>
      <c r="U236" s="36"/>
      <c r="V236" s="36"/>
      <c r="W236" s="10"/>
      <c r="X236" s="10"/>
      <c r="Y236" s="10"/>
      <c r="Z236" s="10"/>
      <c r="AA236" s="10"/>
      <c r="AB236" s="10"/>
      <c r="AC236" s="10"/>
      <c r="AD236" s="10"/>
      <c r="AE236" s="10"/>
    </row>
    <row r="237" spans="1:31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36"/>
      <c r="R237" s="36"/>
      <c r="S237" s="36"/>
      <c r="T237" s="36"/>
      <c r="U237" s="36"/>
      <c r="V237" s="36"/>
      <c r="W237" s="10"/>
      <c r="X237" s="10"/>
      <c r="Y237" s="10"/>
      <c r="Z237" s="10"/>
      <c r="AA237" s="10"/>
      <c r="AB237" s="10"/>
      <c r="AC237" s="10"/>
      <c r="AD237" s="10"/>
      <c r="AE237" s="10"/>
    </row>
    <row r="238" spans="1:31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36"/>
      <c r="R238" s="36"/>
      <c r="S238" s="36"/>
      <c r="T238" s="36"/>
      <c r="U238" s="36"/>
      <c r="V238" s="36"/>
      <c r="W238" s="10"/>
      <c r="X238" s="10"/>
      <c r="Y238" s="10"/>
      <c r="Z238" s="10"/>
      <c r="AA238" s="10"/>
      <c r="AB238" s="10"/>
      <c r="AC238" s="10"/>
      <c r="AD238" s="10"/>
      <c r="AE238" s="10"/>
    </row>
    <row r="239" spans="1:31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36"/>
      <c r="R239" s="36"/>
      <c r="S239" s="36"/>
      <c r="T239" s="36"/>
      <c r="U239" s="36"/>
      <c r="V239" s="36"/>
      <c r="W239" s="10"/>
      <c r="X239" s="10"/>
      <c r="Y239" s="10"/>
      <c r="Z239" s="10"/>
      <c r="AA239" s="10"/>
      <c r="AB239" s="10"/>
      <c r="AC239" s="10"/>
      <c r="AD239" s="10"/>
      <c r="AE239" s="10"/>
    </row>
    <row r="240" spans="1:31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36"/>
      <c r="R240" s="36"/>
      <c r="S240" s="36"/>
      <c r="T240" s="36"/>
      <c r="U240" s="36"/>
      <c r="V240" s="36"/>
      <c r="W240" s="10"/>
      <c r="X240" s="10"/>
      <c r="Y240" s="10"/>
      <c r="Z240" s="10"/>
      <c r="AA240" s="10"/>
      <c r="AB240" s="10"/>
      <c r="AC240" s="10"/>
      <c r="AD240" s="10"/>
      <c r="AE240" s="10"/>
    </row>
    <row r="241" spans="1:3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36"/>
      <c r="R241" s="36"/>
      <c r="S241" s="36"/>
      <c r="T241" s="36"/>
      <c r="U241" s="36"/>
      <c r="V241" s="36"/>
      <c r="W241" s="10"/>
      <c r="X241" s="10"/>
      <c r="Y241" s="10"/>
      <c r="Z241" s="10"/>
      <c r="AA241" s="10"/>
      <c r="AB241" s="10"/>
      <c r="AC241" s="10"/>
      <c r="AD241" s="10"/>
      <c r="AE241" s="10"/>
    </row>
    <row r="242" spans="1:31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36"/>
      <c r="R242" s="36"/>
      <c r="S242" s="36"/>
      <c r="T242" s="36"/>
      <c r="U242" s="36"/>
      <c r="V242" s="36"/>
      <c r="W242" s="10"/>
      <c r="X242" s="10"/>
      <c r="Y242" s="10"/>
      <c r="Z242" s="10"/>
      <c r="AA242" s="10"/>
      <c r="AB242" s="10"/>
      <c r="AC242" s="10"/>
      <c r="AD242" s="10"/>
      <c r="AE242" s="10"/>
    </row>
    <row r="243" spans="1:31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36"/>
      <c r="R243" s="36"/>
      <c r="S243" s="36"/>
      <c r="T243" s="36"/>
      <c r="U243" s="36"/>
      <c r="V243" s="36"/>
      <c r="W243" s="10"/>
      <c r="X243" s="10"/>
      <c r="Y243" s="10"/>
      <c r="Z243" s="10"/>
      <c r="AA243" s="10"/>
      <c r="AB243" s="10"/>
      <c r="AC243" s="10"/>
      <c r="AD243" s="10"/>
      <c r="AE243" s="10"/>
    </row>
    <row r="244" spans="1:31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36"/>
      <c r="R244" s="36"/>
      <c r="S244" s="36"/>
      <c r="T244" s="36"/>
      <c r="U244" s="36"/>
      <c r="V244" s="36"/>
      <c r="W244" s="10"/>
      <c r="X244" s="10"/>
      <c r="Y244" s="10"/>
      <c r="Z244" s="10"/>
      <c r="AA244" s="10"/>
      <c r="AB244" s="10"/>
      <c r="AC244" s="10"/>
      <c r="AD244" s="10"/>
      <c r="AE244" s="10"/>
    </row>
    <row r="245" spans="1:31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36"/>
      <c r="R245" s="36"/>
      <c r="S245" s="36"/>
      <c r="T245" s="36"/>
      <c r="U245" s="36"/>
      <c r="V245" s="36"/>
      <c r="W245" s="10"/>
      <c r="X245" s="10"/>
      <c r="Y245" s="10"/>
      <c r="Z245" s="10"/>
      <c r="AA245" s="10"/>
      <c r="AB245" s="10"/>
      <c r="AC245" s="10"/>
      <c r="AD245" s="10"/>
      <c r="AE245" s="10"/>
    </row>
    <row r="246" spans="1:31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36"/>
      <c r="R246" s="36"/>
      <c r="S246" s="36"/>
      <c r="T246" s="36"/>
      <c r="U246" s="36"/>
      <c r="V246" s="36"/>
      <c r="W246" s="10"/>
      <c r="X246" s="10"/>
      <c r="Y246" s="10"/>
      <c r="Z246" s="10"/>
      <c r="AA246" s="10"/>
      <c r="AB246" s="10"/>
      <c r="AC246" s="10"/>
      <c r="AD246" s="10"/>
      <c r="AE246" s="10"/>
    </row>
    <row r="247" spans="1:31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36"/>
      <c r="R247" s="36"/>
      <c r="S247" s="36"/>
      <c r="T247" s="36"/>
      <c r="U247" s="36"/>
      <c r="V247" s="36"/>
      <c r="W247" s="10"/>
      <c r="X247" s="10"/>
      <c r="Y247" s="10"/>
      <c r="Z247" s="10"/>
      <c r="AA247" s="10"/>
      <c r="AB247" s="10"/>
      <c r="AC247" s="10"/>
      <c r="AD247" s="10"/>
      <c r="AE247" s="10"/>
    </row>
    <row r="248" spans="1:31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36"/>
      <c r="R248" s="36"/>
      <c r="S248" s="36"/>
      <c r="T248" s="36"/>
      <c r="U248" s="36"/>
      <c r="V248" s="36"/>
      <c r="W248" s="10"/>
      <c r="X248" s="10"/>
      <c r="Y248" s="10"/>
      <c r="Z248" s="10"/>
      <c r="AA248" s="10"/>
      <c r="AB248" s="10"/>
      <c r="AC248" s="10"/>
      <c r="AD248" s="10"/>
      <c r="AE248" s="10"/>
    </row>
    <row r="249" spans="1:31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36"/>
      <c r="R249" s="36"/>
      <c r="S249" s="36"/>
      <c r="T249" s="36"/>
      <c r="U249" s="36"/>
      <c r="V249" s="36"/>
      <c r="W249" s="10"/>
      <c r="X249" s="10"/>
      <c r="Y249" s="10"/>
      <c r="Z249" s="10"/>
      <c r="AA249" s="10"/>
      <c r="AB249" s="10"/>
      <c r="AC249" s="10"/>
      <c r="AD249" s="10"/>
      <c r="AE249" s="10"/>
    </row>
    <row r="250" spans="1:31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36"/>
      <c r="R250" s="36"/>
      <c r="S250" s="36"/>
      <c r="T250" s="36"/>
      <c r="U250" s="36"/>
      <c r="V250" s="36"/>
      <c r="W250" s="10"/>
      <c r="X250" s="10"/>
      <c r="Y250" s="10"/>
      <c r="Z250" s="10"/>
      <c r="AA250" s="10"/>
      <c r="AB250" s="10"/>
      <c r="AC250" s="10"/>
      <c r="AD250" s="10"/>
      <c r="AE250" s="10"/>
    </row>
    <row r="251" spans="1:3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36"/>
      <c r="R251" s="36"/>
      <c r="S251" s="36"/>
      <c r="T251" s="36"/>
      <c r="U251" s="36"/>
      <c r="V251" s="36"/>
      <c r="W251" s="10"/>
      <c r="X251" s="10"/>
      <c r="Y251" s="10"/>
      <c r="Z251" s="10"/>
      <c r="AA251" s="10"/>
      <c r="AB251" s="10"/>
      <c r="AC251" s="10"/>
      <c r="AD251" s="10"/>
      <c r="AE251" s="10"/>
    </row>
    <row r="252" spans="1:31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36"/>
      <c r="R252" s="36"/>
      <c r="S252" s="36"/>
      <c r="T252" s="36"/>
      <c r="U252" s="36"/>
      <c r="V252" s="36"/>
      <c r="W252" s="10"/>
      <c r="X252" s="10"/>
      <c r="Y252" s="10"/>
      <c r="Z252" s="10"/>
      <c r="AA252" s="10"/>
      <c r="AB252" s="10"/>
      <c r="AC252" s="10"/>
      <c r="AD252" s="10"/>
      <c r="AE252" s="10"/>
    </row>
    <row r="253" spans="1:31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36"/>
      <c r="R253" s="36"/>
      <c r="S253" s="36"/>
      <c r="T253" s="36"/>
      <c r="U253" s="36"/>
      <c r="V253" s="36"/>
      <c r="W253" s="10"/>
      <c r="X253" s="10"/>
      <c r="Y253" s="10"/>
      <c r="Z253" s="10"/>
      <c r="AA253" s="10"/>
      <c r="AB253" s="10"/>
      <c r="AC253" s="10"/>
      <c r="AD253" s="10"/>
      <c r="AE253" s="10"/>
    </row>
    <row r="254" spans="1:31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36"/>
      <c r="R254" s="36"/>
      <c r="S254" s="36"/>
      <c r="T254" s="36"/>
      <c r="U254" s="36"/>
      <c r="V254" s="36"/>
      <c r="W254" s="10"/>
      <c r="X254" s="10"/>
      <c r="Y254" s="10"/>
      <c r="Z254" s="10"/>
      <c r="AA254" s="10"/>
      <c r="AB254" s="10"/>
      <c r="AC254" s="10"/>
      <c r="AD254" s="10"/>
      <c r="AE254" s="10"/>
    </row>
    <row r="255" spans="1:31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36"/>
      <c r="R255" s="36"/>
      <c r="S255" s="36"/>
      <c r="T255" s="36"/>
      <c r="U255" s="36"/>
      <c r="V255" s="36"/>
      <c r="W255" s="10"/>
      <c r="X255" s="10"/>
      <c r="Y255" s="10"/>
      <c r="Z255" s="10"/>
      <c r="AA255" s="10"/>
      <c r="AB255" s="10"/>
      <c r="AC255" s="10"/>
      <c r="AD255" s="10"/>
      <c r="AE255" s="10"/>
    </row>
    <row r="256" spans="1:31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36"/>
      <c r="R256" s="36"/>
      <c r="S256" s="36"/>
      <c r="T256" s="36"/>
      <c r="U256" s="36"/>
      <c r="V256" s="36"/>
      <c r="W256" s="10"/>
      <c r="X256" s="10"/>
      <c r="Y256" s="10"/>
      <c r="Z256" s="10"/>
      <c r="AA256" s="10"/>
      <c r="AB256" s="10"/>
      <c r="AC256" s="10"/>
      <c r="AD256" s="10"/>
      <c r="AE256" s="10"/>
    </row>
    <row r="257" spans="1:31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36"/>
      <c r="R257" s="36"/>
      <c r="S257" s="36"/>
      <c r="T257" s="36"/>
      <c r="U257" s="36"/>
      <c r="V257" s="36"/>
      <c r="W257" s="10"/>
      <c r="X257" s="10"/>
      <c r="Y257" s="10"/>
      <c r="Z257" s="10"/>
      <c r="AA257" s="10"/>
      <c r="AB257" s="10"/>
      <c r="AC257" s="10"/>
      <c r="AD257" s="10"/>
      <c r="AE257" s="10"/>
    </row>
    <row r="258" spans="1:31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36"/>
      <c r="R258" s="36"/>
      <c r="S258" s="36"/>
      <c r="T258" s="36"/>
      <c r="U258" s="36"/>
      <c r="V258" s="36"/>
      <c r="W258" s="10"/>
      <c r="X258" s="10"/>
      <c r="Y258" s="10"/>
      <c r="Z258" s="10"/>
      <c r="AA258" s="10"/>
      <c r="AB258" s="10"/>
      <c r="AC258" s="10"/>
      <c r="AD258" s="10"/>
      <c r="AE258" s="10"/>
    </row>
    <row r="259" spans="1:31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36"/>
      <c r="R259" s="36"/>
      <c r="S259" s="36"/>
      <c r="T259" s="36"/>
      <c r="U259" s="36"/>
      <c r="V259" s="36"/>
      <c r="W259" s="10"/>
      <c r="X259" s="10"/>
      <c r="Y259" s="10"/>
      <c r="Z259" s="10"/>
      <c r="AA259" s="10"/>
      <c r="AB259" s="10"/>
      <c r="AC259" s="10"/>
      <c r="AD259" s="10"/>
      <c r="AE259" s="10"/>
    </row>
    <row r="260" spans="1:31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36"/>
      <c r="R260" s="36"/>
      <c r="S260" s="36"/>
      <c r="T260" s="36"/>
      <c r="U260" s="36"/>
      <c r="V260" s="36"/>
      <c r="W260" s="10"/>
      <c r="X260" s="10"/>
      <c r="Y260" s="10"/>
      <c r="Z260" s="10"/>
      <c r="AA260" s="10"/>
      <c r="AB260" s="10"/>
      <c r="AC260" s="10"/>
      <c r="AD260" s="10"/>
      <c r="AE260" s="10"/>
    </row>
    <row r="261" spans="1:3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36"/>
      <c r="R261" s="36"/>
      <c r="S261" s="36"/>
      <c r="T261" s="36"/>
      <c r="U261" s="36"/>
      <c r="V261" s="36"/>
      <c r="W261" s="10"/>
      <c r="X261" s="10"/>
      <c r="Y261" s="10"/>
      <c r="Z261" s="10"/>
      <c r="AA261" s="10"/>
      <c r="AB261" s="10"/>
      <c r="AC261" s="10"/>
      <c r="AD261" s="10"/>
      <c r="AE261" s="10"/>
    </row>
    <row r="262" spans="1:31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36"/>
      <c r="R262" s="36"/>
      <c r="S262" s="36"/>
      <c r="T262" s="36"/>
      <c r="U262" s="36"/>
      <c r="V262" s="36"/>
      <c r="W262" s="10"/>
      <c r="X262" s="10"/>
      <c r="Y262" s="10"/>
      <c r="Z262" s="10"/>
      <c r="AA262" s="10"/>
      <c r="AB262" s="10"/>
      <c r="AC262" s="10"/>
      <c r="AD262" s="10"/>
      <c r="AE262" s="10"/>
    </row>
    <row r="263" spans="1:31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36"/>
      <c r="R263" s="36"/>
      <c r="S263" s="36"/>
      <c r="T263" s="36"/>
      <c r="U263" s="36"/>
      <c r="V263" s="36"/>
      <c r="W263" s="10"/>
      <c r="X263" s="10"/>
      <c r="Y263" s="10"/>
      <c r="Z263" s="10"/>
      <c r="AA263" s="10"/>
      <c r="AB263" s="10"/>
      <c r="AC263" s="10"/>
      <c r="AD263" s="10"/>
      <c r="AE263" s="10"/>
    </row>
    <row r="264" spans="1:31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36"/>
      <c r="R264" s="36"/>
      <c r="S264" s="36"/>
      <c r="T264" s="36"/>
      <c r="U264" s="36"/>
      <c r="V264" s="36"/>
      <c r="W264" s="10"/>
      <c r="X264" s="10"/>
      <c r="Y264" s="10"/>
      <c r="Z264" s="10"/>
      <c r="AA264" s="10"/>
      <c r="AB264" s="10"/>
      <c r="AC264" s="10"/>
      <c r="AD264" s="10"/>
      <c r="AE264" s="10"/>
    </row>
    <row r="265" spans="1:31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36"/>
      <c r="R265" s="36"/>
      <c r="S265" s="36"/>
      <c r="T265" s="36"/>
      <c r="U265" s="36"/>
      <c r="V265" s="36"/>
      <c r="W265" s="10"/>
      <c r="X265" s="10"/>
      <c r="Y265" s="10"/>
      <c r="Z265" s="10"/>
      <c r="AA265" s="10"/>
      <c r="AB265" s="10"/>
      <c r="AC265" s="10"/>
      <c r="AD265" s="10"/>
      <c r="AE265" s="10"/>
    </row>
    <row r="266" spans="1:31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36"/>
      <c r="R266" s="36"/>
      <c r="S266" s="36"/>
      <c r="T266" s="36"/>
      <c r="U266" s="36"/>
      <c r="V266" s="36"/>
      <c r="W266" s="10"/>
      <c r="X266" s="10"/>
      <c r="Y266" s="10"/>
      <c r="Z266" s="10"/>
      <c r="AA266" s="10"/>
      <c r="AB266" s="10"/>
      <c r="AC266" s="10"/>
      <c r="AD266" s="10"/>
      <c r="AE266" s="10"/>
    </row>
    <row r="267" spans="1:31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36"/>
      <c r="R267" s="36"/>
      <c r="S267" s="36"/>
      <c r="T267" s="36"/>
      <c r="U267" s="36"/>
      <c r="V267" s="36"/>
      <c r="W267" s="10"/>
      <c r="X267" s="10"/>
      <c r="Y267" s="10"/>
      <c r="Z267" s="10"/>
      <c r="AA267" s="10"/>
      <c r="AB267" s="10"/>
      <c r="AC267" s="10"/>
      <c r="AD267" s="10"/>
      <c r="AE267" s="10"/>
    </row>
    <row r="268" spans="1:31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36"/>
      <c r="R268" s="36"/>
      <c r="S268" s="36"/>
      <c r="T268" s="36"/>
      <c r="U268" s="36"/>
      <c r="V268" s="36"/>
      <c r="W268" s="10"/>
      <c r="X268" s="10"/>
      <c r="Y268" s="10"/>
      <c r="Z268" s="10"/>
      <c r="AA268" s="10"/>
      <c r="AB268" s="10"/>
      <c r="AC268" s="10"/>
      <c r="AD268" s="10"/>
      <c r="AE268" s="10"/>
    </row>
    <row r="269" spans="1:31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36"/>
      <c r="R269" s="36"/>
      <c r="S269" s="36"/>
      <c r="T269" s="36"/>
      <c r="U269" s="36"/>
      <c r="V269" s="36"/>
      <c r="W269" s="10"/>
      <c r="X269" s="10"/>
      <c r="Y269" s="10"/>
      <c r="Z269" s="10"/>
      <c r="AA269" s="10"/>
      <c r="AB269" s="10"/>
      <c r="AC269" s="10"/>
      <c r="AD269" s="10"/>
      <c r="AE269" s="10"/>
    </row>
    <row r="270" spans="1:31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36"/>
      <c r="R270" s="36"/>
      <c r="S270" s="36"/>
      <c r="T270" s="36"/>
      <c r="U270" s="36"/>
      <c r="V270" s="36"/>
      <c r="W270" s="10"/>
      <c r="X270" s="10"/>
      <c r="Y270" s="10"/>
      <c r="Z270" s="10"/>
      <c r="AA270" s="10"/>
      <c r="AB270" s="10"/>
      <c r="AC270" s="10"/>
      <c r="AD270" s="10"/>
      <c r="AE270" s="10"/>
    </row>
    <row r="271" spans="1:3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36"/>
      <c r="R271" s="36"/>
      <c r="S271" s="36"/>
      <c r="T271" s="36"/>
      <c r="U271" s="36"/>
      <c r="V271" s="36"/>
      <c r="W271" s="10"/>
      <c r="X271" s="10"/>
      <c r="Y271" s="10"/>
      <c r="Z271" s="10"/>
      <c r="AA271" s="10"/>
      <c r="AB271" s="10"/>
      <c r="AC271" s="10"/>
      <c r="AD271" s="10"/>
      <c r="AE271" s="10"/>
    </row>
    <row r="272" spans="1:31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36"/>
      <c r="R272" s="36"/>
      <c r="S272" s="36"/>
      <c r="T272" s="36"/>
      <c r="U272" s="36"/>
      <c r="V272" s="36"/>
      <c r="W272" s="10"/>
      <c r="X272" s="10"/>
      <c r="Y272" s="10"/>
      <c r="Z272" s="10"/>
      <c r="AA272" s="10"/>
      <c r="AB272" s="10"/>
      <c r="AC272" s="10"/>
      <c r="AD272" s="10"/>
      <c r="AE272" s="10"/>
    </row>
    <row r="273" spans="1:31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36"/>
      <c r="R273" s="36"/>
      <c r="S273" s="36"/>
      <c r="T273" s="36"/>
      <c r="U273" s="36"/>
      <c r="V273" s="36"/>
      <c r="W273" s="10"/>
      <c r="X273" s="10"/>
      <c r="Y273" s="10"/>
      <c r="Z273" s="10"/>
      <c r="AA273" s="10"/>
      <c r="AB273" s="10"/>
      <c r="AC273" s="10"/>
      <c r="AD273" s="10"/>
      <c r="AE273" s="10"/>
    </row>
    <row r="274" spans="1:31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36"/>
      <c r="R274" s="36"/>
      <c r="S274" s="36"/>
      <c r="T274" s="36"/>
      <c r="U274" s="36"/>
      <c r="V274" s="36"/>
      <c r="W274" s="10"/>
      <c r="X274" s="10"/>
      <c r="Y274" s="10"/>
      <c r="Z274" s="10"/>
      <c r="AA274" s="10"/>
      <c r="AB274" s="10"/>
      <c r="AC274" s="10"/>
      <c r="AD274" s="10"/>
      <c r="AE274" s="10"/>
    </row>
    <row r="275" spans="1:31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36"/>
      <c r="R275" s="36"/>
      <c r="S275" s="36"/>
      <c r="T275" s="36"/>
      <c r="U275" s="36"/>
      <c r="V275" s="36"/>
      <c r="W275" s="10"/>
      <c r="X275" s="10"/>
      <c r="Y275" s="10"/>
      <c r="Z275" s="10"/>
      <c r="AA275" s="10"/>
      <c r="AB275" s="10"/>
      <c r="AC275" s="10"/>
      <c r="AD275" s="10"/>
      <c r="AE275" s="10"/>
    </row>
    <row r="276" spans="1:31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36"/>
      <c r="R276" s="36"/>
      <c r="S276" s="36"/>
      <c r="T276" s="36"/>
      <c r="U276" s="36"/>
      <c r="V276" s="36"/>
      <c r="W276" s="10"/>
      <c r="X276" s="10"/>
      <c r="Y276" s="10"/>
      <c r="Z276" s="10"/>
      <c r="AA276" s="10"/>
      <c r="AB276" s="10"/>
      <c r="AC276" s="10"/>
      <c r="AD276" s="10"/>
      <c r="AE276" s="10"/>
    </row>
    <row r="277" spans="1:31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36"/>
      <c r="R277" s="36"/>
      <c r="S277" s="36"/>
      <c r="T277" s="36"/>
      <c r="U277" s="36"/>
      <c r="V277" s="36"/>
      <c r="W277" s="10"/>
      <c r="X277" s="10"/>
      <c r="Y277" s="10"/>
      <c r="Z277" s="10"/>
      <c r="AA277" s="10"/>
      <c r="AB277" s="10"/>
      <c r="AC277" s="10"/>
      <c r="AD277" s="10"/>
      <c r="AE277" s="10"/>
    </row>
    <row r="278" spans="1:31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36"/>
      <c r="R278" s="36"/>
      <c r="S278" s="36"/>
      <c r="T278" s="36"/>
      <c r="U278" s="36"/>
      <c r="V278" s="36"/>
      <c r="W278" s="10"/>
      <c r="X278" s="10"/>
      <c r="Y278" s="10"/>
      <c r="Z278" s="10"/>
      <c r="AA278" s="10"/>
      <c r="AB278" s="10"/>
      <c r="AC278" s="10"/>
      <c r="AD278" s="10"/>
      <c r="AE278" s="10"/>
    </row>
    <row r="279" spans="1:31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36"/>
      <c r="R279" s="36"/>
      <c r="S279" s="36"/>
      <c r="T279" s="36"/>
      <c r="U279" s="36"/>
      <c r="V279" s="36"/>
      <c r="W279" s="10"/>
      <c r="X279" s="10"/>
      <c r="Y279" s="10"/>
      <c r="Z279" s="10"/>
      <c r="AA279" s="10"/>
      <c r="AB279" s="10"/>
      <c r="AC279" s="10"/>
      <c r="AD279" s="10"/>
      <c r="AE279" s="10"/>
    </row>
    <row r="280" spans="1:31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36"/>
      <c r="R280" s="36"/>
      <c r="S280" s="36"/>
      <c r="T280" s="36"/>
      <c r="U280" s="36"/>
      <c r="V280" s="36"/>
      <c r="W280" s="10"/>
      <c r="X280" s="10"/>
      <c r="Y280" s="10"/>
      <c r="Z280" s="10"/>
      <c r="AA280" s="10"/>
      <c r="AB280" s="10"/>
      <c r="AC280" s="10"/>
      <c r="AD280" s="10"/>
      <c r="AE280" s="10"/>
    </row>
    <row r="281" spans="1:3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36"/>
      <c r="R281" s="36"/>
      <c r="S281" s="36"/>
      <c r="T281" s="36"/>
      <c r="U281" s="36"/>
      <c r="V281" s="36"/>
      <c r="W281" s="10"/>
      <c r="X281" s="10"/>
      <c r="Y281" s="10"/>
      <c r="Z281" s="10"/>
      <c r="AA281" s="10"/>
      <c r="AB281" s="10"/>
      <c r="AC281" s="10"/>
      <c r="AD281" s="10"/>
      <c r="AE281" s="10"/>
    </row>
    <row r="282" spans="1:31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36"/>
      <c r="R282" s="36"/>
      <c r="S282" s="36"/>
      <c r="T282" s="36"/>
      <c r="U282" s="36"/>
      <c r="V282" s="36"/>
      <c r="W282" s="10"/>
      <c r="X282" s="10"/>
      <c r="Y282" s="10"/>
      <c r="Z282" s="10"/>
      <c r="AA282" s="10"/>
      <c r="AB282" s="10"/>
      <c r="AC282" s="10"/>
      <c r="AD282" s="10"/>
      <c r="AE282" s="10"/>
    </row>
    <row r="283" spans="1:31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36"/>
      <c r="R283" s="36"/>
      <c r="S283" s="36"/>
      <c r="T283" s="36"/>
      <c r="U283" s="36"/>
      <c r="V283" s="36"/>
      <c r="W283" s="10"/>
      <c r="X283" s="10"/>
      <c r="Y283" s="10"/>
      <c r="Z283" s="10"/>
      <c r="AA283" s="10"/>
      <c r="AB283" s="10"/>
      <c r="AC283" s="10"/>
      <c r="AD283" s="10"/>
      <c r="AE283" s="10"/>
    </row>
    <row r="284" spans="1:31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36"/>
      <c r="R284" s="36"/>
      <c r="S284" s="36"/>
      <c r="T284" s="36"/>
      <c r="U284" s="36"/>
      <c r="V284" s="36"/>
      <c r="W284" s="10"/>
      <c r="X284" s="10"/>
      <c r="Y284" s="10"/>
      <c r="Z284" s="10"/>
      <c r="AA284" s="10"/>
      <c r="AB284" s="10"/>
      <c r="AC284" s="10"/>
      <c r="AD284" s="10"/>
      <c r="AE284" s="10"/>
    </row>
    <row r="285" spans="1:31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36"/>
      <c r="R285" s="36"/>
      <c r="S285" s="36"/>
      <c r="T285" s="36"/>
      <c r="U285" s="36"/>
      <c r="V285" s="36"/>
      <c r="W285" s="10"/>
      <c r="X285" s="10"/>
      <c r="Y285" s="10"/>
      <c r="Z285" s="10"/>
      <c r="AA285" s="10"/>
      <c r="AB285" s="10"/>
      <c r="AC285" s="10"/>
      <c r="AD285" s="10"/>
      <c r="AE285" s="10"/>
    </row>
    <row r="286" spans="1:31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36"/>
      <c r="R286" s="36"/>
      <c r="S286" s="36"/>
      <c r="T286" s="36"/>
      <c r="U286" s="36"/>
      <c r="V286" s="36"/>
      <c r="W286" s="10"/>
      <c r="X286" s="10"/>
      <c r="Y286" s="10"/>
      <c r="Z286" s="10"/>
      <c r="AA286" s="10"/>
      <c r="AB286" s="10"/>
      <c r="AC286" s="10"/>
      <c r="AD286" s="10"/>
      <c r="AE286" s="10"/>
    </row>
    <row r="287" spans="1:31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36"/>
      <c r="R287" s="36"/>
      <c r="S287" s="36"/>
      <c r="T287" s="36"/>
      <c r="U287" s="36"/>
      <c r="V287" s="36"/>
      <c r="W287" s="10"/>
      <c r="X287" s="10"/>
      <c r="Y287" s="10"/>
      <c r="Z287" s="10"/>
      <c r="AA287" s="10"/>
      <c r="AB287" s="10"/>
      <c r="AC287" s="10"/>
      <c r="AD287" s="10"/>
      <c r="AE287" s="10"/>
    </row>
    <row r="288" spans="1:31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36"/>
      <c r="R288" s="36"/>
      <c r="S288" s="36"/>
      <c r="T288" s="36"/>
      <c r="U288" s="36"/>
      <c r="V288" s="36"/>
      <c r="W288" s="10"/>
      <c r="X288" s="10"/>
      <c r="Y288" s="10"/>
      <c r="Z288" s="10"/>
      <c r="AA288" s="10"/>
      <c r="AB288" s="10"/>
      <c r="AC288" s="10"/>
      <c r="AD288" s="10"/>
      <c r="AE288" s="10"/>
    </row>
    <row r="289" spans="1:31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36"/>
      <c r="R289" s="36"/>
      <c r="S289" s="36"/>
      <c r="T289" s="36"/>
      <c r="U289" s="36"/>
      <c r="V289" s="36"/>
      <c r="W289" s="10"/>
      <c r="X289" s="10"/>
      <c r="Y289" s="10"/>
      <c r="Z289" s="10"/>
      <c r="AA289" s="10"/>
      <c r="AB289" s="10"/>
      <c r="AC289" s="10"/>
      <c r="AD289" s="10"/>
      <c r="AE289" s="10"/>
    </row>
    <row r="290" spans="1:31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36"/>
      <c r="R290" s="36"/>
      <c r="S290" s="36"/>
      <c r="T290" s="36"/>
      <c r="U290" s="36"/>
      <c r="V290" s="36"/>
      <c r="W290" s="10"/>
      <c r="X290" s="10"/>
      <c r="Y290" s="10"/>
      <c r="Z290" s="10"/>
      <c r="AA290" s="10"/>
      <c r="AB290" s="10"/>
      <c r="AC290" s="10"/>
      <c r="AD290" s="10"/>
      <c r="AE290" s="10"/>
    </row>
    <row r="291" spans="1:3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36"/>
      <c r="R291" s="36"/>
      <c r="S291" s="36"/>
      <c r="T291" s="36"/>
      <c r="U291" s="36"/>
      <c r="V291" s="36"/>
      <c r="W291" s="10"/>
      <c r="X291" s="10"/>
      <c r="Y291" s="10"/>
      <c r="Z291" s="10"/>
      <c r="AA291" s="10"/>
      <c r="AB291" s="10"/>
      <c r="AC291" s="10"/>
      <c r="AD291" s="10"/>
      <c r="AE291" s="10"/>
    </row>
    <row r="292" spans="1:31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36"/>
      <c r="R292" s="36"/>
      <c r="S292" s="36"/>
      <c r="T292" s="36"/>
      <c r="U292" s="36"/>
      <c r="V292" s="36"/>
      <c r="W292" s="10"/>
      <c r="X292" s="10"/>
      <c r="Y292" s="10"/>
      <c r="Z292" s="10"/>
      <c r="AA292" s="10"/>
      <c r="AB292" s="10"/>
      <c r="AC292" s="10"/>
      <c r="AD292" s="10"/>
      <c r="AE292" s="10"/>
    </row>
    <row r="293" spans="1:31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36"/>
      <c r="R293" s="36"/>
      <c r="S293" s="36"/>
      <c r="T293" s="36"/>
      <c r="U293" s="36"/>
      <c r="V293" s="36"/>
      <c r="W293" s="10"/>
      <c r="X293" s="10"/>
      <c r="Y293" s="10"/>
      <c r="Z293" s="10"/>
      <c r="AA293" s="10"/>
      <c r="AB293" s="10"/>
      <c r="AC293" s="10"/>
      <c r="AD293" s="10"/>
      <c r="AE293" s="10"/>
    </row>
    <row r="294" spans="1:31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36"/>
      <c r="R294" s="36"/>
      <c r="S294" s="36"/>
      <c r="T294" s="36"/>
      <c r="U294" s="36"/>
      <c r="V294" s="36"/>
      <c r="W294" s="10"/>
      <c r="X294" s="10"/>
      <c r="Y294" s="10"/>
      <c r="Z294" s="10"/>
      <c r="AA294" s="10"/>
      <c r="AB294" s="10"/>
      <c r="AC294" s="10"/>
      <c r="AD294" s="10"/>
      <c r="AE294" s="10"/>
    </row>
    <row r="295" spans="1:31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36"/>
      <c r="R295" s="36"/>
      <c r="S295" s="36"/>
      <c r="T295" s="36"/>
      <c r="U295" s="36"/>
      <c r="V295" s="36"/>
      <c r="W295" s="10"/>
      <c r="X295" s="10"/>
      <c r="Y295" s="10"/>
      <c r="Z295" s="10"/>
      <c r="AA295" s="10"/>
      <c r="AB295" s="10"/>
      <c r="AC295" s="10"/>
      <c r="AD295" s="10"/>
      <c r="AE295" s="10"/>
    </row>
    <row r="296" spans="1:31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36"/>
      <c r="R296" s="36"/>
      <c r="S296" s="36"/>
      <c r="T296" s="36"/>
      <c r="U296" s="36"/>
      <c r="V296" s="36"/>
      <c r="W296" s="10"/>
      <c r="X296" s="10"/>
      <c r="Y296" s="10"/>
      <c r="Z296" s="10"/>
      <c r="AA296" s="10"/>
      <c r="AB296" s="10"/>
      <c r="AC296" s="10"/>
      <c r="AD296" s="10"/>
      <c r="AE296" s="10"/>
    </row>
    <row r="297" spans="1:31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36"/>
      <c r="R297" s="36"/>
      <c r="S297" s="36"/>
      <c r="T297" s="36"/>
      <c r="U297" s="36"/>
      <c r="V297" s="36"/>
      <c r="W297" s="10"/>
      <c r="X297" s="10"/>
      <c r="Y297" s="10"/>
      <c r="Z297" s="10"/>
      <c r="AA297" s="10"/>
      <c r="AB297" s="10"/>
      <c r="AC297" s="10"/>
      <c r="AD297" s="10"/>
      <c r="AE297" s="10"/>
    </row>
    <row r="298" spans="1:31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36"/>
      <c r="R298" s="36"/>
      <c r="S298" s="36"/>
      <c r="T298" s="36"/>
      <c r="U298" s="36"/>
      <c r="V298" s="36"/>
      <c r="W298" s="10"/>
      <c r="X298" s="10"/>
      <c r="Y298" s="10"/>
      <c r="Z298" s="10"/>
      <c r="AA298" s="10"/>
      <c r="AB298" s="10"/>
      <c r="AC298" s="10"/>
      <c r="AD298" s="10"/>
      <c r="AE298" s="10"/>
    </row>
    <row r="299" spans="1:31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36"/>
      <c r="R299" s="36"/>
      <c r="S299" s="36"/>
      <c r="T299" s="36"/>
      <c r="U299" s="36"/>
      <c r="V299" s="36"/>
      <c r="W299" s="10"/>
      <c r="X299" s="10"/>
      <c r="Y299" s="10"/>
      <c r="Z299" s="10"/>
      <c r="AA299" s="10"/>
      <c r="AB299" s="10"/>
      <c r="AC299" s="10"/>
      <c r="AD299" s="10"/>
      <c r="AE299" s="10"/>
    </row>
    <row r="300" spans="1:31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36"/>
      <c r="R300" s="36"/>
      <c r="S300" s="36"/>
      <c r="T300" s="36"/>
      <c r="U300" s="36"/>
      <c r="V300" s="36"/>
      <c r="W300" s="10"/>
      <c r="X300" s="10"/>
      <c r="Y300" s="10"/>
      <c r="Z300" s="10"/>
      <c r="AA300" s="10"/>
      <c r="AB300" s="10"/>
      <c r="AC300" s="10"/>
      <c r="AD300" s="10"/>
      <c r="AE300" s="10"/>
    </row>
    <row r="301" spans="1:3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36"/>
      <c r="R301" s="36"/>
      <c r="S301" s="36"/>
      <c r="T301" s="36"/>
      <c r="U301" s="36"/>
      <c r="V301" s="36"/>
      <c r="W301" s="10"/>
      <c r="X301" s="10"/>
      <c r="Y301" s="10"/>
      <c r="Z301" s="10"/>
      <c r="AA301" s="10"/>
      <c r="AB301" s="10"/>
      <c r="AC301" s="10"/>
      <c r="AD301" s="10"/>
      <c r="AE301" s="10"/>
    </row>
    <row r="302" spans="1:31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36"/>
      <c r="R302" s="36"/>
      <c r="S302" s="36"/>
      <c r="T302" s="36"/>
      <c r="U302" s="36"/>
      <c r="V302" s="36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spans="1:31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36"/>
      <c r="R303" s="36"/>
      <c r="S303" s="36"/>
      <c r="T303" s="36"/>
      <c r="U303" s="36"/>
      <c r="V303" s="36"/>
      <c r="W303" s="10"/>
      <c r="X303" s="10"/>
      <c r="Y303" s="10"/>
      <c r="Z303" s="10"/>
      <c r="AA303" s="10"/>
      <c r="AB303" s="10"/>
      <c r="AC303" s="10"/>
      <c r="AD303" s="10"/>
      <c r="AE303" s="10"/>
    </row>
    <row r="304" spans="1:31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36"/>
      <c r="R304" s="36"/>
      <c r="S304" s="36"/>
      <c r="T304" s="36"/>
      <c r="U304" s="36"/>
      <c r="V304" s="36"/>
      <c r="W304" s="10"/>
      <c r="X304" s="10"/>
      <c r="Y304" s="10"/>
      <c r="Z304" s="10"/>
      <c r="AA304" s="10"/>
      <c r="AB304" s="10"/>
      <c r="AC304" s="10"/>
      <c r="AD304" s="10"/>
      <c r="AE304" s="10"/>
    </row>
    <row r="305" spans="1:31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36"/>
      <c r="R305" s="36"/>
      <c r="S305" s="36"/>
      <c r="T305" s="36"/>
      <c r="U305" s="36"/>
      <c r="V305" s="36"/>
      <c r="W305" s="10"/>
      <c r="X305" s="10"/>
      <c r="Y305" s="10"/>
      <c r="Z305" s="10"/>
      <c r="AA305" s="10"/>
      <c r="AB305" s="10"/>
      <c r="AC305" s="10"/>
      <c r="AD305" s="10"/>
      <c r="AE305" s="10"/>
    </row>
    <row r="306" spans="1:31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36"/>
      <c r="R306" s="36"/>
      <c r="S306" s="36"/>
      <c r="T306" s="36"/>
      <c r="U306" s="36"/>
      <c r="V306" s="36"/>
      <c r="W306" s="10"/>
      <c r="X306" s="10"/>
      <c r="Y306" s="10"/>
      <c r="Z306" s="10"/>
      <c r="AA306" s="10"/>
      <c r="AB306" s="10"/>
      <c r="AC306" s="10"/>
      <c r="AD306" s="10"/>
      <c r="AE306" s="10"/>
    </row>
    <row r="307" spans="1:31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36"/>
      <c r="R307" s="36"/>
      <c r="S307" s="36"/>
      <c r="T307" s="36"/>
      <c r="U307" s="36"/>
      <c r="V307" s="36"/>
      <c r="W307" s="10"/>
      <c r="X307" s="10"/>
      <c r="Y307" s="10"/>
      <c r="Z307" s="10"/>
      <c r="AA307" s="10"/>
      <c r="AB307" s="10"/>
      <c r="AC307" s="10"/>
      <c r="AD307" s="10"/>
      <c r="AE307" s="10"/>
    </row>
    <row r="308" spans="1:31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36"/>
      <c r="R308" s="36"/>
      <c r="S308" s="36"/>
      <c r="T308" s="36"/>
      <c r="U308" s="36"/>
      <c r="V308" s="36"/>
      <c r="W308" s="10"/>
      <c r="X308" s="10"/>
      <c r="Y308" s="10"/>
      <c r="Z308" s="10"/>
      <c r="AA308" s="10"/>
      <c r="AB308" s="10"/>
      <c r="AC308" s="10"/>
      <c r="AD308" s="10"/>
      <c r="AE308" s="10"/>
    </row>
    <row r="309" spans="1:31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36"/>
      <c r="R309" s="36"/>
      <c r="S309" s="36"/>
      <c r="T309" s="36"/>
      <c r="U309" s="36"/>
      <c r="V309" s="36"/>
      <c r="W309" s="10"/>
      <c r="X309" s="10"/>
      <c r="Y309" s="10"/>
      <c r="Z309" s="10"/>
      <c r="AA309" s="10"/>
      <c r="AB309" s="10"/>
      <c r="AC309" s="10"/>
      <c r="AD309" s="10"/>
      <c r="AE309" s="10"/>
    </row>
    <row r="310" spans="1:31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36"/>
      <c r="R310" s="36"/>
      <c r="S310" s="36"/>
      <c r="T310" s="36"/>
      <c r="U310" s="36"/>
      <c r="V310" s="36"/>
      <c r="W310" s="10"/>
      <c r="X310" s="10"/>
      <c r="Y310" s="10"/>
      <c r="Z310" s="10"/>
      <c r="AA310" s="10"/>
      <c r="AB310" s="10"/>
      <c r="AC310" s="10"/>
      <c r="AD310" s="10"/>
      <c r="AE310" s="10"/>
    </row>
    <row r="311" spans="1:3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36"/>
      <c r="R311" s="36"/>
      <c r="S311" s="36"/>
      <c r="T311" s="36"/>
      <c r="U311" s="36"/>
      <c r="V311" s="36"/>
      <c r="W311" s="10"/>
      <c r="X311" s="10"/>
      <c r="Y311" s="10"/>
      <c r="Z311" s="10"/>
      <c r="AA311" s="10"/>
      <c r="AB311" s="10"/>
      <c r="AC311" s="10"/>
      <c r="AD311" s="10"/>
      <c r="AE311" s="10"/>
    </row>
    <row r="312" spans="1:31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36"/>
      <c r="R312" s="36"/>
      <c r="S312" s="36"/>
      <c r="T312" s="36"/>
      <c r="U312" s="36"/>
      <c r="V312" s="36"/>
      <c r="W312" s="10"/>
      <c r="X312" s="10"/>
      <c r="Y312" s="10"/>
      <c r="Z312" s="10"/>
      <c r="AA312" s="10"/>
      <c r="AB312" s="10"/>
      <c r="AC312" s="10"/>
      <c r="AD312" s="10"/>
      <c r="AE312" s="10"/>
    </row>
    <row r="313" spans="1:31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36"/>
      <c r="R313" s="36"/>
      <c r="S313" s="36"/>
      <c r="T313" s="36"/>
      <c r="U313" s="36"/>
      <c r="V313" s="36"/>
      <c r="W313" s="10"/>
      <c r="X313" s="10"/>
      <c r="Y313" s="10"/>
      <c r="Z313" s="10"/>
      <c r="AA313" s="10"/>
      <c r="AB313" s="10"/>
      <c r="AC313" s="10"/>
      <c r="AD313" s="10"/>
      <c r="AE313" s="10"/>
    </row>
    <row r="314" spans="1:31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36"/>
      <c r="R314" s="36"/>
      <c r="S314" s="36"/>
      <c r="T314" s="36"/>
      <c r="U314" s="36"/>
      <c r="V314" s="36"/>
      <c r="W314" s="10"/>
      <c r="X314" s="10"/>
      <c r="Y314" s="10"/>
      <c r="Z314" s="10"/>
      <c r="AA314" s="10"/>
      <c r="AB314" s="10"/>
      <c r="AC314" s="10"/>
      <c r="AD314" s="10"/>
      <c r="AE314" s="10"/>
    </row>
    <row r="315" spans="1:31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36"/>
      <c r="R315" s="36"/>
      <c r="S315" s="36"/>
      <c r="T315" s="36"/>
      <c r="U315" s="36"/>
      <c r="V315" s="36"/>
      <c r="W315" s="10"/>
      <c r="X315" s="10"/>
      <c r="Y315" s="10"/>
      <c r="Z315" s="10"/>
      <c r="AA315" s="10"/>
      <c r="AB315" s="10"/>
      <c r="AC315" s="10"/>
      <c r="AD315" s="10"/>
      <c r="AE315" s="10"/>
    </row>
    <row r="316" spans="1:31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36"/>
      <c r="R316" s="36"/>
      <c r="S316" s="36"/>
      <c r="T316" s="36"/>
      <c r="U316" s="36"/>
      <c r="V316" s="36"/>
      <c r="W316" s="10"/>
      <c r="X316" s="10"/>
      <c r="Y316" s="10"/>
      <c r="Z316" s="10"/>
      <c r="AA316" s="10"/>
      <c r="AB316" s="10"/>
      <c r="AC316" s="10"/>
      <c r="AD316" s="10"/>
      <c r="AE316" s="10"/>
    </row>
    <row r="317" spans="1:31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36"/>
      <c r="R317" s="36"/>
      <c r="S317" s="36"/>
      <c r="T317" s="36"/>
      <c r="U317" s="36"/>
      <c r="V317" s="36"/>
      <c r="W317" s="10"/>
      <c r="X317" s="10"/>
      <c r="Y317" s="10"/>
      <c r="Z317" s="10"/>
      <c r="AA317" s="10"/>
      <c r="AB317" s="10"/>
      <c r="AC317" s="10"/>
      <c r="AD317" s="10"/>
      <c r="AE317" s="10"/>
    </row>
    <row r="318" spans="1:31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36"/>
      <c r="R318" s="36"/>
      <c r="S318" s="36"/>
      <c r="T318" s="36"/>
      <c r="U318" s="36"/>
      <c r="V318" s="36"/>
      <c r="W318" s="10"/>
      <c r="X318" s="10"/>
      <c r="Y318" s="10"/>
      <c r="Z318" s="10"/>
      <c r="AA318" s="10"/>
      <c r="AB318" s="10"/>
      <c r="AC318" s="10"/>
      <c r="AD318" s="10"/>
      <c r="AE318" s="10"/>
    </row>
    <row r="319" spans="1:31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36"/>
      <c r="R319" s="36"/>
      <c r="S319" s="36"/>
      <c r="T319" s="36"/>
      <c r="U319" s="36"/>
      <c r="V319" s="36"/>
      <c r="W319" s="10"/>
      <c r="X319" s="10"/>
      <c r="Y319" s="10"/>
      <c r="Z319" s="10"/>
      <c r="AA319" s="10"/>
      <c r="AB319" s="10"/>
      <c r="AC319" s="10"/>
      <c r="AD319" s="10"/>
      <c r="AE319" s="10"/>
    </row>
    <row r="320" spans="1:31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36"/>
      <c r="R320" s="36"/>
      <c r="S320" s="36"/>
      <c r="T320" s="36"/>
      <c r="U320" s="36"/>
      <c r="V320" s="36"/>
      <c r="W320" s="10"/>
      <c r="X320" s="10"/>
      <c r="Y320" s="10"/>
      <c r="Z320" s="10"/>
      <c r="AA320" s="10"/>
      <c r="AB320" s="10"/>
      <c r="AC320" s="10"/>
      <c r="AD320" s="10"/>
      <c r="AE320" s="10"/>
    </row>
    <row r="321" spans="1:3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36"/>
      <c r="R321" s="36"/>
      <c r="S321" s="36"/>
      <c r="T321" s="36"/>
      <c r="U321" s="36"/>
      <c r="V321" s="36"/>
      <c r="W321" s="10"/>
      <c r="X321" s="10"/>
      <c r="Y321" s="10"/>
      <c r="Z321" s="10"/>
      <c r="AA321" s="10"/>
      <c r="AB321" s="10"/>
      <c r="AC321" s="10"/>
      <c r="AD321" s="10"/>
      <c r="AE321" s="10"/>
    </row>
    <row r="322" spans="1:31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36"/>
      <c r="R322" s="36"/>
      <c r="S322" s="36"/>
      <c r="T322" s="36"/>
      <c r="U322" s="36"/>
      <c r="V322" s="36"/>
      <c r="W322" s="10"/>
      <c r="X322" s="10"/>
      <c r="Y322" s="10"/>
      <c r="Z322" s="10"/>
      <c r="AA322" s="10"/>
      <c r="AB322" s="10"/>
      <c r="AC322" s="10"/>
      <c r="AD322" s="10"/>
      <c r="AE322" s="10"/>
    </row>
    <row r="323" spans="1:31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36"/>
      <c r="R323" s="36"/>
      <c r="S323" s="36"/>
      <c r="T323" s="36"/>
      <c r="U323" s="36"/>
      <c r="V323" s="36"/>
      <c r="W323" s="10"/>
      <c r="X323" s="10"/>
      <c r="Y323" s="10"/>
      <c r="Z323" s="10"/>
      <c r="AA323" s="10"/>
      <c r="AB323" s="10"/>
      <c r="AC323" s="10"/>
      <c r="AD323" s="10"/>
      <c r="AE323" s="10"/>
    </row>
    <row r="324" spans="1:31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36"/>
      <c r="R324" s="36"/>
      <c r="S324" s="36"/>
      <c r="T324" s="36"/>
      <c r="U324" s="36"/>
      <c r="V324" s="36"/>
      <c r="W324" s="10"/>
      <c r="X324" s="10"/>
      <c r="Y324" s="10"/>
      <c r="Z324" s="10"/>
      <c r="AA324" s="10"/>
      <c r="AB324" s="10"/>
      <c r="AC324" s="10"/>
      <c r="AD324" s="10"/>
      <c r="AE324" s="10"/>
    </row>
    <row r="325" spans="1:31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36"/>
      <c r="R325" s="36"/>
      <c r="S325" s="36"/>
      <c r="T325" s="36"/>
      <c r="U325" s="36"/>
      <c r="V325" s="36"/>
      <c r="W325" s="10"/>
      <c r="X325" s="10"/>
      <c r="Y325" s="10"/>
      <c r="Z325" s="10"/>
      <c r="AA325" s="10"/>
      <c r="AB325" s="10"/>
      <c r="AC325" s="10"/>
      <c r="AD325" s="10"/>
      <c r="AE325" s="10"/>
    </row>
    <row r="326" spans="1:31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36"/>
      <c r="R326" s="36"/>
      <c r="S326" s="36"/>
      <c r="T326" s="36"/>
      <c r="U326" s="36"/>
      <c r="V326" s="36"/>
      <c r="W326" s="10"/>
      <c r="X326" s="10"/>
      <c r="Y326" s="10"/>
      <c r="Z326" s="10"/>
      <c r="AA326" s="10"/>
      <c r="AB326" s="10"/>
      <c r="AC326" s="10"/>
      <c r="AD326" s="10"/>
      <c r="AE326" s="10"/>
    </row>
    <row r="327" spans="1:31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36"/>
      <c r="R327" s="36"/>
      <c r="S327" s="36"/>
      <c r="T327" s="36"/>
      <c r="U327" s="36"/>
      <c r="V327" s="36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spans="1:31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36"/>
      <c r="R328" s="36"/>
      <c r="S328" s="36"/>
      <c r="T328" s="36"/>
      <c r="U328" s="36"/>
      <c r="V328" s="36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spans="1:31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36"/>
      <c r="R329" s="36"/>
      <c r="S329" s="36"/>
      <c r="T329" s="36"/>
      <c r="U329" s="36"/>
      <c r="V329" s="36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spans="1:31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36"/>
      <c r="R330" s="36"/>
      <c r="S330" s="36"/>
      <c r="T330" s="36"/>
      <c r="U330" s="36"/>
      <c r="V330" s="36"/>
      <c r="W330" s="10"/>
      <c r="X330" s="10"/>
      <c r="Y330" s="10"/>
      <c r="Z330" s="10"/>
      <c r="AA330" s="10"/>
      <c r="AB330" s="10"/>
      <c r="AC330" s="10"/>
      <c r="AD330" s="10"/>
      <c r="AE330" s="10"/>
    </row>
    <row r="331" spans="1: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36"/>
      <c r="R331" s="36"/>
      <c r="S331" s="36"/>
      <c r="T331" s="36"/>
      <c r="U331" s="36"/>
      <c r="V331" s="36"/>
      <c r="W331" s="10"/>
      <c r="X331" s="10"/>
      <c r="Y331" s="10"/>
      <c r="Z331" s="10"/>
      <c r="AA331" s="10"/>
      <c r="AB331" s="10"/>
      <c r="AC331" s="10"/>
      <c r="AD331" s="10"/>
      <c r="AE331" s="10"/>
    </row>
    <row r="332" spans="1:31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36"/>
      <c r="R332" s="36"/>
      <c r="S332" s="36"/>
      <c r="T332" s="36"/>
      <c r="U332" s="36"/>
      <c r="V332" s="36"/>
      <c r="W332" s="10"/>
      <c r="X332" s="10"/>
      <c r="Y332" s="10"/>
      <c r="Z332" s="10"/>
      <c r="AA332" s="10"/>
      <c r="AB332" s="10"/>
      <c r="AC332" s="10"/>
      <c r="AD332" s="10"/>
      <c r="AE332" s="10"/>
    </row>
    <row r="333" spans="1:31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36"/>
      <c r="R333" s="36"/>
      <c r="S333" s="36"/>
      <c r="T333" s="36"/>
      <c r="U333" s="36"/>
      <c r="V333" s="36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spans="1:31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36"/>
      <c r="R334" s="36"/>
      <c r="S334" s="36"/>
      <c r="T334" s="36"/>
      <c r="U334" s="36"/>
      <c r="V334" s="36"/>
      <c r="W334" s="10"/>
      <c r="X334" s="10"/>
      <c r="Y334" s="10"/>
      <c r="Z334" s="10"/>
      <c r="AA334" s="10"/>
      <c r="AB334" s="10"/>
      <c r="AC334" s="10"/>
      <c r="AD334" s="10"/>
      <c r="AE334" s="10"/>
    </row>
    <row r="335" spans="1:31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36"/>
      <c r="R335" s="36"/>
      <c r="S335" s="36"/>
      <c r="T335" s="36"/>
      <c r="U335" s="36"/>
      <c r="V335" s="36"/>
      <c r="W335" s="10"/>
      <c r="X335" s="10"/>
      <c r="Y335" s="10"/>
      <c r="Z335" s="10"/>
      <c r="AA335" s="10"/>
      <c r="AB335" s="10"/>
      <c r="AC335" s="10"/>
      <c r="AD335" s="10"/>
      <c r="AE335" s="10"/>
    </row>
    <row r="336" spans="1:31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36"/>
      <c r="R336" s="36"/>
      <c r="S336" s="36"/>
      <c r="T336" s="36"/>
      <c r="U336" s="36"/>
      <c r="V336" s="36"/>
      <c r="W336" s="10"/>
      <c r="X336" s="10"/>
      <c r="Y336" s="10"/>
      <c r="Z336" s="10"/>
      <c r="AA336" s="10"/>
      <c r="AB336" s="10"/>
      <c r="AC336" s="10"/>
      <c r="AD336" s="10"/>
      <c r="AE336" s="10"/>
    </row>
    <row r="337" spans="1:31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36"/>
      <c r="R337" s="36"/>
      <c r="S337" s="36"/>
      <c r="T337" s="36"/>
      <c r="U337" s="36"/>
      <c r="V337" s="36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spans="1:31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36"/>
      <c r="R338" s="36"/>
      <c r="S338" s="36"/>
      <c r="T338" s="36"/>
      <c r="U338" s="36"/>
      <c r="V338" s="36"/>
      <c r="W338" s="10"/>
      <c r="X338" s="10"/>
      <c r="Y338" s="10"/>
      <c r="Z338" s="10"/>
      <c r="AA338" s="10"/>
      <c r="AB338" s="10"/>
      <c r="AC338" s="10"/>
      <c r="AD338" s="10"/>
      <c r="AE338" s="10"/>
    </row>
    <row r="339" spans="1:31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36"/>
      <c r="R339" s="36"/>
      <c r="S339" s="36"/>
      <c r="T339" s="36"/>
      <c r="U339" s="36"/>
      <c r="V339" s="36"/>
      <c r="W339" s="10"/>
      <c r="X339" s="10"/>
      <c r="Y339" s="10"/>
      <c r="Z339" s="10"/>
      <c r="AA339" s="10"/>
      <c r="AB339" s="10"/>
      <c r="AC339" s="10"/>
      <c r="AD339" s="10"/>
      <c r="AE339" s="10"/>
    </row>
    <row r="340" spans="1:31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36"/>
      <c r="R340" s="36"/>
      <c r="S340" s="36"/>
      <c r="T340" s="36"/>
      <c r="U340" s="36"/>
      <c r="V340" s="36"/>
      <c r="W340" s="10"/>
      <c r="X340" s="10"/>
      <c r="Y340" s="10"/>
      <c r="Z340" s="10"/>
      <c r="AA340" s="10"/>
      <c r="AB340" s="10"/>
      <c r="AC340" s="10"/>
      <c r="AD340" s="10"/>
      <c r="AE340" s="10"/>
    </row>
    <row r="341" spans="1:3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36"/>
      <c r="R341" s="36"/>
      <c r="S341" s="36"/>
      <c r="T341" s="36"/>
      <c r="U341" s="36"/>
      <c r="V341" s="36"/>
      <c r="W341" s="10"/>
      <c r="X341" s="10"/>
      <c r="Y341" s="10"/>
      <c r="Z341" s="10"/>
      <c r="AA341" s="10"/>
      <c r="AB341" s="10"/>
      <c r="AC341" s="10"/>
      <c r="AD341" s="10"/>
      <c r="AE341" s="10"/>
    </row>
    <row r="342" spans="1:31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36"/>
      <c r="R342" s="36"/>
      <c r="S342" s="36"/>
      <c r="T342" s="36"/>
      <c r="U342" s="36"/>
      <c r="V342" s="36"/>
      <c r="W342" s="10"/>
      <c r="X342" s="10"/>
      <c r="Y342" s="10"/>
      <c r="Z342" s="10"/>
      <c r="AA342" s="10"/>
      <c r="AB342" s="10"/>
      <c r="AC342" s="10"/>
      <c r="AD342" s="10"/>
      <c r="AE342" s="10"/>
    </row>
    <row r="343" spans="1:31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36"/>
      <c r="R343" s="36"/>
      <c r="S343" s="36"/>
      <c r="T343" s="36"/>
      <c r="U343" s="36"/>
      <c r="V343" s="36"/>
      <c r="W343" s="10"/>
      <c r="X343" s="10"/>
      <c r="Y343" s="10"/>
      <c r="Z343" s="10"/>
      <c r="AA343" s="10"/>
      <c r="AB343" s="10"/>
      <c r="AC343" s="10"/>
      <c r="AD343" s="10"/>
      <c r="AE343" s="10"/>
    </row>
    <row r="344" spans="1:31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36"/>
      <c r="R344" s="36"/>
      <c r="S344" s="36"/>
      <c r="T344" s="36"/>
      <c r="U344" s="36"/>
      <c r="V344" s="36"/>
      <c r="W344" s="10"/>
      <c r="X344" s="10"/>
      <c r="Y344" s="10"/>
      <c r="Z344" s="10"/>
      <c r="AA344" s="10"/>
      <c r="AB344" s="10"/>
      <c r="AC344" s="10"/>
      <c r="AD344" s="10"/>
      <c r="AE344" s="10"/>
    </row>
    <row r="345" spans="1:31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36"/>
      <c r="R345" s="36"/>
      <c r="S345" s="36"/>
      <c r="T345" s="36"/>
      <c r="U345" s="36"/>
      <c r="V345" s="36"/>
      <c r="W345" s="10"/>
      <c r="X345" s="10"/>
      <c r="Y345" s="10"/>
      <c r="Z345" s="10"/>
      <c r="AA345" s="10"/>
      <c r="AB345" s="10"/>
      <c r="AC345" s="10"/>
      <c r="AD345" s="10"/>
      <c r="AE345" s="10"/>
    </row>
    <row r="346" spans="1:31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36"/>
      <c r="R346" s="36"/>
      <c r="S346" s="36"/>
      <c r="T346" s="36"/>
      <c r="U346" s="36"/>
      <c r="V346" s="36"/>
      <c r="W346" s="10"/>
      <c r="X346" s="10"/>
      <c r="Y346" s="10"/>
      <c r="Z346" s="10"/>
      <c r="AA346" s="10"/>
      <c r="AB346" s="10"/>
      <c r="AC346" s="10"/>
      <c r="AD346" s="10"/>
      <c r="AE346" s="10"/>
    </row>
    <row r="347" spans="1:31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36"/>
      <c r="R347" s="36"/>
      <c r="S347" s="36"/>
      <c r="T347" s="36"/>
      <c r="U347" s="36"/>
      <c r="V347" s="36"/>
      <c r="W347" s="10"/>
      <c r="X347" s="10"/>
      <c r="Y347" s="10"/>
      <c r="Z347" s="10"/>
      <c r="AA347" s="10"/>
      <c r="AB347" s="10"/>
      <c r="AC347" s="10"/>
      <c r="AD347" s="10"/>
      <c r="AE347" s="10"/>
    </row>
    <row r="348" spans="1:31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36"/>
      <c r="R348" s="36"/>
      <c r="S348" s="36"/>
      <c r="T348" s="36"/>
      <c r="U348" s="36"/>
      <c r="V348" s="36"/>
      <c r="W348" s="10"/>
      <c r="X348" s="10"/>
      <c r="Y348" s="10"/>
      <c r="Z348" s="10"/>
      <c r="AA348" s="10"/>
      <c r="AB348" s="10"/>
      <c r="AC348" s="10"/>
      <c r="AD348" s="10"/>
      <c r="AE348" s="10"/>
    </row>
    <row r="349" spans="1:31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36"/>
      <c r="R349" s="36"/>
      <c r="S349" s="36"/>
      <c r="T349" s="36"/>
      <c r="U349" s="36"/>
      <c r="V349" s="36"/>
      <c r="W349" s="10"/>
      <c r="X349" s="10"/>
      <c r="Y349" s="10"/>
      <c r="Z349" s="10"/>
      <c r="AA349" s="10"/>
      <c r="AB349" s="10"/>
      <c r="AC349" s="10"/>
      <c r="AD349" s="10"/>
      <c r="AE349" s="10"/>
    </row>
    <row r="350" spans="1:31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36"/>
      <c r="R350" s="36"/>
      <c r="S350" s="36"/>
      <c r="T350" s="36"/>
      <c r="U350" s="36"/>
      <c r="V350" s="36"/>
      <c r="W350" s="10"/>
      <c r="X350" s="10"/>
      <c r="Y350" s="10"/>
      <c r="Z350" s="10"/>
      <c r="AA350" s="10"/>
      <c r="AB350" s="10"/>
      <c r="AC350" s="10"/>
      <c r="AD350" s="10"/>
      <c r="AE350" s="10"/>
    </row>
    <row r="351" spans="1:3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36"/>
      <c r="R351" s="36"/>
      <c r="S351" s="36"/>
      <c r="T351" s="36"/>
      <c r="U351" s="36"/>
      <c r="V351" s="36"/>
      <c r="W351" s="10"/>
      <c r="X351" s="10"/>
      <c r="Y351" s="10"/>
      <c r="Z351" s="10"/>
      <c r="AA351" s="10"/>
      <c r="AB351" s="10"/>
      <c r="AC351" s="10"/>
      <c r="AD351" s="10"/>
      <c r="AE351" s="10"/>
    </row>
    <row r="352" spans="1:31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36"/>
      <c r="R352" s="36"/>
      <c r="S352" s="36"/>
      <c r="T352" s="36"/>
      <c r="U352" s="36"/>
      <c r="V352" s="36"/>
      <c r="W352" s="10"/>
      <c r="X352" s="10"/>
      <c r="Y352" s="10"/>
      <c r="Z352" s="10"/>
      <c r="AA352" s="10"/>
      <c r="AB352" s="10"/>
      <c r="AC352" s="10"/>
      <c r="AD352" s="10"/>
      <c r="AE352" s="10"/>
    </row>
    <row r="353" spans="1:31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36"/>
      <c r="R353" s="36"/>
      <c r="S353" s="36"/>
      <c r="T353" s="36"/>
      <c r="U353" s="36"/>
      <c r="V353" s="36"/>
      <c r="W353" s="10"/>
      <c r="X353" s="10"/>
      <c r="Y353" s="10"/>
      <c r="Z353" s="10"/>
      <c r="AA353" s="10"/>
      <c r="AB353" s="10"/>
      <c r="AC353" s="10"/>
      <c r="AD353" s="10"/>
      <c r="AE353" s="10"/>
    </row>
    <row r="354" spans="1:31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36"/>
      <c r="R354" s="36"/>
      <c r="S354" s="36"/>
      <c r="T354" s="36"/>
      <c r="U354" s="36"/>
      <c r="V354" s="36"/>
      <c r="W354" s="10"/>
      <c r="X354" s="10"/>
      <c r="Y354" s="10"/>
      <c r="Z354" s="10"/>
      <c r="AA354" s="10"/>
      <c r="AB354" s="10"/>
      <c r="AC354" s="10"/>
      <c r="AD354" s="10"/>
      <c r="AE354" s="10"/>
    </row>
    <row r="355" spans="1:31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36"/>
      <c r="R355" s="36"/>
      <c r="S355" s="36"/>
      <c r="T355" s="36"/>
      <c r="U355" s="36"/>
      <c r="V355" s="36"/>
      <c r="W355" s="10"/>
      <c r="X355" s="10"/>
      <c r="Y355" s="10"/>
      <c r="Z355" s="10"/>
      <c r="AA355" s="10"/>
      <c r="AB355" s="10"/>
      <c r="AC355" s="10"/>
      <c r="AD355" s="10"/>
      <c r="AE355" s="10"/>
    </row>
    <row r="356" spans="1:31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36"/>
      <c r="R356" s="36"/>
      <c r="S356" s="36"/>
      <c r="T356" s="36"/>
      <c r="U356" s="36"/>
      <c r="V356" s="36"/>
      <c r="W356" s="10"/>
      <c r="X356" s="10"/>
      <c r="Y356" s="10"/>
      <c r="Z356" s="10"/>
      <c r="AA356" s="10"/>
      <c r="AB356" s="10"/>
      <c r="AC356" s="10"/>
      <c r="AD356" s="10"/>
      <c r="AE356" s="10"/>
    </row>
    <row r="357" spans="1:31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36"/>
      <c r="R357" s="36"/>
      <c r="S357" s="36"/>
      <c r="T357" s="36"/>
      <c r="U357" s="36"/>
      <c r="V357" s="36"/>
      <c r="W357" s="10"/>
      <c r="X357" s="10"/>
      <c r="Y357" s="10"/>
      <c r="Z357" s="10"/>
      <c r="AA357" s="10"/>
      <c r="AB357" s="10"/>
      <c r="AC357" s="10"/>
      <c r="AD357" s="10"/>
      <c r="AE357" s="10"/>
    </row>
    <row r="358" spans="1:31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36"/>
      <c r="R358" s="36"/>
      <c r="S358" s="36"/>
      <c r="T358" s="36"/>
      <c r="U358" s="36"/>
      <c r="V358" s="36"/>
      <c r="W358" s="10"/>
      <c r="X358" s="10"/>
      <c r="Y358" s="10"/>
      <c r="Z358" s="10"/>
      <c r="AA358" s="10"/>
      <c r="AB358" s="10"/>
      <c r="AC358" s="10"/>
      <c r="AD358" s="10"/>
      <c r="AE358" s="10"/>
    </row>
    <row r="359" spans="1:31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36"/>
      <c r="R359" s="36"/>
      <c r="S359" s="36"/>
      <c r="T359" s="36"/>
      <c r="U359" s="36"/>
      <c r="V359" s="36"/>
      <c r="W359" s="10"/>
      <c r="X359" s="10"/>
      <c r="Y359" s="10"/>
      <c r="Z359" s="10"/>
      <c r="AA359" s="10"/>
      <c r="AB359" s="10"/>
      <c r="AC359" s="10"/>
      <c r="AD359" s="10"/>
      <c r="AE359" s="10"/>
    </row>
    <row r="360" spans="1:31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36"/>
      <c r="R360" s="36"/>
      <c r="S360" s="36"/>
      <c r="T360" s="36"/>
      <c r="U360" s="36"/>
      <c r="V360" s="36"/>
      <c r="W360" s="10"/>
      <c r="X360" s="10"/>
      <c r="Y360" s="10"/>
      <c r="Z360" s="10"/>
      <c r="AA360" s="10"/>
      <c r="AB360" s="10"/>
      <c r="AC360" s="10"/>
      <c r="AD360" s="10"/>
      <c r="AE360" s="10"/>
    </row>
    <row r="361" spans="1:3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36"/>
      <c r="R361" s="36"/>
      <c r="S361" s="36"/>
      <c r="T361" s="36"/>
      <c r="U361" s="36"/>
      <c r="V361" s="36"/>
      <c r="W361" s="10"/>
      <c r="X361" s="10"/>
      <c r="Y361" s="10"/>
      <c r="Z361" s="10"/>
      <c r="AA361" s="10"/>
      <c r="AB361" s="10"/>
      <c r="AC361" s="10"/>
      <c r="AD361" s="10"/>
      <c r="AE361" s="10"/>
    </row>
    <row r="362" spans="1:31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36"/>
      <c r="R362" s="36"/>
      <c r="S362" s="36"/>
      <c r="T362" s="36"/>
      <c r="U362" s="36"/>
      <c r="V362" s="36"/>
      <c r="W362" s="10"/>
      <c r="X362" s="10"/>
      <c r="Y362" s="10"/>
      <c r="Z362" s="10"/>
      <c r="AA362" s="10"/>
      <c r="AB362" s="10"/>
      <c r="AC362" s="10"/>
      <c r="AD362" s="10"/>
      <c r="AE362" s="10"/>
    </row>
    <row r="363" spans="1:31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36"/>
      <c r="R363" s="36"/>
      <c r="S363" s="36"/>
      <c r="T363" s="36"/>
      <c r="U363" s="36"/>
      <c r="V363" s="36"/>
      <c r="W363" s="10"/>
      <c r="X363" s="10"/>
      <c r="Y363" s="10"/>
      <c r="Z363" s="10"/>
      <c r="AA363" s="10"/>
      <c r="AB363" s="10"/>
      <c r="AC363" s="10"/>
      <c r="AD363" s="10"/>
      <c r="AE363" s="10"/>
    </row>
    <row r="364" spans="1:31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36"/>
      <c r="R364" s="36"/>
      <c r="S364" s="36"/>
      <c r="T364" s="36"/>
      <c r="U364" s="36"/>
      <c r="V364" s="36"/>
      <c r="W364" s="10"/>
      <c r="X364" s="10"/>
      <c r="Y364" s="10"/>
      <c r="Z364" s="10"/>
      <c r="AA364" s="10"/>
      <c r="AB364" s="10"/>
      <c r="AC364" s="10"/>
      <c r="AD364" s="10"/>
      <c r="AE364" s="10"/>
    </row>
    <row r="365" spans="1:31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36"/>
      <c r="R365" s="36"/>
      <c r="S365" s="36"/>
      <c r="T365" s="36"/>
      <c r="U365" s="36"/>
      <c r="V365" s="36"/>
      <c r="W365" s="10"/>
      <c r="X365" s="10"/>
      <c r="Y365" s="10"/>
      <c r="Z365" s="10"/>
      <c r="AA365" s="10"/>
      <c r="AB365" s="10"/>
      <c r="AC365" s="10"/>
      <c r="AD365" s="10"/>
      <c r="AE365" s="10"/>
    </row>
    <row r="366" spans="1:31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36"/>
      <c r="R366" s="36"/>
      <c r="S366" s="36"/>
      <c r="T366" s="36"/>
      <c r="U366" s="36"/>
      <c r="V366" s="36"/>
      <c r="W366" s="10"/>
      <c r="X366" s="10"/>
      <c r="Y366" s="10"/>
      <c r="Z366" s="10"/>
      <c r="AA366" s="10"/>
      <c r="AB366" s="10"/>
      <c r="AC366" s="10"/>
      <c r="AD366" s="10"/>
      <c r="AE366" s="10"/>
    </row>
    <row r="367" spans="1:31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36"/>
      <c r="R367" s="36"/>
      <c r="S367" s="36"/>
      <c r="T367" s="36"/>
      <c r="U367" s="36"/>
      <c r="V367" s="36"/>
      <c r="W367" s="10"/>
      <c r="X367" s="10"/>
      <c r="Y367" s="10"/>
      <c r="Z367" s="10"/>
      <c r="AA367" s="10"/>
      <c r="AB367" s="10"/>
      <c r="AC367" s="10"/>
      <c r="AD367" s="10"/>
      <c r="AE367" s="10"/>
    </row>
    <row r="368" spans="1:31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36"/>
      <c r="R368" s="36"/>
      <c r="S368" s="36"/>
      <c r="T368" s="36"/>
      <c r="U368" s="36"/>
      <c r="V368" s="36"/>
      <c r="W368" s="10"/>
      <c r="X368" s="10"/>
      <c r="Y368" s="10"/>
      <c r="Z368" s="10"/>
      <c r="AA368" s="10"/>
      <c r="AB368" s="10"/>
      <c r="AC368" s="10"/>
      <c r="AD368" s="10"/>
      <c r="AE368" s="10"/>
    </row>
    <row r="369" spans="1:31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36"/>
      <c r="R369" s="36"/>
      <c r="S369" s="36"/>
      <c r="T369" s="36"/>
      <c r="U369" s="36"/>
      <c r="V369" s="36"/>
      <c r="W369" s="10"/>
      <c r="X369" s="10"/>
      <c r="Y369" s="10"/>
      <c r="Z369" s="10"/>
      <c r="AA369" s="10"/>
      <c r="AB369" s="10"/>
      <c r="AC369" s="10"/>
      <c r="AD369" s="10"/>
      <c r="AE369" s="10"/>
    </row>
    <row r="370" spans="1:31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36"/>
      <c r="R370" s="36"/>
      <c r="S370" s="36"/>
      <c r="T370" s="36"/>
      <c r="U370" s="36"/>
      <c r="V370" s="36"/>
      <c r="W370" s="10"/>
      <c r="X370" s="10"/>
      <c r="Y370" s="10"/>
      <c r="Z370" s="10"/>
      <c r="AA370" s="10"/>
      <c r="AB370" s="10"/>
      <c r="AC370" s="10"/>
      <c r="AD370" s="10"/>
      <c r="AE370" s="10"/>
    </row>
    <row r="371" spans="1:3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36"/>
      <c r="R371" s="36"/>
      <c r="S371" s="36"/>
      <c r="T371" s="36"/>
      <c r="U371" s="36"/>
      <c r="V371" s="36"/>
      <c r="W371" s="10"/>
      <c r="X371" s="10"/>
      <c r="Y371" s="10"/>
      <c r="Z371" s="10"/>
      <c r="AA371" s="10"/>
      <c r="AB371" s="10"/>
      <c r="AC371" s="10"/>
      <c r="AD371" s="10"/>
      <c r="AE371" s="10"/>
    </row>
    <row r="372" spans="1:31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36"/>
      <c r="R372" s="36"/>
      <c r="S372" s="36"/>
      <c r="T372" s="36"/>
      <c r="U372" s="36"/>
      <c r="V372" s="36"/>
      <c r="W372" s="10"/>
      <c r="X372" s="10"/>
      <c r="Y372" s="10"/>
      <c r="Z372" s="10"/>
      <c r="AA372" s="10"/>
      <c r="AB372" s="10"/>
      <c r="AC372" s="10"/>
      <c r="AD372" s="10"/>
      <c r="AE372" s="10"/>
    </row>
    <row r="373" spans="1:31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36"/>
      <c r="R373" s="36"/>
      <c r="S373" s="36"/>
      <c r="T373" s="36"/>
      <c r="U373" s="36"/>
      <c r="V373" s="36"/>
      <c r="W373" s="10"/>
      <c r="X373" s="10"/>
      <c r="Y373" s="10"/>
      <c r="Z373" s="10"/>
      <c r="AA373" s="10"/>
      <c r="AB373" s="10"/>
      <c r="AC373" s="10"/>
      <c r="AD373" s="10"/>
      <c r="AE373" s="10"/>
    </row>
    <row r="374" spans="1:31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36"/>
      <c r="R374" s="36"/>
      <c r="S374" s="36"/>
      <c r="T374" s="36"/>
      <c r="U374" s="36"/>
      <c r="V374" s="36"/>
      <c r="W374" s="10"/>
      <c r="X374" s="10"/>
      <c r="Y374" s="10"/>
      <c r="Z374" s="10"/>
      <c r="AA374" s="10"/>
      <c r="AB374" s="10"/>
      <c r="AC374" s="10"/>
      <c r="AD374" s="10"/>
      <c r="AE374" s="10"/>
    </row>
    <row r="375" spans="1:31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36"/>
      <c r="R375" s="36"/>
      <c r="S375" s="36"/>
      <c r="T375" s="36"/>
      <c r="U375" s="36"/>
      <c r="V375" s="36"/>
      <c r="W375" s="10"/>
      <c r="X375" s="10"/>
      <c r="Y375" s="10"/>
      <c r="Z375" s="10"/>
      <c r="AA375" s="10"/>
      <c r="AB375" s="10"/>
      <c r="AC375" s="10"/>
      <c r="AD375" s="10"/>
      <c r="AE375" s="10"/>
    </row>
    <row r="376" spans="1:31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36"/>
      <c r="R376" s="36"/>
      <c r="S376" s="36"/>
      <c r="T376" s="36"/>
      <c r="U376" s="36"/>
      <c r="V376" s="36"/>
      <c r="W376" s="10"/>
      <c r="X376" s="10"/>
      <c r="Y376" s="10"/>
      <c r="Z376" s="10"/>
      <c r="AA376" s="10"/>
      <c r="AB376" s="10"/>
      <c r="AC376" s="10"/>
      <c r="AD376" s="10"/>
      <c r="AE376" s="10"/>
    </row>
    <row r="377" spans="1:31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36"/>
      <c r="R377" s="36"/>
      <c r="S377" s="36"/>
      <c r="T377" s="36"/>
      <c r="U377" s="36"/>
      <c r="V377" s="36"/>
      <c r="W377" s="10"/>
      <c r="X377" s="10"/>
      <c r="Y377" s="10"/>
      <c r="Z377" s="10"/>
      <c r="AA377" s="10"/>
      <c r="AB377" s="10"/>
      <c r="AC377" s="10"/>
      <c r="AD377" s="10"/>
      <c r="AE377" s="10"/>
    </row>
    <row r="378" spans="1:31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36"/>
      <c r="R378" s="36"/>
      <c r="S378" s="36"/>
      <c r="T378" s="36"/>
      <c r="U378" s="36"/>
      <c r="V378" s="36"/>
      <c r="W378" s="10"/>
      <c r="X378" s="10"/>
      <c r="Y378" s="10"/>
      <c r="Z378" s="10"/>
      <c r="AA378" s="10"/>
      <c r="AB378" s="10"/>
      <c r="AC378" s="10"/>
      <c r="AD378" s="10"/>
      <c r="AE378" s="10"/>
    </row>
    <row r="379" spans="1:31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36"/>
      <c r="R379" s="36"/>
      <c r="S379" s="36"/>
      <c r="T379" s="36"/>
      <c r="U379" s="36"/>
      <c r="V379" s="36"/>
      <c r="W379" s="10"/>
      <c r="X379" s="10"/>
      <c r="Y379" s="10"/>
      <c r="Z379" s="10"/>
      <c r="AA379" s="10"/>
      <c r="AB379" s="10"/>
      <c r="AC379" s="10"/>
      <c r="AD379" s="10"/>
      <c r="AE379" s="10"/>
    </row>
    <row r="380" spans="1:31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36"/>
      <c r="R380" s="36"/>
      <c r="S380" s="36"/>
      <c r="T380" s="36"/>
      <c r="U380" s="36"/>
      <c r="V380" s="36"/>
      <c r="W380" s="10"/>
      <c r="X380" s="10"/>
      <c r="Y380" s="10"/>
      <c r="Z380" s="10"/>
      <c r="AA380" s="10"/>
      <c r="AB380" s="10"/>
      <c r="AC380" s="10"/>
      <c r="AD380" s="10"/>
      <c r="AE380" s="10"/>
    </row>
    <row r="381" spans="1:3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36"/>
      <c r="R381" s="36"/>
      <c r="S381" s="36"/>
      <c r="T381" s="36"/>
      <c r="U381" s="36"/>
      <c r="V381" s="36"/>
      <c r="W381" s="10"/>
      <c r="X381" s="10"/>
      <c r="Y381" s="10"/>
      <c r="Z381" s="10"/>
      <c r="AA381" s="10"/>
      <c r="AB381" s="10"/>
      <c r="AC381" s="10"/>
      <c r="AD381" s="10"/>
      <c r="AE381" s="10"/>
    </row>
    <row r="382" spans="1:31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36"/>
      <c r="R382" s="36"/>
      <c r="S382" s="36"/>
      <c r="T382" s="36"/>
      <c r="U382" s="36"/>
      <c r="V382" s="36"/>
      <c r="W382" s="10"/>
      <c r="X382" s="10"/>
      <c r="Y382" s="10"/>
      <c r="Z382" s="10"/>
      <c r="AA382" s="10"/>
      <c r="AB382" s="10"/>
      <c r="AC382" s="10"/>
      <c r="AD382" s="10"/>
      <c r="AE382" s="10"/>
    </row>
    <row r="383" spans="1:31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36"/>
      <c r="R383" s="36"/>
      <c r="S383" s="36"/>
      <c r="T383" s="36"/>
      <c r="U383" s="36"/>
      <c r="V383" s="36"/>
      <c r="W383" s="10"/>
      <c r="X383" s="10"/>
      <c r="Y383" s="10"/>
      <c r="Z383" s="10"/>
      <c r="AA383" s="10"/>
      <c r="AB383" s="10"/>
      <c r="AC383" s="10"/>
      <c r="AD383" s="10"/>
      <c r="AE383" s="10"/>
    </row>
    <row r="384" spans="1:31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36"/>
      <c r="R384" s="36"/>
      <c r="S384" s="36"/>
      <c r="T384" s="36"/>
      <c r="U384" s="36"/>
      <c r="V384" s="36"/>
      <c r="W384" s="10"/>
      <c r="X384" s="10"/>
      <c r="Y384" s="10"/>
      <c r="Z384" s="10"/>
      <c r="AA384" s="10"/>
      <c r="AB384" s="10"/>
      <c r="AC384" s="10"/>
      <c r="AD384" s="10"/>
      <c r="AE384" s="10"/>
    </row>
    <row r="385" spans="1:31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36"/>
      <c r="R385" s="36"/>
      <c r="S385" s="36"/>
      <c r="T385" s="36"/>
      <c r="U385" s="36"/>
      <c r="V385" s="36"/>
      <c r="W385" s="10"/>
      <c r="X385" s="10"/>
      <c r="Y385" s="10"/>
      <c r="Z385" s="10"/>
      <c r="AA385" s="10"/>
      <c r="AB385" s="10"/>
      <c r="AC385" s="10"/>
      <c r="AD385" s="10"/>
      <c r="AE385" s="10"/>
    </row>
    <row r="386" spans="1:31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36"/>
      <c r="R386" s="36"/>
      <c r="S386" s="36"/>
      <c r="T386" s="36"/>
      <c r="U386" s="36"/>
      <c r="V386" s="36"/>
      <c r="W386" s="10"/>
      <c r="X386" s="10"/>
      <c r="Y386" s="10"/>
      <c r="Z386" s="10"/>
      <c r="AA386" s="10"/>
      <c r="AB386" s="10"/>
      <c r="AC386" s="10"/>
      <c r="AD386" s="10"/>
      <c r="AE386" s="10"/>
    </row>
    <row r="387" spans="1:31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36"/>
      <c r="R387" s="36"/>
      <c r="S387" s="36"/>
      <c r="T387" s="36"/>
      <c r="U387" s="36"/>
      <c r="V387" s="36"/>
      <c r="W387" s="10"/>
      <c r="X387" s="10"/>
      <c r="Y387" s="10"/>
      <c r="Z387" s="10"/>
      <c r="AA387" s="10"/>
      <c r="AB387" s="10"/>
      <c r="AC387" s="10"/>
      <c r="AD387" s="10"/>
      <c r="AE387" s="10"/>
    </row>
    <row r="388" spans="1:31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36"/>
      <c r="R388" s="36"/>
      <c r="S388" s="36"/>
      <c r="T388" s="36"/>
      <c r="U388" s="36"/>
      <c r="V388" s="36"/>
      <c r="W388" s="10"/>
      <c r="X388" s="10"/>
      <c r="Y388" s="10"/>
      <c r="Z388" s="10"/>
      <c r="AA388" s="10"/>
      <c r="AB388" s="10"/>
      <c r="AC388" s="10"/>
      <c r="AD388" s="10"/>
      <c r="AE388" s="10"/>
    </row>
    <row r="389" spans="1:31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36"/>
      <c r="R389" s="36"/>
      <c r="S389" s="36"/>
      <c r="T389" s="36"/>
      <c r="U389" s="36"/>
      <c r="V389" s="36"/>
      <c r="W389" s="10"/>
      <c r="X389" s="10"/>
      <c r="Y389" s="10"/>
      <c r="Z389" s="10"/>
      <c r="AA389" s="10"/>
      <c r="AB389" s="10"/>
      <c r="AC389" s="10"/>
      <c r="AD389" s="10"/>
      <c r="AE389" s="10"/>
    </row>
    <row r="390" spans="1:31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36"/>
      <c r="R390" s="36"/>
      <c r="S390" s="36"/>
      <c r="T390" s="36"/>
      <c r="U390" s="36"/>
      <c r="V390" s="36"/>
      <c r="W390" s="10"/>
      <c r="X390" s="10"/>
      <c r="Y390" s="10"/>
      <c r="Z390" s="10"/>
      <c r="AA390" s="10"/>
      <c r="AB390" s="10"/>
      <c r="AC390" s="10"/>
      <c r="AD390" s="10"/>
      <c r="AE390" s="10"/>
    </row>
    <row r="391" spans="1:3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36"/>
      <c r="R391" s="36"/>
      <c r="S391" s="36"/>
      <c r="T391" s="36"/>
      <c r="U391" s="36"/>
      <c r="V391" s="36"/>
      <c r="W391" s="10"/>
      <c r="X391" s="10"/>
      <c r="Y391" s="10"/>
      <c r="Z391" s="10"/>
      <c r="AA391" s="10"/>
      <c r="AB391" s="10"/>
      <c r="AC391" s="10"/>
      <c r="AD391" s="10"/>
      <c r="AE391" s="10"/>
    </row>
    <row r="392" spans="1:31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36"/>
      <c r="R392" s="36"/>
      <c r="S392" s="36"/>
      <c r="T392" s="36"/>
      <c r="U392" s="36"/>
      <c r="V392" s="36"/>
      <c r="W392" s="10"/>
      <c r="X392" s="10"/>
      <c r="Y392" s="10"/>
      <c r="Z392" s="10"/>
      <c r="AA392" s="10"/>
      <c r="AB392" s="10"/>
      <c r="AC392" s="10"/>
      <c r="AD392" s="10"/>
      <c r="AE392" s="10"/>
    </row>
    <row r="393" spans="1:31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36"/>
      <c r="R393" s="36"/>
      <c r="S393" s="36"/>
      <c r="T393" s="36"/>
      <c r="U393" s="36"/>
      <c r="V393" s="36"/>
      <c r="W393" s="10"/>
      <c r="X393" s="10"/>
      <c r="Y393" s="10"/>
      <c r="Z393" s="10"/>
      <c r="AA393" s="10"/>
      <c r="AB393" s="10"/>
      <c r="AC393" s="10"/>
      <c r="AD393" s="10"/>
      <c r="AE393" s="10"/>
    </row>
    <row r="394" spans="1:31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36"/>
      <c r="R394" s="36"/>
      <c r="S394" s="36"/>
      <c r="T394" s="36"/>
      <c r="U394" s="36"/>
      <c r="V394" s="36"/>
      <c r="W394" s="10"/>
      <c r="X394" s="10"/>
      <c r="Y394" s="10"/>
      <c r="Z394" s="10"/>
      <c r="AA394" s="10"/>
      <c r="AB394" s="10"/>
      <c r="AC394" s="10"/>
      <c r="AD394" s="10"/>
      <c r="AE394" s="10"/>
    </row>
    <row r="395" spans="1:31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36"/>
      <c r="R395" s="36"/>
      <c r="S395" s="36"/>
      <c r="T395" s="36"/>
      <c r="U395" s="36"/>
      <c r="V395" s="36"/>
      <c r="W395" s="10"/>
      <c r="X395" s="10"/>
      <c r="Y395" s="10"/>
      <c r="Z395" s="10"/>
      <c r="AA395" s="10"/>
      <c r="AB395" s="10"/>
      <c r="AC395" s="10"/>
      <c r="AD395" s="10"/>
      <c r="AE395" s="10"/>
    </row>
    <row r="396" spans="1:31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36"/>
      <c r="R396" s="36"/>
      <c r="S396" s="36"/>
      <c r="T396" s="36"/>
      <c r="U396" s="36"/>
      <c r="V396" s="36"/>
      <c r="W396" s="10"/>
      <c r="X396" s="10"/>
      <c r="Y396" s="10"/>
      <c r="Z396" s="10"/>
      <c r="AA396" s="10"/>
      <c r="AB396" s="10"/>
      <c r="AC396" s="10"/>
      <c r="AD396" s="10"/>
      <c r="AE396" s="10"/>
    </row>
    <row r="397" spans="1:31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36"/>
      <c r="R397" s="36"/>
      <c r="S397" s="36"/>
      <c r="T397" s="36"/>
      <c r="U397" s="36"/>
      <c r="V397" s="36"/>
      <c r="W397" s="10"/>
      <c r="X397" s="10"/>
      <c r="Y397" s="10"/>
      <c r="Z397" s="10"/>
      <c r="AA397" s="10"/>
      <c r="AB397" s="10"/>
      <c r="AC397" s="10"/>
      <c r="AD397" s="10"/>
      <c r="AE397" s="10"/>
    </row>
    <row r="398" spans="1:31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36"/>
      <c r="R398" s="36"/>
      <c r="S398" s="36"/>
      <c r="T398" s="36"/>
      <c r="U398" s="36"/>
      <c r="V398" s="36"/>
      <c r="W398" s="10"/>
      <c r="X398" s="10"/>
      <c r="Y398" s="10"/>
      <c r="Z398" s="10"/>
      <c r="AA398" s="10"/>
      <c r="AB398" s="10"/>
      <c r="AC398" s="10"/>
      <c r="AD398" s="10"/>
      <c r="AE398" s="10"/>
    </row>
    <row r="399" spans="1:31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36"/>
      <c r="R399" s="36"/>
      <c r="S399" s="36"/>
      <c r="T399" s="36"/>
      <c r="U399" s="36"/>
      <c r="V399" s="36"/>
      <c r="W399" s="10"/>
      <c r="X399" s="10"/>
      <c r="Y399" s="10"/>
      <c r="Z399" s="10"/>
      <c r="AA399" s="10"/>
      <c r="AB399" s="10"/>
      <c r="AC399" s="10"/>
      <c r="AD399" s="10"/>
      <c r="AE399" s="10"/>
    </row>
    <row r="400" spans="1:31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36"/>
      <c r="R400" s="36"/>
      <c r="S400" s="36"/>
      <c r="T400" s="36"/>
      <c r="U400" s="36"/>
      <c r="V400" s="36"/>
      <c r="W400" s="10"/>
      <c r="X400" s="10"/>
      <c r="Y400" s="10"/>
      <c r="Z400" s="10"/>
      <c r="AA400" s="10"/>
      <c r="AB400" s="10"/>
      <c r="AC400" s="10"/>
      <c r="AD400" s="10"/>
      <c r="AE400" s="10"/>
    </row>
    <row r="401" spans="1:3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36"/>
      <c r="R401" s="36"/>
      <c r="S401" s="36"/>
      <c r="T401" s="36"/>
      <c r="U401" s="36"/>
      <c r="V401" s="36"/>
      <c r="W401" s="10"/>
      <c r="X401" s="10"/>
      <c r="Y401" s="10"/>
      <c r="Z401" s="10"/>
      <c r="AA401" s="10"/>
      <c r="AB401" s="10"/>
      <c r="AC401" s="10"/>
      <c r="AD401" s="10"/>
      <c r="AE401" s="10"/>
    </row>
    <row r="402" spans="1:31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36"/>
      <c r="R402" s="36"/>
      <c r="S402" s="36"/>
      <c r="T402" s="36"/>
      <c r="U402" s="36"/>
      <c r="V402" s="36"/>
      <c r="W402" s="10"/>
      <c r="X402" s="10"/>
      <c r="Y402" s="10"/>
      <c r="Z402" s="10"/>
      <c r="AA402" s="10"/>
      <c r="AB402" s="10"/>
      <c r="AC402" s="10"/>
      <c r="AD402" s="10"/>
      <c r="AE402" s="10"/>
    </row>
    <row r="403" spans="1:31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36"/>
      <c r="R403" s="36"/>
      <c r="S403" s="36"/>
      <c r="T403" s="36"/>
      <c r="U403" s="36"/>
      <c r="V403" s="36"/>
      <c r="W403" s="10"/>
      <c r="X403" s="10"/>
      <c r="Y403" s="10"/>
      <c r="Z403" s="10"/>
      <c r="AA403" s="10"/>
      <c r="AB403" s="10"/>
      <c r="AC403" s="10"/>
      <c r="AD403" s="10"/>
      <c r="AE403" s="10"/>
    </row>
    <row r="404" spans="1:31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36"/>
      <c r="R404" s="36"/>
      <c r="S404" s="36"/>
      <c r="T404" s="36"/>
      <c r="U404" s="36"/>
      <c r="V404" s="36"/>
      <c r="W404" s="10"/>
      <c r="X404" s="10"/>
      <c r="Y404" s="10"/>
      <c r="Z404" s="10"/>
      <c r="AA404" s="10"/>
      <c r="AB404" s="10"/>
      <c r="AC404" s="10"/>
      <c r="AD404" s="10"/>
      <c r="AE404" s="10"/>
    </row>
    <row r="405" spans="1:31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36"/>
      <c r="R405" s="36"/>
      <c r="S405" s="36"/>
      <c r="T405" s="36"/>
      <c r="U405" s="36"/>
      <c r="V405" s="36"/>
      <c r="W405" s="10"/>
      <c r="X405" s="10"/>
      <c r="Y405" s="10"/>
      <c r="Z405" s="10"/>
      <c r="AA405" s="10"/>
      <c r="AB405" s="10"/>
      <c r="AC405" s="10"/>
      <c r="AD405" s="10"/>
      <c r="AE405" s="10"/>
    </row>
    <row r="406" spans="1:31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36"/>
      <c r="R406" s="36"/>
      <c r="S406" s="36"/>
      <c r="T406" s="36"/>
      <c r="U406" s="36"/>
      <c r="V406" s="36"/>
      <c r="W406" s="10"/>
      <c r="X406" s="10"/>
      <c r="Y406" s="10"/>
      <c r="Z406" s="10"/>
      <c r="AA406" s="10"/>
      <c r="AB406" s="10"/>
      <c r="AC406" s="10"/>
      <c r="AD406" s="10"/>
      <c r="AE406" s="10"/>
    </row>
    <row r="407" spans="1:31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36"/>
      <c r="R407" s="36"/>
      <c r="S407" s="36"/>
      <c r="T407" s="36"/>
      <c r="U407" s="36"/>
      <c r="V407" s="36"/>
      <c r="W407" s="10"/>
      <c r="X407" s="10"/>
      <c r="Y407" s="10"/>
      <c r="Z407" s="10"/>
      <c r="AA407" s="10"/>
      <c r="AB407" s="10"/>
      <c r="AC407" s="10"/>
      <c r="AD407" s="10"/>
      <c r="AE407" s="10"/>
    </row>
    <row r="408" spans="1:31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36"/>
      <c r="R408" s="36"/>
      <c r="S408" s="36"/>
      <c r="T408" s="36"/>
      <c r="U408" s="36"/>
      <c r="V408" s="36"/>
      <c r="W408" s="10"/>
      <c r="X408" s="10"/>
      <c r="Y408" s="10"/>
      <c r="Z408" s="10"/>
      <c r="AA408" s="10"/>
      <c r="AB408" s="10"/>
      <c r="AC408" s="10"/>
      <c r="AD408" s="10"/>
      <c r="AE408" s="10"/>
    </row>
    <row r="409" spans="1:31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36"/>
      <c r="R409" s="36"/>
      <c r="S409" s="36"/>
      <c r="T409" s="36"/>
      <c r="U409" s="36"/>
      <c r="V409" s="36"/>
      <c r="W409" s="10"/>
      <c r="X409" s="10"/>
      <c r="Y409" s="10"/>
      <c r="Z409" s="10"/>
      <c r="AA409" s="10"/>
      <c r="AB409" s="10"/>
      <c r="AC409" s="10"/>
      <c r="AD409" s="10"/>
      <c r="AE409" s="10"/>
    </row>
    <row r="410" spans="1:31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36"/>
      <c r="R410" s="36"/>
      <c r="S410" s="36"/>
      <c r="T410" s="36"/>
      <c r="U410" s="36"/>
      <c r="V410" s="36"/>
      <c r="W410" s="10"/>
      <c r="X410" s="10"/>
      <c r="Y410" s="10"/>
      <c r="Z410" s="10"/>
      <c r="AA410" s="10"/>
      <c r="AB410" s="10"/>
      <c r="AC410" s="10"/>
      <c r="AD410" s="10"/>
      <c r="AE410" s="10"/>
    </row>
    <row r="411" spans="1:3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36"/>
      <c r="R411" s="36"/>
      <c r="S411" s="36"/>
      <c r="T411" s="36"/>
      <c r="U411" s="36"/>
      <c r="V411" s="36"/>
      <c r="W411" s="10"/>
      <c r="X411" s="10"/>
      <c r="Y411" s="10"/>
      <c r="Z411" s="10"/>
      <c r="AA411" s="10"/>
      <c r="AB411" s="10"/>
      <c r="AC411" s="10"/>
      <c r="AD411" s="10"/>
      <c r="AE411" s="10"/>
    </row>
    <row r="412" spans="1:31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36"/>
      <c r="R412" s="36"/>
      <c r="S412" s="36"/>
      <c r="T412" s="36"/>
      <c r="U412" s="36"/>
      <c r="V412" s="36"/>
      <c r="W412" s="10"/>
      <c r="X412" s="10"/>
      <c r="Y412" s="10"/>
      <c r="Z412" s="10"/>
      <c r="AA412" s="10"/>
      <c r="AB412" s="10"/>
      <c r="AC412" s="10"/>
      <c r="AD412" s="10"/>
      <c r="AE412" s="10"/>
    </row>
    <row r="413" spans="1:31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36"/>
      <c r="R413" s="36"/>
      <c r="S413" s="36"/>
      <c r="T413" s="36"/>
      <c r="U413" s="36"/>
      <c r="V413" s="36"/>
      <c r="W413" s="10"/>
      <c r="X413" s="10"/>
      <c r="Y413" s="10"/>
      <c r="Z413" s="10"/>
      <c r="AA413" s="10"/>
      <c r="AB413" s="10"/>
      <c r="AC413" s="10"/>
      <c r="AD413" s="10"/>
      <c r="AE413" s="10"/>
    </row>
    <row r="414" spans="1:31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36"/>
      <c r="R414" s="36"/>
      <c r="S414" s="36"/>
      <c r="T414" s="36"/>
      <c r="U414" s="36"/>
      <c r="V414" s="36"/>
      <c r="W414" s="10"/>
      <c r="X414" s="10"/>
      <c r="Y414" s="10"/>
      <c r="Z414" s="10"/>
      <c r="AA414" s="10"/>
      <c r="AB414" s="10"/>
      <c r="AC414" s="10"/>
      <c r="AD414" s="10"/>
      <c r="AE414" s="10"/>
    </row>
    <row r="415" spans="1:31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36"/>
      <c r="R415" s="36"/>
      <c r="S415" s="36"/>
      <c r="T415" s="36"/>
      <c r="U415" s="36"/>
      <c r="V415" s="36"/>
      <c r="W415" s="10"/>
      <c r="X415" s="10"/>
      <c r="Y415" s="10"/>
      <c r="Z415" s="10"/>
      <c r="AA415" s="10"/>
      <c r="AB415" s="10"/>
      <c r="AC415" s="10"/>
      <c r="AD415" s="10"/>
      <c r="AE415" s="10"/>
    </row>
    <row r="416" spans="1:31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36"/>
      <c r="R416" s="36"/>
      <c r="S416" s="36"/>
      <c r="T416" s="36"/>
      <c r="U416" s="36"/>
      <c r="V416" s="36"/>
      <c r="W416" s="10"/>
      <c r="X416" s="10"/>
      <c r="Y416" s="10"/>
      <c r="Z416" s="10"/>
      <c r="AA416" s="10"/>
      <c r="AB416" s="10"/>
      <c r="AC416" s="10"/>
      <c r="AD416" s="10"/>
      <c r="AE416" s="10"/>
    </row>
    <row r="417" spans="1:31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36"/>
      <c r="R417" s="36"/>
      <c r="S417" s="36"/>
      <c r="T417" s="36"/>
      <c r="U417" s="36"/>
      <c r="V417" s="36"/>
      <c r="W417" s="10"/>
      <c r="X417" s="10"/>
      <c r="Y417" s="10"/>
      <c r="Z417" s="10"/>
      <c r="AA417" s="10"/>
      <c r="AB417" s="10"/>
      <c r="AC417" s="10"/>
      <c r="AD417" s="10"/>
      <c r="AE417" s="10"/>
    </row>
    <row r="418" spans="1:31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36"/>
      <c r="R418" s="36"/>
      <c r="S418" s="36"/>
      <c r="T418" s="36"/>
      <c r="U418" s="36"/>
      <c r="V418" s="36"/>
      <c r="W418" s="10"/>
      <c r="X418" s="10"/>
      <c r="Y418" s="10"/>
      <c r="Z418" s="10"/>
      <c r="AA418" s="10"/>
      <c r="AB418" s="10"/>
      <c r="AC418" s="10"/>
      <c r="AD418" s="10"/>
      <c r="AE418" s="10"/>
    </row>
    <row r="419" spans="1:31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36"/>
      <c r="R419" s="36"/>
      <c r="S419" s="36"/>
      <c r="T419" s="36"/>
      <c r="U419" s="36"/>
      <c r="V419" s="36"/>
      <c r="W419" s="10"/>
      <c r="X419" s="10"/>
      <c r="Y419" s="10"/>
      <c r="Z419" s="10"/>
      <c r="AA419" s="10"/>
      <c r="AB419" s="10"/>
      <c r="AC419" s="10"/>
      <c r="AD419" s="10"/>
      <c r="AE419" s="10"/>
    </row>
    <row r="420" spans="1:31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36"/>
      <c r="R420" s="36"/>
      <c r="S420" s="36"/>
      <c r="T420" s="36"/>
      <c r="U420" s="36"/>
      <c r="V420" s="36"/>
      <c r="W420" s="10"/>
      <c r="X420" s="10"/>
      <c r="Y420" s="10"/>
      <c r="Z420" s="10"/>
      <c r="AA420" s="10"/>
      <c r="AB420" s="10"/>
      <c r="AC420" s="10"/>
      <c r="AD420" s="10"/>
      <c r="AE420" s="10"/>
    </row>
    <row r="421" spans="1:3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36"/>
      <c r="R421" s="36"/>
      <c r="S421" s="36"/>
      <c r="T421" s="36"/>
      <c r="U421" s="36"/>
      <c r="V421" s="36"/>
      <c r="W421" s="10"/>
      <c r="X421" s="10"/>
      <c r="Y421" s="10"/>
      <c r="Z421" s="10"/>
      <c r="AA421" s="10"/>
      <c r="AB421" s="10"/>
      <c r="AC421" s="10"/>
      <c r="AD421" s="10"/>
      <c r="AE421" s="10"/>
    </row>
    <row r="422" spans="1:31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36"/>
      <c r="R422" s="36"/>
      <c r="S422" s="36"/>
      <c r="T422" s="36"/>
      <c r="U422" s="36"/>
      <c r="V422" s="36"/>
      <c r="W422" s="10"/>
      <c r="X422" s="10"/>
      <c r="Y422" s="10"/>
      <c r="Z422" s="10"/>
      <c r="AA422" s="10"/>
      <c r="AB422" s="10"/>
      <c r="AC422" s="10"/>
      <c r="AD422" s="10"/>
      <c r="AE422" s="10"/>
    </row>
    <row r="423" spans="1:31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36"/>
      <c r="R423" s="36"/>
      <c r="S423" s="36"/>
      <c r="T423" s="36"/>
      <c r="U423" s="36"/>
      <c r="V423" s="36"/>
      <c r="W423" s="10"/>
      <c r="X423" s="10"/>
      <c r="Y423" s="10"/>
      <c r="Z423" s="10"/>
      <c r="AA423" s="10"/>
      <c r="AB423" s="10"/>
      <c r="AC423" s="10"/>
      <c r="AD423" s="10"/>
      <c r="AE423" s="10"/>
    </row>
    <row r="424" spans="1:31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36"/>
      <c r="R424" s="36"/>
      <c r="S424" s="36"/>
      <c r="T424" s="36"/>
      <c r="U424" s="36"/>
      <c r="V424" s="36"/>
      <c r="W424" s="10"/>
      <c r="X424" s="10"/>
      <c r="Y424" s="10"/>
      <c r="Z424" s="10"/>
      <c r="AA424" s="10"/>
      <c r="AB424" s="10"/>
      <c r="AC424" s="10"/>
      <c r="AD424" s="10"/>
      <c r="AE424" s="10"/>
    </row>
    <row r="425" spans="1:31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36"/>
      <c r="R425" s="36"/>
      <c r="S425" s="36"/>
      <c r="T425" s="36"/>
      <c r="U425" s="36"/>
      <c r="V425" s="36"/>
      <c r="W425" s="10"/>
      <c r="X425" s="10"/>
      <c r="Y425" s="10"/>
      <c r="Z425" s="10"/>
      <c r="AA425" s="10"/>
      <c r="AB425" s="10"/>
      <c r="AC425" s="10"/>
      <c r="AD425" s="10"/>
      <c r="AE425" s="10"/>
    </row>
    <row r="426" spans="1:31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36"/>
      <c r="R426" s="36"/>
      <c r="S426" s="36"/>
      <c r="T426" s="36"/>
      <c r="U426" s="36"/>
      <c r="V426" s="36"/>
      <c r="W426" s="10"/>
      <c r="X426" s="10"/>
      <c r="Y426" s="10"/>
      <c r="Z426" s="10"/>
      <c r="AA426" s="10"/>
      <c r="AB426" s="10"/>
      <c r="AC426" s="10"/>
      <c r="AD426" s="10"/>
      <c r="AE426" s="10"/>
    </row>
    <row r="427" spans="1:31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36"/>
      <c r="R427" s="36"/>
      <c r="S427" s="36"/>
      <c r="T427" s="36"/>
      <c r="U427" s="36"/>
      <c r="V427" s="36"/>
      <c r="W427" s="10"/>
      <c r="X427" s="10"/>
      <c r="Y427" s="10"/>
      <c r="Z427" s="10"/>
      <c r="AA427" s="10"/>
      <c r="AB427" s="10"/>
      <c r="AC427" s="10"/>
      <c r="AD427" s="10"/>
      <c r="AE427" s="10"/>
    </row>
    <row r="428" spans="1:31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36"/>
      <c r="R428" s="36"/>
      <c r="S428" s="36"/>
      <c r="T428" s="36"/>
      <c r="U428" s="36"/>
      <c r="V428" s="36"/>
      <c r="W428" s="10"/>
      <c r="X428" s="10"/>
      <c r="Y428" s="10"/>
      <c r="Z428" s="10"/>
      <c r="AA428" s="10"/>
      <c r="AB428" s="10"/>
      <c r="AC428" s="10"/>
      <c r="AD428" s="10"/>
      <c r="AE428" s="10"/>
    </row>
    <row r="429" spans="1:31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36"/>
      <c r="R429" s="36"/>
      <c r="S429" s="36"/>
      <c r="T429" s="36"/>
      <c r="U429" s="36"/>
      <c r="V429" s="36"/>
      <c r="W429" s="10"/>
      <c r="X429" s="10"/>
      <c r="Y429" s="10"/>
      <c r="Z429" s="10"/>
      <c r="AA429" s="10"/>
      <c r="AB429" s="10"/>
      <c r="AC429" s="10"/>
      <c r="AD429" s="10"/>
      <c r="AE429" s="10"/>
    </row>
    <row r="430" spans="1:31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36"/>
      <c r="R430" s="36"/>
      <c r="S430" s="36"/>
      <c r="T430" s="36"/>
      <c r="U430" s="36"/>
      <c r="V430" s="36"/>
      <c r="W430" s="10"/>
      <c r="X430" s="10"/>
      <c r="Y430" s="10"/>
      <c r="Z430" s="10"/>
      <c r="AA430" s="10"/>
      <c r="AB430" s="10"/>
      <c r="AC430" s="10"/>
      <c r="AD430" s="10"/>
      <c r="AE430" s="10"/>
    </row>
    <row r="431" spans="1: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36"/>
      <c r="R431" s="36"/>
      <c r="S431" s="36"/>
      <c r="T431" s="36"/>
      <c r="U431" s="36"/>
      <c r="V431" s="36"/>
      <c r="W431" s="10"/>
      <c r="X431" s="10"/>
      <c r="Y431" s="10"/>
      <c r="Z431" s="10"/>
      <c r="AA431" s="10"/>
      <c r="AB431" s="10"/>
      <c r="AC431" s="10"/>
      <c r="AD431" s="10"/>
      <c r="AE431" s="10"/>
    </row>
    <row r="432" spans="1:31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36"/>
      <c r="R432" s="36"/>
      <c r="S432" s="36"/>
      <c r="T432" s="36"/>
      <c r="U432" s="36"/>
      <c r="V432" s="36"/>
      <c r="W432" s="10"/>
      <c r="X432" s="10"/>
      <c r="Y432" s="10"/>
      <c r="Z432" s="10"/>
      <c r="AA432" s="10"/>
      <c r="AB432" s="10"/>
      <c r="AC432" s="10"/>
      <c r="AD432" s="10"/>
      <c r="AE432" s="10"/>
    </row>
    <row r="433" spans="1:31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36"/>
      <c r="R433" s="36"/>
      <c r="S433" s="36"/>
      <c r="T433" s="36"/>
      <c r="U433" s="36"/>
      <c r="V433" s="36"/>
      <c r="W433" s="10"/>
      <c r="X433" s="10"/>
      <c r="Y433" s="10"/>
      <c r="Z433" s="10"/>
      <c r="AA433" s="10"/>
      <c r="AB433" s="10"/>
      <c r="AC433" s="10"/>
      <c r="AD433" s="10"/>
      <c r="AE433" s="10"/>
    </row>
    <row r="434" spans="1:31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36"/>
      <c r="R434" s="36"/>
      <c r="S434" s="36"/>
      <c r="T434" s="36"/>
      <c r="U434" s="36"/>
      <c r="V434" s="36"/>
      <c r="W434" s="10"/>
      <c r="X434" s="10"/>
      <c r="Y434" s="10"/>
      <c r="Z434" s="10"/>
      <c r="AA434" s="10"/>
      <c r="AB434" s="10"/>
      <c r="AC434" s="10"/>
      <c r="AD434" s="10"/>
      <c r="AE434" s="10"/>
    </row>
    <row r="435" spans="1:31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36"/>
      <c r="R435" s="36"/>
      <c r="S435" s="36"/>
      <c r="T435" s="36"/>
      <c r="U435" s="36"/>
      <c r="V435" s="36"/>
      <c r="W435" s="10"/>
      <c r="X435" s="10"/>
      <c r="Y435" s="10"/>
      <c r="Z435" s="10"/>
      <c r="AA435" s="10"/>
      <c r="AB435" s="10"/>
      <c r="AC435" s="10"/>
      <c r="AD435" s="10"/>
      <c r="AE435" s="10"/>
    </row>
    <row r="436" spans="1:31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36"/>
      <c r="R436" s="36"/>
      <c r="S436" s="36"/>
      <c r="T436" s="36"/>
      <c r="U436" s="36"/>
      <c r="V436" s="36"/>
      <c r="W436" s="10"/>
      <c r="X436" s="10"/>
      <c r="Y436" s="10"/>
      <c r="Z436" s="10"/>
      <c r="AA436" s="10"/>
      <c r="AB436" s="10"/>
      <c r="AC436" s="10"/>
      <c r="AD436" s="10"/>
      <c r="AE436" s="10"/>
    </row>
    <row r="437" spans="1:31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36"/>
      <c r="R437" s="36"/>
      <c r="S437" s="36"/>
      <c r="T437" s="36"/>
      <c r="U437" s="36"/>
      <c r="V437" s="36"/>
      <c r="W437" s="10"/>
      <c r="X437" s="10"/>
      <c r="Y437" s="10"/>
      <c r="Z437" s="10"/>
      <c r="AA437" s="10"/>
      <c r="AB437" s="10"/>
      <c r="AC437" s="10"/>
      <c r="AD437" s="10"/>
      <c r="AE437" s="10"/>
    </row>
    <row r="438" spans="1:31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36"/>
      <c r="R438" s="36"/>
      <c r="S438" s="36"/>
      <c r="T438" s="36"/>
      <c r="U438" s="36"/>
      <c r="V438" s="36"/>
      <c r="W438" s="10"/>
      <c r="X438" s="10"/>
      <c r="Y438" s="10"/>
      <c r="Z438" s="10"/>
      <c r="AA438" s="10"/>
      <c r="AB438" s="10"/>
      <c r="AC438" s="10"/>
      <c r="AD438" s="10"/>
      <c r="AE438" s="10"/>
    </row>
    <row r="439" spans="1:31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36"/>
      <c r="R439" s="36"/>
      <c r="S439" s="36"/>
      <c r="T439" s="36"/>
      <c r="U439" s="36"/>
      <c r="V439" s="36"/>
      <c r="W439" s="10"/>
      <c r="X439" s="10"/>
      <c r="Y439" s="10"/>
      <c r="Z439" s="10"/>
      <c r="AA439" s="10"/>
      <c r="AB439" s="10"/>
      <c r="AC439" s="10"/>
      <c r="AD439" s="10"/>
      <c r="AE439" s="10"/>
    </row>
    <row r="440" spans="1:31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36"/>
      <c r="R440" s="36"/>
      <c r="S440" s="36"/>
      <c r="T440" s="36"/>
      <c r="U440" s="36"/>
      <c r="V440" s="36"/>
      <c r="W440" s="10"/>
      <c r="X440" s="10"/>
      <c r="Y440" s="10"/>
      <c r="Z440" s="10"/>
      <c r="AA440" s="10"/>
      <c r="AB440" s="10"/>
      <c r="AC440" s="10"/>
      <c r="AD440" s="10"/>
      <c r="AE440" s="10"/>
    </row>
    <row r="441" spans="1:3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36"/>
      <c r="R441" s="36"/>
      <c r="S441" s="36"/>
      <c r="T441" s="36"/>
      <c r="U441" s="36"/>
      <c r="V441" s="36"/>
      <c r="W441" s="10"/>
      <c r="X441" s="10"/>
      <c r="Y441" s="10"/>
      <c r="Z441" s="10"/>
      <c r="AA441" s="10"/>
      <c r="AB441" s="10"/>
      <c r="AC441" s="10"/>
      <c r="AD441" s="10"/>
      <c r="AE441" s="10"/>
    </row>
    <row r="442" spans="1:31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36"/>
      <c r="R442" s="36"/>
      <c r="S442" s="36"/>
      <c r="T442" s="36"/>
      <c r="U442" s="36"/>
      <c r="V442" s="36"/>
      <c r="W442" s="10"/>
      <c r="X442" s="10"/>
      <c r="Y442" s="10"/>
      <c r="Z442" s="10"/>
      <c r="AA442" s="10"/>
      <c r="AB442" s="10"/>
      <c r="AC442" s="10"/>
      <c r="AD442" s="10"/>
      <c r="AE442" s="10"/>
    </row>
    <row r="443" spans="1:31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36"/>
      <c r="R443" s="36"/>
      <c r="S443" s="36"/>
      <c r="T443" s="36"/>
      <c r="U443" s="36"/>
      <c r="V443" s="36"/>
      <c r="W443" s="10"/>
      <c r="X443" s="10"/>
      <c r="Y443" s="10"/>
      <c r="Z443" s="10"/>
      <c r="AA443" s="10"/>
      <c r="AB443" s="10"/>
      <c r="AC443" s="10"/>
      <c r="AD443" s="10"/>
      <c r="AE443" s="10"/>
    </row>
    <row r="444" spans="1:31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36"/>
      <c r="R444" s="36"/>
      <c r="S444" s="36"/>
      <c r="T444" s="36"/>
      <c r="U444" s="36"/>
      <c r="V444" s="36"/>
      <c r="W444" s="10"/>
      <c r="X444" s="10"/>
      <c r="Y444" s="10"/>
      <c r="Z444" s="10"/>
      <c r="AA444" s="10"/>
      <c r="AB444" s="10"/>
      <c r="AC444" s="10"/>
      <c r="AD444" s="10"/>
      <c r="AE444" s="10"/>
    </row>
    <row r="445" spans="1:31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36"/>
      <c r="R445" s="36"/>
      <c r="S445" s="36"/>
      <c r="T445" s="36"/>
      <c r="U445" s="36"/>
      <c r="V445" s="36"/>
      <c r="W445" s="10"/>
      <c r="X445" s="10"/>
      <c r="Y445" s="10"/>
      <c r="Z445" s="10"/>
      <c r="AA445" s="10"/>
      <c r="AB445" s="10"/>
      <c r="AC445" s="10"/>
      <c r="AD445" s="10"/>
      <c r="AE445" s="10"/>
    </row>
    <row r="446" spans="1:31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36"/>
      <c r="R446" s="36"/>
      <c r="S446" s="36"/>
      <c r="T446" s="36"/>
      <c r="U446" s="36"/>
      <c r="V446" s="36"/>
      <c r="W446" s="10"/>
      <c r="X446" s="10"/>
      <c r="Y446" s="10"/>
      <c r="Z446" s="10"/>
      <c r="AA446" s="10"/>
      <c r="AB446" s="10"/>
      <c r="AC446" s="10"/>
      <c r="AD446" s="10"/>
      <c r="AE446" s="10"/>
    </row>
    <row r="447" spans="1:31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36"/>
      <c r="R447" s="36"/>
      <c r="S447" s="36"/>
      <c r="T447" s="36"/>
      <c r="U447" s="36"/>
      <c r="V447" s="36"/>
      <c r="W447" s="10"/>
      <c r="X447" s="10"/>
      <c r="Y447" s="10"/>
      <c r="Z447" s="10"/>
      <c r="AA447" s="10"/>
      <c r="AB447" s="10"/>
      <c r="AC447" s="10"/>
      <c r="AD447" s="10"/>
      <c r="AE447" s="10"/>
    </row>
    <row r="448" spans="1:31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36"/>
      <c r="R448" s="36"/>
      <c r="S448" s="36"/>
      <c r="T448" s="36"/>
      <c r="U448" s="36"/>
      <c r="V448" s="36"/>
      <c r="W448" s="10"/>
      <c r="X448" s="10"/>
      <c r="Y448" s="10"/>
      <c r="Z448" s="10"/>
      <c r="AA448" s="10"/>
      <c r="AB448" s="10"/>
      <c r="AC448" s="10"/>
      <c r="AD448" s="10"/>
      <c r="AE448" s="10"/>
    </row>
    <row r="449" spans="1:31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36"/>
      <c r="R449" s="36"/>
      <c r="S449" s="36"/>
      <c r="T449" s="36"/>
      <c r="U449" s="36"/>
      <c r="V449" s="36"/>
      <c r="W449" s="10"/>
      <c r="X449" s="10"/>
      <c r="Y449" s="10"/>
      <c r="Z449" s="10"/>
      <c r="AA449" s="10"/>
      <c r="AB449" s="10"/>
      <c r="AC449" s="10"/>
      <c r="AD449" s="10"/>
      <c r="AE449" s="10"/>
    </row>
    <row r="450" spans="1:31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36"/>
      <c r="R450" s="36"/>
      <c r="S450" s="36"/>
      <c r="T450" s="36"/>
      <c r="U450" s="36"/>
      <c r="V450" s="36"/>
      <c r="W450" s="10"/>
      <c r="X450" s="10"/>
      <c r="Y450" s="10"/>
      <c r="Z450" s="10"/>
      <c r="AA450" s="10"/>
      <c r="AB450" s="10"/>
      <c r="AC450" s="10"/>
      <c r="AD450" s="10"/>
      <c r="AE450" s="10"/>
    </row>
    <row r="451" spans="1:3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36"/>
      <c r="R451" s="36"/>
      <c r="S451" s="36"/>
      <c r="T451" s="36"/>
      <c r="U451" s="36"/>
      <c r="V451" s="36"/>
      <c r="W451" s="10"/>
      <c r="X451" s="10"/>
      <c r="Y451" s="10"/>
      <c r="Z451" s="10"/>
      <c r="AA451" s="10"/>
      <c r="AB451" s="10"/>
      <c r="AC451" s="10"/>
      <c r="AD451" s="10"/>
      <c r="AE451" s="10"/>
    </row>
    <row r="452" spans="1:31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36"/>
      <c r="R452" s="36"/>
      <c r="S452" s="36"/>
      <c r="T452" s="36"/>
      <c r="U452" s="36"/>
      <c r="V452" s="36"/>
      <c r="W452" s="10"/>
      <c r="X452" s="10"/>
      <c r="Y452" s="10"/>
      <c r="Z452" s="10"/>
      <c r="AA452" s="10"/>
      <c r="AB452" s="10"/>
      <c r="AC452" s="10"/>
      <c r="AD452" s="10"/>
      <c r="AE452" s="10"/>
    </row>
    <row r="453" spans="1:31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36"/>
      <c r="R453" s="36"/>
      <c r="S453" s="36"/>
      <c r="T453" s="36"/>
      <c r="U453" s="36"/>
      <c r="V453" s="36"/>
      <c r="W453" s="10"/>
      <c r="X453" s="10"/>
      <c r="Y453" s="10"/>
      <c r="Z453" s="10"/>
      <c r="AA453" s="10"/>
      <c r="AB453" s="10"/>
      <c r="AC453" s="10"/>
      <c r="AD453" s="10"/>
      <c r="AE453" s="10"/>
    </row>
    <row r="454" spans="1:31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36"/>
      <c r="R454" s="36"/>
      <c r="S454" s="36"/>
      <c r="T454" s="36"/>
      <c r="U454" s="36"/>
      <c r="V454" s="36"/>
      <c r="W454" s="10"/>
      <c r="X454" s="10"/>
      <c r="Y454" s="10"/>
      <c r="Z454" s="10"/>
      <c r="AA454" s="10"/>
      <c r="AB454" s="10"/>
      <c r="AC454" s="10"/>
      <c r="AD454" s="10"/>
      <c r="AE454" s="10"/>
    </row>
    <row r="455" spans="1:31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36"/>
      <c r="R455" s="36"/>
      <c r="S455" s="36"/>
      <c r="T455" s="36"/>
      <c r="U455" s="36"/>
      <c r="V455" s="36"/>
      <c r="W455" s="10"/>
      <c r="X455" s="10"/>
      <c r="Y455" s="10"/>
      <c r="Z455" s="10"/>
      <c r="AA455" s="10"/>
      <c r="AB455" s="10"/>
      <c r="AC455" s="10"/>
      <c r="AD455" s="10"/>
      <c r="AE455" s="10"/>
    </row>
    <row r="456" spans="1:31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36"/>
      <c r="R456" s="36"/>
      <c r="S456" s="36"/>
      <c r="T456" s="36"/>
      <c r="U456" s="36"/>
      <c r="V456" s="36"/>
      <c r="W456" s="10"/>
      <c r="X456" s="10"/>
      <c r="Y456" s="10"/>
      <c r="Z456" s="10"/>
      <c r="AA456" s="10"/>
      <c r="AB456" s="10"/>
      <c r="AC456" s="10"/>
      <c r="AD456" s="10"/>
      <c r="AE456" s="10"/>
    </row>
    <row r="457" spans="1:31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36"/>
      <c r="R457" s="36"/>
      <c r="S457" s="36"/>
      <c r="T457" s="36"/>
      <c r="U457" s="36"/>
      <c r="V457" s="36"/>
      <c r="W457" s="10"/>
      <c r="X457" s="10"/>
      <c r="Y457" s="10"/>
      <c r="Z457" s="10"/>
      <c r="AA457" s="10"/>
      <c r="AB457" s="10"/>
      <c r="AC457" s="10"/>
      <c r="AD457" s="10"/>
      <c r="AE457" s="10"/>
    </row>
    <row r="458" spans="1:31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36"/>
      <c r="R458" s="36"/>
      <c r="S458" s="36"/>
      <c r="T458" s="36"/>
      <c r="U458" s="36"/>
      <c r="V458" s="36"/>
      <c r="W458" s="10"/>
      <c r="X458" s="10"/>
      <c r="Y458" s="10"/>
      <c r="Z458" s="10"/>
      <c r="AA458" s="10"/>
      <c r="AB458" s="10"/>
      <c r="AC458" s="10"/>
      <c r="AD458" s="10"/>
      <c r="AE458" s="10"/>
    </row>
    <row r="459" spans="1:31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36"/>
      <c r="R459" s="36"/>
      <c r="S459" s="36"/>
      <c r="T459" s="36"/>
      <c r="U459" s="36"/>
      <c r="V459" s="36"/>
      <c r="W459" s="10"/>
      <c r="X459" s="10"/>
      <c r="Y459" s="10"/>
      <c r="Z459" s="10"/>
      <c r="AA459" s="10"/>
      <c r="AB459" s="10"/>
      <c r="AC459" s="10"/>
      <c r="AD459" s="10"/>
      <c r="AE459" s="10"/>
    </row>
    <row r="460" spans="1:31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36"/>
      <c r="R460" s="36"/>
      <c r="S460" s="36"/>
      <c r="T460" s="36"/>
      <c r="U460" s="36"/>
      <c r="V460" s="36"/>
      <c r="W460" s="10"/>
      <c r="X460" s="10"/>
      <c r="Y460" s="10"/>
      <c r="Z460" s="10"/>
      <c r="AA460" s="10"/>
      <c r="AB460" s="10"/>
      <c r="AC460" s="10"/>
      <c r="AD460" s="10"/>
      <c r="AE460" s="10"/>
    </row>
    <row r="461" spans="1:3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36"/>
      <c r="R461" s="36"/>
      <c r="S461" s="36"/>
      <c r="T461" s="36"/>
      <c r="U461" s="36"/>
      <c r="V461" s="36"/>
      <c r="W461" s="10"/>
      <c r="X461" s="10"/>
      <c r="Y461" s="10"/>
      <c r="Z461" s="10"/>
      <c r="AA461" s="10"/>
      <c r="AB461" s="10"/>
      <c r="AC461" s="10"/>
      <c r="AD461" s="10"/>
      <c r="AE461" s="10"/>
    </row>
    <row r="462" spans="1:31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36"/>
      <c r="R462" s="36"/>
      <c r="S462" s="36"/>
      <c r="T462" s="36"/>
      <c r="U462" s="36"/>
      <c r="V462" s="36"/>
      <c r="W462" s="10"/>
      <c r="X462" s="10"/>
      <c r="Y462" s="10"/>
      <c r="Z462" s="10"/>
      <c r="AA462" s="10"/>
      <c r="AB462" s="10"/>
      <c r="AC462" s="10"/>
      <c r="AD462" s="10"/>
      <c r="AE462" s="10"/>
    </row>
    <row r="463" spans="1:31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36"/>
      <c r="R463" s="36"/>
      <c r="S463" s="36"/>
      <c r="T463" s="36"/>
      <c r="U463" s="36"/>
      <c r="V463" s="36"/>
      <c r="W463" s="10"/>
      <c r="X463" s="10"/>
      <c r="Y463" s="10"/>
      <c r="Z463" s="10"/>
      <c r="AA463" s="10"/>
      <c r="AB463" s="10"/>
      <c r="AC463" s="10"/>
      <c r="AD463" s="10"/>
      <c r="AE463" s="10"/>
    </row>
    <row r="464" spans="1:31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36"/>
      <c r="R464" s="36"/>
      <c r="S464" s="36"/>
      <c r="T464" s="36"/>
      <c r="U464" s="36"/>
      <c r="V464" s="36"/>
      <c r="W464" s="10"/>
      <c r="X464" s="10"/>
      <c r="Y464" s="10"/>
      <c r="Z464" s="10"/>
      <c r="AA464" s="10"/>
      <c r="AB464" s="10"/>
      <c r="AC464" s="10"/>
      <c r="AD464" s="10"/>
      <c r="AE464" s="10"/>
    </row>
    <row r="465" spans="1:31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36"/>
      <c r="R465" s="36"/>
      <c r="S465" s="36"/>
      <c r="T465" s="36"/>
      <c r="U465" s="36"/>
      <c r="V465" s="36"/>
      <c r="W465" s="10"/>
      <c r="X465" s="10"/>
      <c r="Y465" s="10"/>
      <c r="Z465" s="10"/>
      <c r="AA465" s="10"/>
      <c r="AB465" s="10"/>
      <c r="AC465" s="10"/>
      <c r="AD465" s="10"/>
      <c r="AE465" s="10"/>
    </row>
    <row r="466" spans="1:31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36"/>
      <c r="R466" s="36"/>
      <c r="S466" s="36"/>
      <c r="T466" s="36"/>
      <c r="U466" s="36"/>
      <c r="V466" s="36"/>
      <c r="W466" s="10"/>
      <c r="X466" s="10"/>
      <c r="Y466" s="10"/>
      <c r="Z466" s="10"/>
      <c r="AA466" s="10"/>
      <c r="AB466" s="10"/>
      <c r="AC466" s="10"/>
      <c r="AD466" s="10"/>
      <c r="AE466" s="10"/>
    </row>
    <row r="467" spans="1:31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36"/>
      <c r="R467" s="36"/>
      <c r="S467" s="36"/>
      <c r="T467" s="36"/>
      <c r="U467" s="36"/>
      <c r="V467" s="36"/>
      <c r="W467" s="10"/>
      <c r="X467" s="10"/>
      <c r="Y467" s="10"/>
      <c r="Z467" s="10"/>
      <c r="AA467" s="10"/>
      <c r="AB467" s="10"/>
      <c r="AC467" s="10"/>
      <c r="AD467" s="10"/>
      <c r="AE467" s="10"/>
    </row>
    <row r="468" spans="1:31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36"/>
      <c r="R468" s="36"/>
      <c r="S468" s="36"/>
      <c r="T468" s="36"/>
      <c r="U468" s="36"/>
      <c r="V468" s="36"/>
      <c r="W468" s="10"/>
      <c r="X468" s="10"/>
      <c r="Y468" s="10"/>
      <c r="Z468" s="10"/>
      <c r="AA468" s="10"/>
      <c r="AB468" s="10"/>
      <c r="AC468" s="10"/>
      <c r="AD468" s="10"/>
      <c r="AE468" s="10"/>
    </row>
    <row r="469" spans="1:31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36"/>
      <c r="R469" s="36"/>
      <c r="S469" s="36"/>
      <c r="T469" s="36"/>
      <c r="U469" s="36"/>
      <c r="V469" s="36"/>
      <c r="W469" s="10"/>
      <c r="X469" s="10"/>
      <c r="Y469" s="10"/>
      <c r="Z469" s="10"/>
      <c r="AA469" s="10"/>
      <c r="AB469" s="10"/>
      <c r="AC469" s="10"/>
      <c r="AD469" s="10"/>
      <c r="AE469" s="10"/>
    </row>
    <row r="470" spans="1:31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36"/>
      <c r="R470" s="36"/>
      <c r="S470" s="36"/>
      <c r="T470" s="36"/>
      <c r="U470" s="36"/>
      <c r="V470" s="36"/>
      <c r="W470" s="10"/>
      <c r="X470" s="10"/>
      <c r="Y470" s="10"/>
      <c r="Z470" s="10"/>
      <c r="AA470" s="10"/>
      <c r="AB470" s="10"/>
      <c r="AC470" s="10"/>
      <c r="AD470" s="10"/>
      <c r="AE470" s="10"/>
    </row>
    <row r="471" spans="1:3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36"/>
      <c r="R471" s="36"/>
      <c r="S471" s="36"/>
      <c r="T471" s="36"/>
      <c r="U471" s="36"/>
      <c r="V471" s="36"/>
      <c r="W471" s="10"/>
      <c r="X471" s="10"/>
      <c r="Y471" s="10"/>
      <c r="Z471" s="10"/>
      <c r="AA471" s="10"/>
      <c r="AB471" s="10"/>
      <c r="AC471" s="10"/>
      <c r="AD471" s="10"/>
      <c r="AE471" s="10"/>
    </row>
    <row r="472" spans="1:31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36"/>
      <c r="R472" s="36"/>
      <c r="S472" s="36"/>
      <c r="T472" s="36"/>
      <c r="U472" s="36"/>
      <c r="V472" s="36"/>
      <c r="W472" s="10"/>
      <c r="X472" s="10"/>
      <c r="Y472" s="10"/>
      <c r="Z472" s="10"/>
      <c r="AA472" s="10"/>
      <c r="AB472" s="10"/>
      <c r="AC472" s="10"/>
      <c r="AD472" s="10"/>
      <c r="AE472" s="10"/>
    </row>
    <row r="473" spans="1:31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36"/>
      <c r="R473" s="36"/>
      <c r="S473" s="36"/>
      <c r="T473" s="36"/>
      <c r="U473" s="36"/>
      <c r="V473" s="36"/>
      <c r="W473" s="10"/>
      <c r="X473" s="10"/>
      <c r="Y473" s="10"/>
      <c r="Z473" s="10"/>
      <c r="AA473" s="10"/>
      <c r="AB473" s="10"/>
      <c r="AC473" s="10"/>
      <c r="AD473" s="10"/>
      <c r="AE473" s="10"/>
    </row>
    <row r="474" spans="1:31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36"/>
      <c r="R474" s="36"/>
      <c r="S474" s="36"/>
      <c r="T474" s="36"/>
      <c r="U474" s="36"/>
      <c r="V474" s="36"/>
      <c r="W474" s="10"/>
      <c r="X474" s="10"/>
      <c r="Y474" s="10"/>
      <c r="Z474" s="10"/>
      <c r="AA474" s="10"/>
      <c r="AB474" s="10"/>
      <c r="AC474" s="10"/>
      <c r="AD474" s="10"/>
      <c r="AE474" s="10"/>
    </row>
    <row r="475" spans="1:31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36"/>
      <c r="R475" s="36"/>
      <c r="S475" s="36"/>
      <c r="T475" s="36"/>
      <c r="U475" s="36"/>
      <c r="V475" s="36"/>
      <c r="W475" s="10"/>
      <c r="X475" s="10"/>
      <c r="Y475" s="10"/>
      <c r="Z475" s="10"/>
      <c r="AA475" s="10"/>
      <c r="AB475" s="10"/>
      <c r="AC475" s="10"/>
      <c r="AD475" s="10"/>
      <c r="AE475" s="10"/>
    </row>
    <row r="476" spans="1:31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36"/>
      <c r="R476" s="36"/>
      <c r="S476" s="36"/>
      <c r="T476" s="36"/>
      <c r="U476" s="36"/>
      <c r="V476" s="36"/>
      <c r="W476" s="10"/>
      <c r="X476" s="10"/>
      <c r="Y476" s="10"/>
      <c r="Z476" s="10"/>
      <c r="AA476" s="10"/>
      <c r="AB476" s="10"/>
      <c r="AC476" s="10"/>
      <c r="AD476" s="10"/>
      <c r="AE476" s="10"/>
    </row>
    <row r="477" spans="1:31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36"/>
      <c r="R477" s="36"/>
      <c r="S477" s="36"/>
      <c r="T477" s="36"/>
      <c r="U477" s="36"/>
      <c r="V477" s="36"/>
      <c r="W477" s="10"/>
      <c r="X477" s="10"/>
      <c r="Y477" s="10"/>
      <c r="Z477" s="10"/>
      <c r="AA477" s="10"/>
      <c r="AB477" s="10"/>
      <c r="AC477" s="10"/>
      <c r="AD477" s="10"/>
      <c r="AE477" s="10"/>
    </row>
    <row r="478" spans="1:31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36"/>
      <c r="R478" s="36"/>
      <c r="S478" s="36"/>
      <c r="T478" s="36"/>
      <c r="U478" s="36"/>
      <c r="V478" s="36"/>
      <c r="W478" s="10"/>
      <c r="X478" s="10"/>
      <c r="Y478" s="10"/>
      <c r="Z478" s="10"/>
      <c r="AA478" s="10"/>
      <c r="AB478" s="10"/>
      <c r="AC478" s="10"/>
      <c r="AD478" s="10"/>
      <c r="AE478" s="10"/>
    </row>
    <row r="479" spans="1:31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36"/>
      <c r="R479" s="36"/>
      <c r="S479" s="36"/>
      <c r="T479" s="36"/>
      <c r="U479" s="36"/>
      <c r="V479" s="36"/>
      <c r="W479" s="10"/>
      <c r="X479" s="10"/>
      <c r="Y479" s="10"/>
      <c r="Z479" s="10"/>
      <c r="AA479" s="10"/>
      <c r="AB479" s="10"/>
      <c r="AC479" s="10"/>
      <c r="AD479" s="10"/>
      <c r="AE479" s="10"/>
    </row>
    <row r="480" spans="1:31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36"/>
      <c r="R480" s="36"/>
      <c r="S480" s="36"/>
      <c r="T480" s="36"/>
      <c r="U480" s="36"/>
      <c r="V480" s="36"/>
      <c r="W480" s="10"/>
      <c r="X480" s="10"/>
      <c r="Y480" s="10"/>
      <c r="Z480" s="10"/>
      <c r="AA480" s="10"/>
      <c r="AB480" s="10"/>
      <c r="AC480" s="10"/>
      <c r="AD480" s="10"/>
      <c r="AE480" s="10"/>
    </row>
    <row r="481" spans="1:3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36"/>
      <c r="R481" s="36"/>
      <c r="S481" s="36"/>
      <c r="T481" s="36"/>
      <c r="U481" s="36"/>
      <c r="V481" s="36"/>
      <c r="W481" s="10"/>
      <c r="X481" s="10"/>
      <c r="Y481" s="10"/>
      <c r="Z481" s="10"/>
      <c r="AA481" s="10"/>
      <c r="AB481" s="10"/>
      <c r="AC481" s="10"/>
      <c r="AD481" s="10"/>
      <c r="AE481" s="10"/>
    </row>
    <row r="482" spans="1:31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36"/>
      <c r="R482" s="36"/>
      <c r="S482" s="36"/>
      <c r="T482" s="36"/>
      <c r="U482" s="36"/>
      <c r="V482" s="36"/>
      <c r="W482" s="10"/>
      <c r="X482" s="10"/>
      <c r="Y482" s="10"/>
      <c r="Z482" s="10"/>
      <c r="AA482" s="10"/>
      <c r="AB482" s="10"/>
      <c r="AC482" s="10"/>
      <c r="AD482" s="10"/>
      <c r="AE482" s="10"/>
    </row>
    <row r="483" spans="1:31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36"/>
      <c r="R483" s="36"/>
      <c r="S483" s="36"/>
      <c r="T483" s="36"/>
      <c r="U483" s="36"/>
      <c r="V483" s="36"/>
      <c r="W483" s="10"/>
      <c r="X483" s="10"/>
      <c r="Y483" s="10"/>
      <c r="Z483" s="10"/>
      <c r="AA483" s="10"/>
      <c r="AB483" s="10"/>
      <c r="AC483" s="10"/>
      <c r="AD483" s="10"/>
      <c r="AE483" s="10"/>
    </row>
    <row r="484" spans="1:31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36"/>
      <c r="R484" s="36"/>
      <c r="S484" s="36"/>
      <c r="T484" s="36"/>
      <c r="U484" s="36"/>
      <c r="V484" s="36"/>
      <c r="W484" s="10"/>
      <c r="X484" s="10"/>
      <c r="Y484" s="10"/>
      <c r="Z484" s="10"/>
      <c r="AA484" s="10"/>
      <c r="AB484" s="10"/>
      <c r="AC484" s="10"/>
      <c r="AD484" s="10"/>
      <c r="AE484" s="10"/>
    </row>
    <row r="485" spans="1:31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36"/>
      <c r="R485" s="36"/>
      <c r="S485" s="36"/>
      <c r="T485" s="36"/>
      <c r="U485" s="36"/>
      <c r="V485" s="36"/>
      <c r="W485" s="10"/>
      <c r="X485" s="10"/>
      <c r="Y485" s="10"/>
      <c r="Z485" s="10"/>
      <c r="AA485" s="10"/>
      <c r="AB485" s="10"/>
      <c r="AC485" s="10"/>
      <c r="AD485" s="10"/>
      <c r="AE485" s="10"/>
    </row>
    <row r="486" spans="1:31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36"/>
      <c r="R486" s="36"/>
      <c r="S486" s="36"/>
      <c r="T486" s="36"/>
      <c r="U486" s="36"/>
      <c r="V486" s="36"/>
      <c r="W486" s="10"/>
      <c r="X486" s="10"/>
      <c r="Y486" s="10"/>
      <c r="Z486" s="10"/>
      <c r="AA486" s="10"/>
      <c r="AB486" s="10"/>
      <c r="AC486" s="10"/>
      <c r="AD486" s="10"/>
      <c r="AE486" s="10"/>
    </row>
    <row r="487" spans="1:31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36"/>
      <c r="R487" s="36"/>
      <c r="S487" s="36"/>
      <c r="T487" s="36"/>
      <c r="U487" s="36"/>
      <c r="V487" s="36"/>
      <c r="W487" s="10"/>
      <c r="X487" s="10"/>
      <c r="Y487" s="10"/>
      <c r="Z487" s="10"/>
      <c r="AA487" s="10"/>
      <c r="AB487" s="10"/>
      <c r="AC487" s="10"/>
      <c r="AD487" s="10"/>
      <c r="AE487" s="10"/>
    </row>
    <row r="488" spans="1:31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36"/>
      <c r="R488" s="36"/>
      <c r="S488" s="36"/>
      <c r="T488" s="36"/>
      <c r="U488" s="36"/>
      <c r="V488" s="36"/>
      <c r="W488" s="10"/>
      <c r="X488" s="10"/>
      <c r="Y488" s="10"/>
      <c r="Z488" s="10"/>
      <c r="AA488" s="10"/>
      <c r="AB488" s="10"/>
      <c r="AC488" s="10"/>
      <c r="AD488" s="10"/>
      <c r="AE488" s="10"/>
    </row>
    <row r="489" spans="1:31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36"/>
      <c r="R489" s="36"/>
      <c r="S489" s="36"/>
      <c r="T489" s="36"/>
      <c r="U489" s="36"/>
      <c r="V489" s="36"/>
      <c r="W489" s="10"/>
      <c r="X489" s="10"/>
      <c r="Y489" s="10"/>
      <c r="Z489" s="10"/>
      <c r="AA489" s="10"/>
      <c r="AB489" s="10"/>
      <c r="AC489" s="10"/>
      <c r="AD489" s="10"/>
      <c r="AE489" s="10"/>
    </row>
    <row r="490" spans="1:31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36"/>
      <c r="R490" s="36"/>
      <c r="S490" s="36"/>
      <c r="T490" s="36"/>
      <c r="U490" s="36"/>
      <c r="V490" s="36"/>
      <c r="W490" s="10"/>
      <c r="X490" s="10"/>
      <c r="Y490" s="10"/>
      <c r="Z490" s="10"/>
      <c r="AA490" s="10"/>
      <c r="AB490" s="10"/>
      <c r="AC490" s="10"/>
      <c r="AD490" s="10"/>
      <c r="AE490" s="10"/>
    </row>
    <row r="491" spans="1:3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36"/>
      <c r="R491" s="36"/>
      <c r="S491" s="36"/>
      <c r="T491" s="36"/>
      <c r="U491" s="36"/>
      <c r="V491" s="36"/>
      <c r="W491" s="10"/>
      <c r="X491" s="10"/>
      <c r="Y491" s="10"/>
      <c r="Z491" s="10"/>
      <c r="AA491" s="10"/>
      <c r="AB491" s="10"/>
      <c r="AC491" s="10"/>
      <c r="AD491" s="10"/>
      <c r="AE491" s="10"/>
    </row>
    <row r="492" spans="1:31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36"/>
      <c r="R492" s="36"/>
      <c r="S492" s="36"/>
      <c r="T492" s="36"/>
      <c r="U492" s="36"/>
      <c r="V492" s="36"/>
      <c r="W492" s="10"/>
      <c r="X492" s="10"/>
      <c r="Y492" s="10"/>
      <c r="Z492" s="10"/>
      <c r="AA492" s="10"/>
      <c r="AB492" s="10"/>
      <c r="AC492" s="10"/>
      <c r="AD492" s="10"/>
      <c r="AE492" s="10"/>
    </row>
    <row r="493" spans="1:31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36"/>
      <c r="R493" s="36"/>
      <c r="S493" s="36"/>
      <c r="T493" s="36"/>
      <c r="U493" s="36"/>
      <c r="V493" s="36"/>
      <c r="W493" s="10"/>
      <c r="X493" s="10"/>
      <c r="Y493" s="10"/>
      <c r="Z493" s="10"/>
      <c r="AA493" s="10"/>
      <c r="AB493" s="10"/>
      <c r="AC493" s="10"/>
      <c r="AD493" s="10"/>
      <c r="AE493" s="10"/>
    </row>
    <row r="494" spans="1:31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36"/>
      <c r="R494" s="36"/>
      <c r="S494" s="36"/>
      <c r="T494" s="36"/>
      <c r="U494" s="36"/>
      <c r="V494" s="36"/>
      <c r="W494" s="10"/>
      <c r="X494" s="10"/>
      <c r="Y494" s="10"/>
      <c r="Z494" s="10"/>
      <c r="AA494" s="10"/>
      <c r="AB494" s="10"/>
      <c r="AC494" s="10"/>
      <c r="AD494" s="10"/>
      <c r="AE494" s="10"/>
    </row>
    <row r="495" spans="1:31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36"/>
      <c r="R495" s="36"/>
      <c r="S495" s="36"/>
      <c r="T495" s="36"/>
      <c r="U495" s="36"/>
      <c r="V495" s="36"/>
      <c r="W495" s="10"/>
      <c r="X495" s="10"/>
      <c r="Y495" s="10"/>
      <c r="Z495" s="10"/>
      <c r="AA495" s="10"/>
      <c r="AB495" s="10"/>
      <c r="AC495" s="10"/>
      <c r="AD495" s="10"/>
      <c r="AE495" s="10"/>
    </row>
    <row r="496" spans="1:31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36"/>
      <c r="R496" s="36"/>
      <c r="S496" s="36"/>
      <c r="T496" s="36"/>
      <c r="U496" s="36"/>
      <c r="V496" s="36"/>
      <c r="W496" s="10"/>
      <c r="X496" s="10"/>
      <c r="Y496" s="10"/>
      <c r="Z496" s="10"/>
      <c r="AA496" s="10"/>
      <c r="AB496" s="10"/>
      <c r="AC496" s="10"/>
      <c r="AD496" s="10"/>
      <c r="AE496" s="10"/>
    </row>
    <row r="497" spans="1:31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36"/>
      <c r="R497" s="36"/>
      <c r="S497" s="36"/>
      <c r="T497" s="36"/>
      <c r="U497" s="36"/>
      <c r="V497" s="36"/>
      <c r="W497" s="10"/>
      <c r="X497" s="10"/>
      <c r="Y497" s="10"/>
      <c r="Z497" s="10"/>
      <c r="AA497" s="10"/>
      <c r="AB497" s="10"/>
      <c r="AC497" s="10"/>
      <c r="AD497" s="10"/>
      <c r="AE497" s="10"/>
    </row>
    <row r="498" spans="1:31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36"/>
      <c r="R498" s="36"/>
      <c r="S498" s="36"/>
      <c r="T498" s="36"/>
      <c r="U498" s="36"/>
      <c r="V498" s="36"/>
      <c r="W498" s="10"/>
      <c r="X498" s="10"/>
      <c r="Y498" s="10"/>
      <c r="Z498" s="10"/>
      <c r="AA498" s="10"/>
      <c r="AB498" s="10"/>
      <c r="AC498" s="10"/>
      <c r="AD498" s="10"/>
      <c r="AE498" s="10"/>
    </row>
    <row r="499" spans="1:31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36"/>
      <c r="R499" s="36"/>
      <c r="S499" s="36"/>
      <c r="T499" s="36"/>
      <c r="U499" s="36"/>
      <c r="V499" s="36"/>
      <c r="W499" s="10"/>
      <c r="X499" s="10"/>
      <c r="Y499" s="10"/>
      <c r="Z499" s="10"/>
      <c r="AA499" s="10"/>
      <c r="AB499" s="10"/>
      <c r="AC499" s="10"/>
      <c r="AD499" s="10"/>
      <c r="AE499" s="10"/>
    </row>
    <row r="500" spans="1:31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36"/>
      <c r="R500" s="36"/>
      <c r="S500" s="36"/>
      <c r="T500" s="36"/>
      <c r="U500" s="36"/>
      <c r="V500" s="36"/>
      <c r="W500" s="10"/>
      <c r="X500" s="10"/>
      <c r="Y500" s="10"/>
      <c r="Z500" s="10"/>
      <c r="AA500" s="10"/>
      <c r="AB500" s="10"/>
      <c r="AC500" s="10"/>
      <c r="AD500" s="10"/>
      <c r="AE500" s="10"/>
    </row>
    <row r="501" spans="1:3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36"/>
      <c r="R501" s="36"/>
      <c r="S501" s="36"/>
      <c r="T501" s="36"/>
      <c r="U501" s="36"/>
      <c r="V501" s="36"/>
      <c r="W501" s="10"/>
      <c r="X501" s="10"/>
      <c r="Y501" s="10"/>
      <c r="Z501" s="10"/>
      <c r="AA501" s="10"/>
      <c r="AB501" s="10"/>
      <c r="AC501" s="10"/>
      <c r="AD501" s="10"/>
      <c r="AE501" s="10"/>
    </row>
    <row r="502" spans="1:31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36"/>
      <c r="R502" s="36"/>
      <c r="S502" s="36"/>
      <c r="T502" s="36"/>
      <c r="U502" s="36"/>
      <c r="V502" s="36"/>
      <c r="W502" s="10"/>
      <c r="X502" s="10"/>
      <c r="Y502" s="10"/>
      <c r="Z502" s="10"/>
      <c r="AA502" s="10"/>
      <c r="AB502" s="10"/>
      <c r="AC502" s="10"/>
      <c r="AD502" s="10"/>
      <c r="AE502" s="10"/>
    </row>
    <row r="503" spans="1:31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36"/>
      <c r="R503" s="36"/>
      <c r="S503" s="36"/>
      <c r="T503" s="36"/>
      <c r="U503" s="36"/>
      <c r="V503" s="36"/>
      <c r="W503" s="10"/>
      <c r="X503" s="10"/>
      <c r="Y503" s="10"/>
      <c r="Z503" s="10"/>
      <c r="AA503" s="10"/>
      <c r="AB503" s="10"/>
      <c r="AC503" s="10"/>
      <c r="AD503" s="10"/>
      <c r="AE503" s="10"/>
    </row>
    <row r="504" spans="1:31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36"/>
      <c r="R504" s="36"/>
      <c r="S504" s="36"/>
      <c r="T504" s="36"/>
      <c r="U504" s="36"/>
      <c r="V504" s="36"/>
      <c r="W504" s="10"/>
      <c r="X504" s="10"/>
      <c r="Y504" s="10"/>
      <c r="Z504" s="10"/>
      <c r="AA504" s="10"/>
      <c r="AB504" s="10"/>
      <c r="AC504" s="10"/>
      <c r="AD504" s="10"/>
      <c r="AE504" s="10"/>
    </row>
    <row r="505" spans="1:31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36"/>
      <c r="R505" s="36"/>
      <c r="S505" s="36"/>
      <c r="T505" s="36"/>
      <c r="U505" s="36"/>
      <c r="V505" s="36"/>
      <c r="W505" s="10"/>
      <c r="X505" s="10"/>
      <c r="Y505" s="10"/>
      <c r="Z505" s="10"/>
      <c r="AA505" s="10"/>
      <c r="AB505" s="10"/>
      <c r="AC505" s="10"/>
      <c r="AD505" s="10"/>
      <c r="AE505" s="10"/>
    </row>
    <row r="506" spans="1:31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36"/>
      <c r="R506" s="36"/>
      <c r="S506" s="36"/>
      <c r="T506" s="36"/>
      <c r="U506" s="36"/>
      <c r="V506" s="36"/>
      <c r="W506" s="10"/>
      <c r="X506" s="10"/>
      <c r="Y506" s="10"/>
      <c r="Z506" s="10"/>
      <c r="AA506" s="10"/>
      <c r="AB506" s="10"/>
      <c r="AC506" s="10"/>
      <c r="AD506" s="10"/>
      <c r="AE506" s="10"/>
    </row>
    <row r="507" spans="1:31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36"/>
      <c r="R507" s="36"/>
      <c r="S507" s="36"/>
      <c r="T507" s="36"/>
      <c r="U507" s="36"/>
      <c r="V507" s="36"/>
      <c r="W507" s="10"/>
      <c r="X507" s="10"/>
      <c r="Y507" s="10"/>
      <c r="Z507" s="10"/>
      <c r="AA507" s="10"/>
      <c r="AB507" s="10"/>
      <c r="AC507" s="10"/>
      <c r="AD507" s="10"/>
      <c r="AE507" s="10"/>
    </row>
    <row r="508" spans="1:31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36"/>
      <c r="R508" s="36"/>
      <c r="S508" s="36"/>
      <c r="T508" s="36"/>
      <c r="U508" s="36"/>
      <c r="V508" s="36"/>
      <c r="W508" s="10"/>
      <c r="X508" s="10"/>
      <c r="Y508" s="10"/>
      <c r="Z508" s="10"/>
      <c r="AA508" s="10"/>
      <c r="AB508" s="10"/>
      <c r="AC508" s="10"/>
      <c r="AD508" s="10"/>
      <c r="AE508" s="10"/>
    </row>
    <row r="509" spans="1:31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36"/>
      <c r="R509" s="36"/>
      <c r="S509" s="36"/>
      <c r="T509" s="36"/>
      <c r="U509" s="36"/>
      <c r="V509" s="36"/>
      <c r="W509" s="10"/>
      <c r="X509" s="10"/>
      <c r="Y509" s="10"/>
      <c r="Z509" s="10"/>
      <c r="AA509" s="10"/>
      <c r="AB509" s="10"/>
      <c r="AC509" s="10"/>
      <c r="AD509" s="10"/>
      <c r="AE509" s="10"/>
    </row>
    <row r="510" spans="1:31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36"/>
      <c r="R510" s="36"/>
      <c r="S510" s="36"/>
      <c r="T510" s="36"/>
      <c r="U510" s="36"/>
      <c r="V510" s="36"/>
      <c r="W510" s="10"/>
      <c r="X510" s="10"/>
      <c r="Y510" s="10"/>
      <c r="Z510" s="10"/>
      <c r="AA510" s="10"/>
      <c r="AB510" s="10"/>
      <c r="AC510" s="10"/>
      <c r="AD510" s="10"/>
      <c r="AE510" s="10"/>
    </row>
    <row r="511" spans="1:3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36"/>
      <c r="R511" s="36"/>
      <c r="S511" s="36"/>
      <c r="T511" s="36"/>
      <c r="U511" s="36"/>
      <c r="V511" s="36"/>
      <c r="W511" s="10"/>
      <c r="X511" s="10"/>
      <c r="Y511" s="10"/>
      <c r="Z511" s="10"/>
      <c r="AA511" s="10"/>
      <c r="AB511" s="10"/>
      <c r="AC511" s="10"/>
      <c r="AD511" s="10"/>
      <c r="AE511" s="10"/>
    </row>
    <row r="512" spans="1:31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36"/>
      <c r="R512" s="36"/>
      <c r="S512" s="36"/>
      <c r="T512" s="36"/>
      <c r="U512" s="36"/>
      <c r="V512" s="36"/>
      <c r="W512" s="10"/>
      <c r="X512" s="10"/>
      <c r="Y512" s="10"/>
      <c r="Z512" s="10"/>
      <c r="AA512" s="10"/>
      <c r="AB512" s="10"/>
      <c r="AC512" s="10"/>
      <c r="AD512" s="10"/>
      <c r="AE512" s="10"/>
    </row>
    <row r="513" spans="1:31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36"/>
      <c r="R513" s="36"/>
      <c r="S513" s="36"/>
      <c r="T513" s="36"/>
      <c r="U513" s="36"/>
      <c r="V513" s="36"/>
      <c r="W513" s="10"/>
      <c r="X513" s="10"/>
      <c r="Y513" s="10"/>
      <c r="Z513" s="10"/>
      <c r="AA513" s="10"/>
      <c r="AB513" s="10"/>
      <c r="AC513" s="10"/>
      <c r="AD513" s="10"/>
      <c r="AE513" s="10"/>
    </row>
    <row r="514" spans="1:31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36"/>
      <c r="R514" s="36"/>
      <c r="S514" s="36"/>
      <c r="T514" s="36"/>
      <c r="U514" s="36"/>
      <c r="V514" s="36"/>
      <c r="W514" s="10"/>
      <c r="X514" s="10"/>
      <c r="Y514" s="10"/>
      <c r="Z514" s="10"/>
      <c r="AA514" s="10"/>
      <c r="AB514" s="10"/>
      <c r="AC514" s="10"/>
      <c r="AD514" s="10"/>
      <c r="AE514" s="10"/>
    </row>
    <row r="515" spans="1:31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36"/>
      <c r="R515" s="36"/>
      <c r="S515" s="36"/>
      <c r="T515" s="36"/>
      <c r="U515" s="36"/>
      <c r="V515" s="36"/>
      <c r="W515" s="10"/>
      <c r="X515" s="10"/>
      <c r="Y515" s="10"/>
      <c r="Z515" s="10"/>
      <c r="AA515" s="10"/>
      <c r="AB515" s="10"/>
      <c r="AC515" s="10"/>
      <c r="AD515" s="10"/>
      <c r="AE515" s="10"/>
    </row>
    <row r="516" spans="1:31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36"/>
      <c r="R516" s="36"/>
      <c r="S516" s="36"/>
      <c r="T516" s="36"/>
      <c r="U516" s="36"/>
      <c r="V516" s="36"/>
      <c r="W516" s="10"/>
      <c r="X516" s="10"/>
      <c r="Y516" s="10"/>
      <c r="Z516" s="10"/>
      <c r="AA516" s="10"/>
      <c r="AB516" s="10"/>
      <c r="AC516" s="10"/>
      <c r="AD516" s="10"/>
      <c r="AE516" s="10"/>
    </row>
    <row r="517" spans="1:31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36"/>
      <c r="R517" s="36"/>
      <c r="S517" s="36"/>
      <c r="T517" s="36"/>
      <c r="U517" s="36"/>
      <c r="V517" s="36"/>
      <c r="W517" s="10"/>
      <c r="X517" s="10"/>
      <c r="Y517" s="10"/>
      <c r="Z517" s="10"/>
      <c r="AA517" s="10"/>
      <c r="AB517" s="10"/>
      <c r="AC517" s="10"/>
      <c r="AD517" s="10"/>
      <c r="AE517" s="10"/>
    </row>
    <row r="518" spans="1:31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36"/>
      <c r="R518" s="36"/>
      <c r="S518" s="36"/>
      <c r="T518" s="36"/>
      <c r="U518" s="36"/>
      <c r="V518" s="36"/>
      <c r="W518" s="10"/>
      <c r="X518" s="10"/>
      <c r="Y518" s="10"/>
      <c r="Z518" s="10"/>
      <c r="AA518" s="10"/>
      <c r="AB518" s="10"/>
      <c r="AC518" s="10"/>
      <c r="AD518" s="10"/>
      <c r="AE518" s="10"/>
    </row>
    <row r="519" spans="1:31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36"/>
      <c r="R519" s="36"/>
      <c r="S519" s="36"/>
      <c r="T519" s="36"/>
      <c r="U519" s="36"/>
      <c r="V519" s="36"/>
      <c r="W519" s="10"/>
      <c r="X519" s="10"/>
      <c r="Y519" s="10"/>
      <c r="Z519" s="10"/>
      <c r="AA519" s="10"/>
      <c r="AB519" s="10"/>
      <c r="AC519" s="10"/>
      <c r="AD519" s="10"/>
      <c r="AE519" s="10"/>
    </row>
    <row r="520" spans="1:31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36"/>
      <c r="R520" s="36"/>
      <c r="S520" s="36"/>
      <c r="T520" s="36"/>
      <c r="U520" s="36"/>
      <c r="V520" s="36"/>
      <c r="W520" s="10"/>
      <c r="X520" s="10"/>
      <c r="Y520" s="10"/>
      <c r="Z520" s="10"/>
      <c r="AA520" s="10"/>
      <c r="AB520" s="10"/>
      <c r="AC520" s="10"/>
      <c r="AD520" s="10"/>
      <c r="AE520" s="10"/>
    </row>
    <row r="521" spans="1:3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36"/>
      <c r="R521" s="36"/>
      <c r="S521" s="36"/>
      <c r="T521" s="36"/>
      <c r="U521" s="36"/>
      <c r="V521" s="36"/>
      <c r="W521" s="10"/>
      <c r="X521" s="10"/>
      <c r="Y521" s="10"/>
      <c r="Z521" s="10"/>
      <c r="AA521" s="10"/>
      <c r="AB521" s="10"/>
      <c r="AC521" s="10"/>
      <c r="AD521" s="10"/>
      <c r="AE521" s="10"/>
    </row>
    <row r="522" spans="1:31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36"/>
      <c r="R522" s="36"/>
      <c r="S522" s="36"/>
      <c r="T522" s="36"/>
      <c r="U522" s="36"/>
      <c r="V522" s="36"/>
      <c r="W522" s="10"/>
      <c r="X522" s="10"/>
      <c r="Y522" s="10"/>
      <c r="Z522" s="10"/>
      <c r="AA522" s="10"/>
      <c r="AB522" s="10"/>
      <c r="AC522" s="10"/>
      <c r="AD522" s="10"/>
      <c r="AE522" s="10"/>
    </row>
    <row r="523" spans="1:31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36"/>
      <c r="R523" s="36"/>
      <c r="S523" s="36"/>
      <c r="T523" s="36"/>
      <c r="U523" s="36"/>
      <c r="V523" s="36"/>
      <c r="W523" s="10"/>
      <c r="X523" s="10"/>
      <c r="Y523" s="10"/>
      <c r="Z523" s="10"/>
      <c r="AA523" s="10"/>
      <c r="AB523" s="10"/>
      <c r="AC523" s="10"/>
      <c r="AD523" s="10"/>
      <c r="AE523" s="10"/>
    </row>
    <row r="524" spans="1:31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36"/>
      <c r="R524" s="36"/>
      <c r="S524" s="36"/>
      <c r="T524" s="36"/>
      <c r="U524" s="36"/>
      <c r="V524" s="36"/>
      <c r="W524" s="10"/>
      <c r="X524" s="10"/>
      <c r="Y524" s="10"/>
      <c r="Z524" s="10"/>
      <c r="AA524" s="10"/>
      <c r="AB524" s="10"/>
      <c r="AC524" s="10"/>
      <c r="AD524" s="10"/>
      <c r="AE524" s="10"/>
    </row>
    <row r="525" spans="1:31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36"/>
      <c r="R525" s="36"/>
      <c r="S525" s="36"/>
      <c r="T525" s="36"/>
      <c r="U525" s="36"/>
      <c r="V525" s="36"/>
      <c r="W525" s="10"/>
      <c r="X525" s="10"/>
      <c r="Y525" s="10"/>
      <c r="Z525" s="10"/>
      <c r="AA525" s="10"/>
      <c r="AB525" s="10"/>
      <c r="AC525" s="10"/>
      <c r="AD525" s="10"/>
      <c r="AE525" s="10"/>
    </row>
    <row r="526" spans="1:31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36"/>
      <c r="R526" s="36"/>
      <c r="S526" s="36"/>
      <c r="T526" s="36"/>
      <c r="U526" s="36"/>
      <c r="V526" s="36"/>
      <c r="W526" s="10"/>
      <c r="X526" s="10"/>
      <c r="Y526" s="10"/>
      <c r="Z526" s="10"/>
      <c r="AA526" s="10"/>
      <c r="AB526" s="10"/>
      <c r="AC526" s="10"/>
      <c r="AD526" s="10"/>
      <c r="AE526" s="10"/>
    </row>
    <row r="527" spans="1:31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36"/>
      <c r="R527" s="36"/>
      <c r="S527" s="36"/>
      <c r="T527" s="36"/>
      <c r="U527" s="36"/>
      <c r="V527" s="36"/>
      <c r="W527" s="10"/>
      <c r="X527" s="10"/>
      <c r="Y527" s="10"/>
      <c r="Z527" s="10"/>
      <c r="AA527" s="10"/>
      <c r="AB527" s="10"/>
      <c r="AC527" s="10"/>
      <c r="AD527" s="10"/>
      <c r="AE527" s="10"/>
    </row>
    <row r="528" spans="1:31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36"/>
      <c r="R528" s="36"/>
      <c r="S528" s="36"/>
      <c r="T528" s="36"/>
      <c r="U528" s="36"/>
      <c r="V528" s="36"/>
      <c r="W528" s="10"/>
      <c r="X528" s="10"/>
      <c r="Y528" s="10"/>
      <c r="Z528" s="10"/>
      <c r="AA528" s="10"/>
      <c r="AB528" s="10"/>
      <c r="AC528" s="10"/>
      <c r="AD528" s="10"/>
      <c r="AE528" s="10"/>
    </row>
    <row r="529" spans="1:31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36"/>
      <c r="R529" s="36"/>
      <c r="S529" s="36"/>
      <c r="T529" s="36"/>
      <c r="U529" s="36"/>
      <c r="V529" s="36"/>
      <c r="W529" s="10"/>
      <c r="X529" s="10"/>
      <c r="Y529" s="10"/>
      <c r="Z529" s="10"/>
      <c r="AA529" s="10"/>
      <c r="AB529" s="10"/>
      <c r="AC529" s="10"/>
      <c r="AD529" s="10"/>
      <c r="AE529" s="10"/>
    </row>
    <row r="530" spans="1:31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36"/>
      <c r="R530" s="36"/>
      <c r="S530" s="36"/>
      <c r="T530" s="36"/>
      <c r="U530" s="36"/>
      <c r="V530" s="36"/>
      <c r="W530" s="10"/>
      <c r="X530" s="10"/>
      <c r="Y530" s="10"/>
      <c r="Z530" s="10"/>
      <c r="AA530" s="10"/>
      <c r="AB530" s="10"/>
      <c r="AC530" s="10"/>
      <c r="AD530" s="10"/>
      <c r="AE530" s="10"/>
    </row>
    <row r="531" spans="1: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36"/>
      <c r="R531" s="36"/>
      <c r="S531" s="36"/>
      <c r="T531" s="36"/>
      <c r="U531" s="36"/>
      <c r="V531" s="36"/>
      <c r="W531" s="10"/>
      <c r="X531" s="10"/>
      <c r="Y531" s="10"/>
      <c r="Z531" s="10"/>
      <c r="AA531" s="10"/>
      <c r="AB531" s="10"/>
      <c r="AC531" s="10"/>
      <c r="AD531" s="10"/>
      <c r="AE531" s="10"/>
    </row>
    <row r="532" spans="1:31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36"/>
      <c r="R532" s="36"/>
      <c r="S532" s="36"/>
      <c r="T532" s="36"/>
      <c r="U532" s="36"/>
      <c r="V532" s="36"/>
      <c r="W532" s="10"/>
      <c r="X532" s="10"/>
      <c r="Y532" s="10"/>
      <c r="Z532" s="10"/>
      <c r="AA532" s="10"/>
      <c r="AB532" s="10"/>
      <c r="AC532" s="10"/>
      <c r="AD532" s="10"/>
      <c r="AE532" s="10"/>
    </row>
    <row r="533" spans="1:31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36"/>
      <c r="R533" s="36"/>
      <c r="S533" s="36"/>
      <c r="T533" s="36"/>
      <c r="U533" s="36"/>
      <c r="V533" s="36"/>
      <c r="W533" s="10"/>
      <c r="X533" s="10"/>
      <c r="Y533" s="10"/>
      <c r="Z533" s="10"/>
      <c r="AA533" s="10"/>
      <c r="AB533" s="10"/>
      <c r="AC533" s="10"/>
      <c r="AD533" s="10"/>
      <c r="AE533" s="10"/>
    </row>
    <row r="534" spans="1:31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36"/>
      <c r="R534" s="36"/>
      <c r="S534" s="36"/>
      <c r="T534" s="36"/>
      <c r="U534" s="36"/>
      <c r="V534" s="36"/>
      <c r="W534" s="10"/>
      <c r="X534" s="10"/>
      <c r="Y534" s="10"/>
      <c r="Z534" s="10"/>
      <c r="AA534" s="10"/>
      <c r="AB534" s="10"/>
      <c r="AC534" s="10"/>
      <c r="AD534" s="10"/>
      <c r="AE534" s="10"/>
    </row>
    <row r="535" spans="1:31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36"/>
      <c r="R535" s="36"/>
      <c r="S535" s="36"/>
      <c r="T535" s="36"/>
      <c r="U535" s="36"/>
      <c r="V535" s="36"/>
      <c r="W535" s="10"/>
      <c r="X535" s="10"/>
      <c r="Y535" s="10"/>
      <c r="Z535" s="10"/>
      <c r="AA535" s="10"/>
      <c r="AB535" s="10"/>
      <c r="AC535" s="10"/>
      <c r="AD535" s="10"/>
      <c r="AE535" s="10"/>
    </row>
    <row r="536" spans="1:31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36"/>
      <c r="R536" s="36"/>
      <c r="S536" s="36"/>
      <c r="T536" s="36"/>
      <c r="U536" s="36"/>
      <c r="V536" s="36"/>
      <c r="W536" s="10"/>
      <c r="X536" s="10"/>
      <c r="Y536" s="10"/>
      <c r="Z536" s="10"/>
      <c r="AA536" s="10"/>
      <c r="AB536" s="10"/>
      <c r="AC536" s="10"/>
      <c r="AD536" s="10"/>
      <c r="AE536" s="10"/>
    </row>
    <row r="537" spans="1:31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36"/>
      <c r="R537" s="36"/>
      <c r="S537" s="36"/>
      <c r="T537" s="36"/>
      <c r="U537" s="36"/>
      <c r="V537" s="36"/>
      <c r="W537" s="10"/>
      <c r="X537" s="10"/>
      <c r="Y537" s="10"/>
      <c r="Z537" s="10"/>
      <c r="AA537" s="10"/>
      <c r="AB537" s="10"/>
      <c r="AC537" s="10"/>
      <c r="AD537" s="10"/>
      <c r="AE537" s="10"/>
    </row>
    <row r="538" spans="1:31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36"/>
      <c r="R538" s="36"/>
      <c r="S538" s="36"/>
      <c r="T538" s="36"/>
      <c r="U538" s="36"/>
      <c r="V538" s="36"/>
      <c r="W538" s="10"/>
      <c r="X538" s="10"/>
      <c r="Y538" s="10"/>
      <c r="Z538" s="10"/>
      <c r="AA538" s="10"/>
      <c r="AB538" s="10"/>
      <c r="AC538" s="10"/>
      <c r="AD538" s="10"/>
      <c r="AE538" s="10"/>
    </row>
    <row r="539" spans="1:31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36"/>
      <c r="R539" s="36"/>
      <c r="S539" s="36"/>
      <c r="T539" s="36"/>
      <c r="U539" s="36"/>
      <c r="V539" s="36"/>
      <c r="W539" s="10"/>
      <c r="X539" s="10"/>
      <c r="Y539" s="10"/>
      <c r="Z539" s="10"/>
      <c r="AA539" s="10"/>
      <c r="AB539" s="10"/>
      <c r="AC539" s="10"/>
      <c r="AD539" s="10"/>
      <c r="AE539" s="10"/>
    </row>
    <row r="540" spans="1:31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36"/>
      <c r="R540" s="36"/>
      <c r="S540" s="36"/>
      <c r="T540" s="36"/>
      <c r="U540" s="36"/>
      <c r="V540" s="36"/>
      <c r="W540" s="10"/>
      <c r="X540" s="10"/>
      <c r="Y540" s="10"/>
      <c r="Z540" s="10"/>
      <c r="AA540" s="10"/>
      <c r="AB540" s="10"/>
      <c r="AC540" s="10"/>
      <c r="AD540" s="10"/>
      <c r="AE540" s="10"/>
    </row>
    <row r="541" spans="1:3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36"/>
      <c r="R541" s="36"/>
      <c r="S541" s="36"/>
      <c r="T541" s="36"/>
      <c r="U541" s="36"/>
      <c r="V541" s="36"/>
      <c r="W541" s="10"/>
      <c r="X541" s="10"/>
      <c r="Y541" s="10"/>
      <c r="Z541" s="10"/>
      <c r="AA541" s="10"/>
      <c r="AB541" s="10"/>
      <c r="AC541" s="10"/>
      <c r="AD541" s="10"/>
      <c r="AE541" s="10"/>
    </row>
    <row r="542" spans="1:31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36"/>
      <c r="R542" s="36"/>
      <c r="S542" s="36"/>
      <c r="T542" s="36"/>
      <c r="U542" s="36"/>
      <c r="V542" s="36"/>
      <c r="W542" s="10"/>
      <c r="X542" s="10"/>
      <c r="Y542" s="10"/>
      <c r="Z542" s="10"/>
      <c r="AA542" s="10"/>
      <c r="AB542" s="10"/>
      <c r="AC542" s="10"/>
      <c r="AD542" s="10"/>
      <c r="AE542" s="10"/>
    </row>
    <row r="543" spans="1:31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36"/>
      <c r="R543" s="36"/>
      <c r="S543" s="36"/>
      <c r="T543" s="36"/>
      <c r="U543" s="36"/>
      <c r="V543" s="36"/>
      <c r="W543" s="10"/>
      <c r="X543" s="10"/>
      <c r="Y543" s="10"/>
      <c r="Z543" s="10"/>
      <c r="AA543" s="10"/>
      <c r="AB543" s="10"/>
      <c r="AC543" s="10"/>
      <c r="AD543" s="10"/>
      <c r="AE543" s="10"/>
    </row>
    <row r="544" spans="1:31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36"/>
      <c r="R544" s="36"/>
      <c r="S544" s="36"/>
      <c r="T544" s="36"/>
      <c r="U544" s="36"/>
      <c r="V544" s="36"/>
      <c r="W544" s="10"/>
      <c r="X544" s="10"/>
      <c r="Y544" s="10"/>
      <c r="Z544" s="10"/>
      <c r="AA544" s="10"/>
      <c r="AB544" s="10"/>
      <c r="AC544" s="10"/>
      <c r="AD544" s="10"/>
      <c r="AE544" s="10"/>
    </row>
    <row r="545" spans="1:31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36"/>
      <c r="R545" s="36"/>
      <c r="S545" s="36"/>
      <c r="T545" s="36"/>
      <c r="U545" s="36"/>
      <c r="V545" s="36"/>
      <c r="W545" s="10"/>
      <c r="X545" s="10"/>
      <c r="Y545" s="10"/>
      <c r="Z545" s="10"/>
      <c r="AA545" s="10"/>
      <c r="AB545" s="10"/>
      <c r="AC545" s="10"/>
      <c r="AD545" s="10"/>
      <c r="AE545" s="10"/>
    </row>
    <row r="546" spans="1:31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36"/>
      <c r="R546" s="36"/>
      <c r="S546" s="36"/>
      <c r="T546" s="36"/>
      <c r="U546" s="36"/>
      <c r="V546" s="36"/>
      <c r="W546" s="10"/>
      <c r="X546" s="10"/>
      <c r="Y546" s="10"/>
      <c r="Z546" s="10"/>
      <c r="AA546" s="10"/>
      <c r="AB546" s="10"/>
      <c r="AC546" s="10"/>
      <c r="AD546" s="10"/>
      <c r="AE546" s="10"/>
    </row>
    <row r="547" spans="1:31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36"/>
      <c r="R547" s="36"/>
      <c r="S547" s="36"/>
      <c r="T547" s="36"/>
      <c r="U547" s="36"/>
      <c r="V547" s="36"/>
      <c r="W547" s="10"/>
      <c r="X547" s="10"/>
      <c r="Y547" s="10"/>
      <c r="Z547" s="10"/>
      <c r="AA547" s="10"/>
      <c r="AB547" s="10"/>
      <c r="AC547" s="10"/>
      <c r="AD547" s="10"/>
      <c r="AE547" s="10"/>
    </row>
    <row r="548" spans="1:31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36"/>
      <c r="R548" s="36"/>
      <c r="S548" s="36"/>
      <c r="T548" s="36"/>
      <c r="U548" s="36"/>
      <c r="V548" s="36"/>
      <c r="W548" s="10"/>
      <c r="X548" s="10"/>
      <c r="Y548" s="10"/>
      <c r="Z548" s="10"/>
      <c r="AA548" s="10"/>
      <c r="AB548" s="10"/>
      <c r="AC548" s="10"/>
      <c r="AD548" s="10"/>
      <c r="AE548" s="10"/>
    </row>
    <row r="549" spans="1:31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36"/>
      <c r="R549" s="36"/>
      <c r="S549" s="36"/>
      <c r="T549" s="36"/>
      <c r="U549" s="36"/>
      <c r="V549" s="36"/>
      <c r="W549" s="10"/>
      <c r="X549" s="10"/>
      <c r="Y549" s="10"/>
      <c r="Z549" s="10"/>
      <c r="AA549" s="10"/>
      <c r="AB549" s="10"/>
      <c r="AC549" s="10"/>
      <c r="AD549" s="10"/>
      <c r="AE549" s="10"/>
    </row>
    <row r="550" spans="1:31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36"/>
      <c r="R550" s="36"/>
      <c r="S550" s="36"/>
      <c r="T550" s="36"/>
      <c r="U550" s="36"/>
      <c r="V550" s="36"/>
      <c r="W550" s="10"/>
      <c r="X550" s="10"/>
      <c r="Y550" s="10"/>
      <c r="Z550" s="10"/>
      <c r="AA550" s="10"/>
      <c r="AB550" s="10"/>
      <c r="AC550" s="10"/>
      <c r="AD550" s="10"/>
      <c r="AE550" s="10"/>
    </row>
    <row r="551" spans="1:3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36"/>
      <c r="R551" s="36"/>
      <c r="S551" s="36"/>
      <c r="T551" s="36"/>
      <c r="U551" s="36"/>
      <c r="V551" s="36"/>
      <c r="W551" s="10"/>
      <c r="X551" s="10"/>
      <c r="Y551" s="10"/>
      <c r="Z551" s="10"/>
      <c r="AA551" s="10"/>
      <c r="AB551" s="10"/>
      <c r="AC551" s="10"/>
      <c r="AD551" s="10"/>
      <c r="AE551" s="10"/>
    </row>
    <row r="552" spans="1:31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36"/>
      <c r="R552" s="36"/>
      <c r="S552" s="36"/>
      <c r="T552" s="36"/>
      <c r="U552" s="36"/>
      <c r="V552" s="36"/>
      <c r="W552" s="10"/>
      <c r="X552" s="10"/>
      <c r="Y552" s="10"/>
      <c r="Z552" s="10"/>
      <c r="AA552" s="10"/>
      <c r="AB552" s="10"/>
      <c r="AC552" s="10"/>
      <c r="AD552" s="10"/>
      <c r="AE552" s="10"/>
    </row>
    <row r="553" spans="1:31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36"/>
      <c r="R553" s="36"/>
      <c r="S553" s="36"/>
      <c r="T553" s="36"/>
      <c r="U553" s="36"/>
      <c r="V553" s="36"/>
      <c r="W553" s="10"/>
      <c r="X553" s="10"/>
      <c r="Y553" s="10"/>
      <c r="Z553" s="10"/>
      <c r="AA553" s="10"/>
      <c r="AB553" s="10"/>
      <c r="AC553" s="10"/>
      <c r="AD553" s="10"/>
      <c r="AE553" s="10"/>
    </row>
    <row r="554" spans="1:31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36"/>
      <c r="R554" s="36"/>
      <c r="S554" s="36"/>
      <c r="T554" s="36"/>
      <c r="U554" s="36"/>
      <c r="V554" s="36"/>
      <c r="W554" s="10"/>
      <c r="X554" s="10"/>
      <c r="Y554" s="10"/>
      <c r="Z554" s="10"/>
      <c r="AA554" s="10"/>
      <c r="AB554" s="10"/>
      <c r="AC554" s="10"/>
      <c r="AD554" s="10"/>
      <c r="AE554" s="10"/>
    </row>
    <row r="555" spans="1:31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36"/>
      <c r="R555" s="36"/>
      <c r="S555" s="36"/>
      <c r="T555" s="36"/>
      <c r="U555" s="36"/>
      <c r="V555" s="36"/>
      <c r="W555" s="10"/>
      <c r="X555" s="10"/>
      <c r="Y555" s="10"/>
      <c r="Z555" s="10"/>
      <c r="AA555" s="10"/>
      <c r="AB555" s="10"/>
      <c r="AC555" s="10"/>
      <c r="AD555" s="10"/>
      <c r="AE555" s="10"/>
    </row>
    <row r="556" spans="1:31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36"/>
      <c r="R556" s="36"/>
      <c r="S556" s="36"/>
      <c r="T556" s="36"/>
      <c r="U556" s="36"/>
      <c r="V556" s="36"/>
      <c r="W556" s="10"/>
      <c r="X556" s="10"/>
      <c r="Y556" s="10"/>
      <c r="Z556" s="10"/>
      <c r="AA556" s="10"/>
      <c r="AB556" s="10"/>
      <c r="AC556" s="10"/>
      <c r="AD556" s="10"/>
      <c r="AE556" s="10"/>
    </row>
    <row r="557" spans="1:31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36"/>
      <c r="R557" s="36"/>
      <c r="S557" s="36"/>
      <c r="T557" s="36"/>
      <c r="U557" s="36"/>
      <c r="V557" s="36"/>
      <c r="W557" s="10"/>
      <c r="X557" s="10"/>
      <c r="Y557" s="10"/>
      <c r="Z557" s="10"/>
      <c r="AA557" s="10"/>
      <c r="AB557" s="10"/>
      <c r="AC557" s="10"/>
      <c r="AD557" s="10"/>
      <c r="AE557" s="10"/>
    </row>
    <row r="558" spans="1:31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36"/>
      <c r="R558" s="36"/>
      <c r="S558" s="36"/>
      <c r="T558" s="36"/>
      <c r="U558" s="36"/>
      <c r="V558" s="36"/>
      <c r="W558" s="10"/>
      <c r="X558" s="10"/>
      <c r="Y558" s="10"/>
      <c r="Z558" s="10"/>
      <c r="AA558" s="10"/>
      <c r="AB558" s="10"/>
      <c r="AC558" s="10"/>
      <c r="AD558" s="10"/>
      <c r="AE558" s="10"/>
    </row>
    <row r="559" spans="1:31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36"/>
      <c r="R559" s="36"/>
      <c r="S559" s="36"/>
      <c r="T559" s="36"/>
      <c r="U559" s="36"/>
      <c r="V559" s="36"/>
      <c r="W559" s="10"/>
      <c r="X559" s="10"/>
      <c r="Y559" s="10"/>
      <c r="Z559" s="10"/>
      <c r="AA559" s="10"/>
      <c r="AB559" s="10"/>
      <c r="AC559" s="10"/>
      <c r="AD559" s="10"/>
      <c r="AE559" s="10"/>
    </row>
    <row r="560" spans="1:31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36"/>
      <c r="R560" s="36"/>
      <c r="S560" s="36"/>
      <c r="T560" s="36"/>
      <c r="U560" s="36"/>
      <c r="V560" s="36"/>
      <c r="W560" s="10"/>
      <c r="X560" s="10"/>
      <c r="Y560" s="10"/>
      <c r="Z560" s="10"/>
      <c r="AA560" s="10"/>
      <c r="AB560" s="10"/>
      <c r="AC560" s="10"/>
      <c r="AD560" s="10"/>
      <c r="AE560" s="10"/>
    </row>
    <row r="561" spans="1:3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36"/>
      <c r="R561" s="36"/>
      <c r="S561" s="36"/>
      <c r="T561" s="36"/>
      <c r="U561" s="36"/>
      <c r="V561" s="36"/>
      <c r="W561" s="10"/>
      <c r="X561" s="10"/>
      <c r="Y561" s="10"/>
      <c r="Z561" s="10"/>
      <c r="AA561" s="10"/>
      <c r="AB561" s="10"/>
      <c r="AC561" s="10"/>
      <c r="AD561" s="10"/>
      <c r="AE561" s="10"/>
    </row>
    <row r="562" spans="1:31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36"/>
      <c r="R562" s="36"/>
      <c r="S562" s="36"/>
      <c r="T562" s="36"/>
      <c r="U562" s="36"/>
      <c r="V562" s="36"/>
      <c r="W562" s="10"/>
      <c r="X562" s="10"/>
      <c r="Y562" s="10"/>
      <c r="Z562" s="10"/>
      <c r="AA562" s="10"/>
      <c r="AB562" s="10"/>
      <c r="AC562" s="10"/>
      <c r="AD562" s="10"/>
      <c r="AE562" s="10"/>
    </row>
    <row r="563" spans="1:31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36"/>
      <c r="R563" s="36"/>
      <c r="S563" s="36"/>
      <c r="T563" s="36"/>
      <c r="U563" s="36"/>
      <c r="V563" s="36"/>
      <c r="W563" s="10"/>
      <c r="X563" s="10"/>
      <c r="Y563" s="10"/>
      <c r="Z563" s="10"/>
      <c r="AA563" s="10"/>
      <c r="AB563" s="10"/>
      <c r="AC563" s="10"/>
      <c r="AD563" s="10"/>
      <c r="AE563" s="10"/>
    </row>
    <row r="564" spans="1:31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36"/>
      <c r="R564" s="36"/>
      <c r="S564" s="36"/>
      <c r="T564" s="36"/>
      <c r="U564" s="36"/>
      <c r="V564" s="36"/>
      <c r="W564" s="10"/>
      <c r="X564" s="10"/>
      <c r="Y564" s="10"/>
      <c r="Z564" s="10"/>
      <c r="AA564" s="10"/>
      <c r="AB564" s="10"/>
      <c r="AC564" s="10"/>
      <c r="AD564" s="10"/>
      <c r="AE564" s="10"/>
    </row>
    <row r="565" spans="1:31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36"/>
      <c r="R565" s="36"/>
      <c r="S565" s="36"/>
      <c r="T565" s="36"/>
      <c r="U565" s="36"/>
      <c r="V565" s="36"/>
      <c r="W565" s="10"/>
      <c r="X565" s="10"/>
      <c r="Y565" s="10"/>
      <c r="Z565" s="10"/>
      <c r="AA565" s="10"/>
      <c r="AB565" s="10"/>
      <c r="AC565" s="10"/>
      <c r="AD565" s="10"/>
      <c r="AE565" s="10"/>
    </row>
    <row r="566" spans="1:31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36"/>
      <c r="R566" s="36"/>
      <c r="S566" s="36"/>
      <c r="T566" s="36"/>
      <c r="U566" s="36"/>
      <c r="V566" s="36"/>
      <c r="W566" s="10"/>
      <c r="X566" s="10"/>
      <c r="Y566" s="10"/>
      <c r="Z566" s="10"/>
      <c r="AA566" s="10"/>
      <c r="AB566" s="10"/>
      <c r="AC566" s="10"/>
      <c r="AD566" s="10"/>
      <c r="AE566" s="10"/>
    </row>
    <row r="567" spans="1:31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36"/>
      <c r="R567" s="36"/>
      <c r="S567" s="36"/>
      <c r="T567" s="36"/>
      <c r="U567" s="36"/>
      <c r="V567" s="36"/>
      <c r="W567" s="10"/>
      <c r="X567" s="10"/>
      <c r="Y567" s="10"/>
      <c r="Z567" s="10"/>
      <c r="AA567" s="10"/>
      <c r="AB567" s="10"/>
      <c r="AC567" s="10"/>
      <c r="AD567" s="10"/>
      <c r="AE567" s="10"/>
    </row>
    <row r="568" spans="1:31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36"/>
      <c r="R568" s="36"/>
      <c r="S568" s="36"/>
      <c r="T568" s="36"/>
      <c r="U568" s="36"/>
      <c r="V568" s="36"/>
      <c r="W568" s="10"/>
      <c r="X568" s="10"/>
      <c r="Y568" s="10"/>
      <c r="Z568" s="10"/>
      <c r="AA568" s="10"/>
      <c r="AB568" s="10"/>
      <c r="AC568" s="10"/>
      <c r="AD568" s="10"/>
      <c r="AE568" s="10"/>
    </row>
    <row r="569" spans="1:31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36"/>
      <c r="R569" s="36"/>
      <c r="S569" s="36"/>
      <c r="T569" s="36"/>
      <c r="U569" s="36"/>
      <c r="V569" s="36"/>
      <c r="W569" s="10"/>
      <c r="X569" s="10"/>
      <c r="Y569" s="10"/>
      <c r="Z569" s="10"/>
      <c r="AA569" s="10"/>
      <c r="AB569" s="10"/>
      <c r="AC569" s="10"/>
      <c r="AD569" s="10"/>
      <c r="AE569" s="10"/>
    </row>
    <row r="570" spans="1:31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36"/>
      <c r="R570" s="36"/>
      <c r="S570" s="36"/>
      <c r="T570" s="36"/>
      <c r="U570" s="36"/>
      <c r="V570" s="36"/>
      <c r="W570" s="10"/>
      <c r="X570" s="10"/>
      <c r="Y570" s="10"/>
      <c r="Z570" s="10"/>
      <c r="AA570" s="10"/>
      <c r="AB570" s="10"/>
      <c r="AC570" s="10"/>
      <c r="AD570" s="10"/>
      <c r="AE570" s="10"/>
    </row>
    <row r="571" spans="1:3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36"/>
      <c r="R571" s="36"/>
      <c r="S571" s="36"/>
      <c r="T571" s="36"/>
      <c r="U571" s="36"/>
      <c r="V571" s="36"/>
      <c r="W571" s="10"/>
      <c r="X571" s="10"/>
      <c r="Y571" s="10"/>
      <c r="Z571" s="10"/>
      <c r="AA571" s="10"/>
      <c r="AB571" s="10"/>
      <c r="AC571" s="10"/>
      <c r="AD571" s="10"/>
      <c r="AE571" s="10"/>
    </row>
    <row r="572" spans="1:31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36"/>
      <c r="R572" s="36"/>
      <c r="S572" s="36"/>
      <c r="T572" s="36"/>
      <c r="U572" s="36"/>
      <c r="V572" s="36"/>
      <c r="W572" s="10"/>
      <c r="X572" s="10"/>
      <c r="Y572" s="10"/>
      <c r="Z572" s="10"/>
      <c r="AA572" s="10"/>
      <c r="AB572" s="10"/>
      <c r="AC572" s="10"/>
      <c r="AD572" s="10"/>
      <c r="AE572" s="10"/>
    </row>
    <row r="573" spans="1:31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36"/>
      <c r="R573" s="36"/>
      <c r="S573" s="36"/>
      <c r="T573" s="36"/>
      <c r="U573" s="36"/>
      <c r="V573" s="36"/>
      <c r="W573" s="10"/>
      <c r="X573" s="10"/>
      <c r="Y573" s="10"/>
      <c r="Z573" s="10"/>
      <c r="AA573" s="10"/>
      <c r="AB573" s="10"/>
      <c r="AC573" s="10"/>
      <c r="AD573" s="10"/>
      <c r="AE573" s="10"/>
    </row>
    <row r="574" spans="1:31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36"/>
      <c r="R574" s="36"/>
      <c r="S574" s="36"/>
      <c r="T574" s="36"/>
      <c r="U574" s="36"/>
      <c r="V574" s="36"/>
      <c r="W574" s="10"/>
      <c r="X574" s="10"/>
      <c r="Y574" s="10"/>
      <c r="Z574" s="10"/>
      <c r="AA574" s="10"/>
      <c r="AB574" s="10"/>
      <c r="AC574" s="10"/>
      <c r="AD574" s="10"/>
      <c r="AE574" s="10"/>
    </row>
    <row r="575" spans="1:31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36"/>
      <c r="R575" s="36"/>
      <c r="S575" s="36"/>
      <c r="T575" s="36"/>
      <c r="U575" s="36"/>
      <c r="V575" s="36"/>
      <c r="W575" s="10"/>
      <c r="X575" s="10"/>
      <c r="Y575" s="10"/>
      <c r="Z575" s="10"/>
      <c r="AA575" s="10"/>
      <c r="AB575" s="10"/>
      <c r="AC575" s="10"/>
      <c r="AD575" s="10"/>
      <c r="AE575" s="10"/>
    </row>
    <row r="576" spans="1:31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36"/>
      <c r="R576" s="36"/>
      <c r="S576" s="36"/>
      <c r="T576" s="36"/>
      <c r="U576" s="36"/>
      <c r="V576" s="36"/>
      <c r="W576" s="10"/>
      <c r="X576" s="10"/>
      <c r="Y576" s="10"/>
      <c r="Z576" s="10"/>
      <c r="AA576" s="10"/>
      <c r="AB576" s="10"/>
      <c r="AC576" s="10"/>
      <c r="AD576" s="10"/>
      <c r="AE576" s="10"/>
    </row>
    <row r="577" spans="1:31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36"/>
      <c r="R577" s="36"/>
      <c r="S577" s="36"/>
      <c r="T577" s="36"/>
      <c r="U577" s="36"/>
      <c r="V577" s="36"/>
      <c r="W577" s="10"/>
      <c r="X577" s="10"/>
      <c r="Y577" s="10"/>
      <c r="Z577" s="10"/>
      <c r="AA577" s="10"/>
      <c r="AB577" s="10"/>
      <c r="AC577" s="10"/>
      <c r="AD577" s="10"/>
      <c r="AE577" s="10"/>
    </row>
    <row r="578" spans="1:31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36"/>
      <c r="R578" s="36"/>
      <c r="S578" s="36"/>
      <c r="T578" s="36"/>
      <c r="U578" s="36"/>
      <c r="V578" s="36"/>
      <c r="W578" s="10"/>
      <c r="X578" s="10"/>
      <c r="Y578" s="10"/>
      <c r="Z578" s="10"/>
      <c r="AA578" s="10"/>
      <c r="AB578" s="10"/>
      <c r="AC578" s="10"/>
      <c r="AD578" s="10"/>
      <c r="AE578" s="10"/>
    </row>
    <row r="579" spans="1:31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36"/>
      <c r="R579" s="36"/>
      <c r="S579" s="36"/>
      <c r="T579" s="36"/>
      <c r="U579" s="36"/>
      <c r="V579" s="36"/>
      <c r="W579" s="10"/>
      <c r="X579" s="10"/>
      <c r="Y579" s="10"/>
      <c r="Z579" s="10"/>
      <c r="AA579" s="10"/>
      <c r="AB579" s="10"/>
      <c r="AC579" s="10"/>
      <c r="AD579" s="10"/>
      <c r="AE579" s="10"/>
    </row>
    <row r="580" spans="1:31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36"/>
      <c r="R580" s="36"/>
      <c r="S580" s="36"/>
      <c r="T580" s="36"/>
      <c r="U580" s="36"/>
      <c r="V580" s="36"/>
      <c r="W580" s="10"/>
      <c r="X580" s="10"/>
      <c r="Y580" s="10"/>
      <c r="Z580" s="10"/>
      <c r="AA580" s="10"/>
      <c r="AB580" s="10"/>
      <c r="AC580" s="10"/>
      <c r="AD580" s="10"/>
      <c r="AE580" s="10"/>
    </row>
    <row r="581" spans="1:3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36"/>
      <c r="R581" s="36"/>
      <c r="S581" s="36"/>
      <c r="T581" s="36"/>
      <c r="U581" s="36"/>
      <c r="V581" s="36"/>
      <c r="W581" s="10"/>
      <c r="X581" s="10"/>
      <c r="Y581" s="10"/>
      <c r="Z581" s="10"/>
      <c r="AA581" s="10"/>
      <c r="AB581" s="10"/>
      <c r="AC581" s="10"/>
      <c r="AD581" s="10"/>
      <c r="AE581" s="10"/>
    </row>
    <row r="582" spans="1:31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36"/>
      <c r="R582" s="36"/>
      <c r="S582" s="36"/>
      <c r="T582" s="36"/>
      <c r="U582" s="36"/>
      <c r="V582" s="36"/>
      <c r="W582" s="10"/>
      <c r="X582" s="10"/>
      <c r="Y582" s="10"/>
      <c r="Z582" s="10"/>
      <c r="AA582" s="10"/>
      <c r="AB582" s="10"/>
      <c r="AC582" s="10"/>
      <c r="AD582" s="10"/>
      <c r="AE582" s="10"/>
    </row>
    <row r="583" spans="1:31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36"/>
      <c r="R583" s="36"/>
      <c r="S583" s="36"/>
      <c r="T583" s="36"/>
      <c r="U583" s="36"/>
      <c r="V583" s="36"/>
      <c r="W583" s="10"/>
      <c r="X583" s="10"/>
      <c r="Y583" s="10"/>
      <c r="Z583" s="10"/>
      <c r="AA583" s="10"/>
      <c r="AB583" s="10"/>
      <c r="AC583" s="10"/>
      <c r="AD583" s="10"/>
      <c r="AE583" s="10"/>
    </row>
    <row r="584" spans="1:31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36"/>
      <c r="R584" s="36"/>
      <c r="S584" s="36"/>
      <c r="T584" s="36"/>
      <c r="U584" s="36"/>
      <c r="V584" s="36"/>
      <c r="W584" s="10"/>
      <c r="X584" s="10"/>
      <c r="Y584" s="10"/>
      <c r="Z584" s="10"/>
      <c r="AA584" s="10"/>
      <c r="AB584" s="10"/>
      <c r="AC584" s="10"/>
      <c r="AD584" s="10"/>
      <c r="AE584" s="10"/>
    </row>
    <row r="585" spans="1:31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36"/>
      <c r="R585" s="36"/>
      <c r="S585" s="36"/>
      <c r="T585" s="36"/>
      <c r="U585" s="36"/>
      <c r="V585" s="36"/>
      <c r="W585" s="10"/>
      <c r="X585" s="10"/>
      <c r="Y585" s="10"/>
      <c r="Z585" s="10"/>
      <c r="AA585" s="10"/>
      <c r="AB585" s="10"/>
      <c r="AC585" s="10"/>
      <c r="AD585" s="10"/>
      <c r="AE585" s="10"/>
    </row>
    <row r="586" spans="1:31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36"/>
      <c r="R586" s="36"/>
      <c r="S586" s="36"/>
      <c r="T586" s="36"/>
      <c r="U586" s="36"/>
      <c r="V586" s="36"/>
      <c r="W586" s="10"/>
      <c r="X586" s="10"/>
      <c r="Y586" s="10"/>
      <c r="Z586" s="10"/>
      <c r="AA586" s="10"/>
      <c r="AB586" s="10"/>
      <c r="AC586" s="10"/>
      <c r="AD586" s="10"/>
      <c r="AE586" s="10"/>
    </row>
    <row r="587" spans="1:31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36"/>
      <c r="R587" s="36"/>
      <c r="S587" s="36"/>
      <c r="T587" s="36"/>
      <c r="U587" s="36"/>
      <c r="V587" s="36"/>
      <c r="W587" s="10"/>
      <c r="X587" s="10"/>
      <c r="Y587" s="10"/>
      <c r="Z587" s="10"/>
      <c r="AA587" s="10"/>
      <c r="AB587" s="10"/>
      <c r="AC587" s="10"/>
      <c r="AD587" s="10"/>
      <c r="AE587" s="10"/>
    </row>
    <row r="588" spans="1:31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36"/>
      <c r="R588" s="36"/>
      <c r="S588" s="36"/>
      <c r="T588" s="36"/>
      <c r="U588" s="36"/>
      <c r="V588" s="36"/>
      <c r="W588" s="10"/>
      <c r="X588" s="10"/>
      <c r="Y588" s="10"/>
      <c r="Z588" s="10"/>
      <c r="AA588" s="10"/>
      <c r="AB588" s="10"/>
      <c r="AC588" s="10"/>
      <c r="AD588" s="10"/>
      <c r="AE588" s="10"/>
    </row>
    <row r="589" spans="1:31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36"/>
      <c r="R589" s="36"/>
      <c r="S589" s="36"/>
      <c r="T589" s="36"/>
      <c r="U589" s="36"/>
      <c r="V589" s="36"/>
      <c r="W589" s="10"/>
      <c r="X589" s="10"/>
      <c r="Y589" s="10"/>
      <c r="Z589" s="10"/>
      <c r="AA589" s="10"/>
      <c r="AB589" s="10"/>
      <c r="AC589" s="10"/>
      <c r="AD589" s="10"/>
      <c r="AE589" s="10"/>
    </row>
    <row r="590" spans="1:31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36"/>
      <c r="R590" s="36"/>
      <c r="S590" s="36"/>
      <c r="T590" s="36"/>
      <c r="U590" s="36"/>
      <c r="V590" s="36"/>
      <c r="W590" s="10"/>
      <c r="X590" s="10"/>
      <c r="Y590" s="10"/>
      <c r="Z590" s="10"/>
      <c r="AA590" s="10"/>
      <c r="AB590" s="10"/>
      <c r="AC590" s="10"/>
      <c r="AD590" s="10"/>
      <c r="AE590" s="10"/>
    </row>
    <row r="591" spans="1:3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36"/>
      <c r="R591" s="36"/>
      <c r="S591" s="36"/>
      <c r="T591" s="36"/>
      <c r="U591" s="36"/>
      <c r="V591" s="36"/>
      <c r="W591" s="10"/>
      <c r="X591" s="10"/>
      <c r="Y591" s="10"/>
      <c r="Z591" s="10"/>
      <c r="AA591" s="10"/>
      <c r="AB591" s="10"/>
      <c r="AC591" s="10"/>
      <c r="AD591" s="10"/>
      <c r="AE591" s="10"/>
    </row>
    <row r="592" spans="1:31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36"/>
      <c r="R592" s="36"/>
      <c r="S592" s="36"/>
      <c r="T592" s="36"/>
      <c r="U592" s="36"/>
      <c r="V592" s="36"/>
      <c r="W592" s="10"/>
      <c r="X592" s="10"/>
      <c r="Y592" s="10"/>
      <c r="Z592" s="10"/>
      <c r="AA592" s="10"/>
      <c r="AB592" s="10"/>
      <c r="AC592" s="10"/>
      <c r="AD592" s="10"/>
      <c r="AE592" s="10"/>
    </row>
    <row r="593" spans="1:31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36"/>
      <c r="R593" s="36"/>
      <c r="S593" s="36"/>
      <c r="T593" s="36"/>
      <c r="U593" s="36"/>
      <c r="V593" s="36"/>
      <c r="W593" s="10"/>
      <c r="X593" s="10"/>
      <c r="Y593" s="10"/>
      <c r="Z593" s="10"/>
      <c r="AA593" s="10"/>
      <c r="AB593" s="10"/>
      <c r="AC593" s="10"/>
      <c r="AD593" s="10"/>
      <c r="AE593" s="10"/>
    </row>
    <row r="594" spans="1:31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36"/>
      <c r="R594" s="36"/>
      <c r="S594" s="36"/>
      <c r="T594" s="36"/>
      <c r="U594" s="36"/>
      <c r="V594" s="36"/>
      <c r="W594" s="10"/>
      <c r="X594" s="10"/>
      <c r="Y594" s="10"/>
      <c r="Z594" s="10"/>
      <c r="AA594" s="10"/>
      <c r="AB594" s="10"/>
      <c r="AC594" s="10"/>
      <c r="AD594" s="10"/>
      <c r="AE594" s="10"/>
    </row>
    <row r="595" spans="1:31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36"/>
      <c r="R595" s="36"/>
      <c r="S595" s="36"/>
      <c r="T595" s="36"/>
      <c r="U595" s="36"/>
      <c r="V595" s="36"/>
      <c r="W595" s="10"/>
      <c r="X595" s="10"/>
      <c r="Y595" s="10"/>
      <c r="Z595" s="10"/>
      <c r="AA595" s="10"/>
      <c r="AB595" s="10"/>
      <c r="AC595" s="10"/>
      <c r="AD595" s="10"/>
      <c r="AE595" s="10"/>
    </row>
    <row r="596" spans="1:31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36"/>
      <c r="R596" s="36"/>
      <c r="S596" s="36"/>
      <c r="T596" s="36"/>
      <c r="U596" s="36"/>
      <c r="V596" s="36"/>
      <c r="W596" s="10"/>
      <c r="X596" s="10"/>
      <c r="Y596" s="10"/>
      <c r="Z596" s="10"/>
      <c r="AA596" s="10"/>
      <c r="AB596" s="10"/>
      <c r="AC596" s="10"/>
      <c r="AD596" s="10"/>
      <c r="AE596" s="10"/>
    </row>
    <row r="597" spans="1:31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36"/>
      <c r="R597" s="36"/>
      <c r="S597" s="36"/>
      <c r="T597" s="36"/>
      <c r="U597" s="36"/>
      <c r="V597" s="36"/>
      <c r="W597" s="10"/>
      <c r="X597" s="10"/>
      <c r="Y597" s="10"/>
      <c r="Z597" s="10"/>
      <c r="AA597" s="10"/>
      <c r="AB597" s="10"/>
      <c r="AC597" s="10"/>
      <c r="AD597" s="10"/>
      <c r="AE597" s="10"/>
    </row>
    <row r="598" spans="1:31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36"/>
      <c r="R598" s="36"/>
      <c r="S598" s="36"/>
      <c r="T598" s="36"/>
      <c r="U598" s="36"/>
      <c r="V598" s="36"/>
      <c r="W598" s="10"/>
      <c r="X598" s="10"/>
      <c r="Y598" s="10"/>
      <c r="Z598" s="10"/>
      <c r="AA598" s="10"/>
      <c r="AB598" s="10"/>
      <c r="AC598" s="10"/>
      <c r="AD598" s="10"/>
      <c r="AE598" s="10"/>
    </row>
    <row r="599" spans="1:31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36"/>
      <c r="R599" s="36"/>
      <c r="S599" s="36"/>
      <c r="T599" s="36"/>
      <c r="U599" s="36"/>
      <c r="V599" s="36"/>
      <c r="W599" s="10"/>
      <c r="X599" s="10"/>
      <c r="Y599" s="10"/>
      <c r="Z599" s="10"/>
      <c r="AA599" s="10"/>
      <c r="AB599" s="10"/>
      <c r="AC599" s="10"/>
      <c r="AD599" s="10"/>
      <c r="AE599" s="10"/>
    </row>
    <row r="600" spans="1:31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36"/>
      <c r="R600" s="36"/>
      <c r="S600" s="36"/>
      <c r="T600" s="36"/>
      <c r="U600" s="36"/>
      <c r="V600" s="36"/>
      <c r="W600" s="10"/>
      <c r="X600" s="10"/>
      <c r="Y600" s="10"/>
      <c r="Z600" s="10"/>
      <c r="AA600" s="10"/>
      <c r="AB600" s="10"/>
      <c r="AC600" s="10"/>
      <c r="AD600" s="10"/>
      <c r="AE600" s="10"/>
    </row>
    <row r="601" spans="1:3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36"/>
      <c r="R601" s="36"/>
      <c r="S601" s="36"/>
      <c r="T601" s="36"/>
      <c r="U601" s="36"/>
      <c r="V601" s="36"/>
      <c r="W601" s="10"/>
      <c r="X601" s="10"/>
      <c r="Y601" s="10"/>
      <c r="Z601" s="10"/>
      <c r="AA601" s="10"/>
      <c r="AB601" s="10"/>
      <c r="AC601" s="10"/>
      <c r="AD601" s="10"/>
      <c r="AE601" s="10"/>
    </row>
    <row r="602" spans="1:31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36"/>
      <c r="R602" s="36"/>
      <c r="S602" s="36"/>
      <c r="T602" s="36"/>
      <c r="U602" s="36"/>
      <c r="V602" s="36"/>
      <c r="W602" s="10"/>
      <c r="X602" s="10"/>
      <c r="Y602" s="10"/>
      <c r="Z602" s="10"/>
      <c r="AA602" s="10"/>
      <c r="AB602" s="10"/>
      <c r="AC602" s="10"/>
      <c r="AD602" s="10"/>
      <c r="AE602" s="10"/>
    </row>
    <row r="603" spans="1:31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36"/>
      <c r="R603" s="36"/>
      <c r="S603" s="36"/>
      <c r="T603" s="36"/>
      <c r="U603" s="36"/>
      <c r="V603" s="36"/>
      <c r="W603" s="10"/>
      <c r="X603" s="10"/>
      <c r="Y603" s="10"/>
      <c r="Z603" s="10"/>
      <c r="AA603" s="10"/>
      <c r="AB603" s="10"/>
      <c r="AC603" s="10"/>
      <c r="AD603" s="10"/>
      <c r="AE603" s="10"/>
    </row>
    <row r="604" spans="1:31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36"/>
      <c r="R604" s="36"/>
      <c r="S604" s="36"/>
      <c r="T604" s="36"/>
      <c r="U604" s="36"/>
      <c r="V604" s="36"/>
      <c r="W604" s="10"/>
      <c r="X604" s="10"/>
      <c r="Y604" s="10"/>
      <c r="Z604" s="10"/>
      <c r="AA604" s="10"/>
      <c r="AB604" s="10"/>
      <c r="AC604" s="10"/>
      <c r="AD604" s="10"/>
      <c r="AE604" s="10"/>
    </row>
    <row r="605" spans="1:31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36"/>
      <c r="R605" s="36"/>
      <c r="S605" s="36"/>
      <c r="T605" s="36"/>
      <c r="U605" s="36"/>
      <c r="V605" s="36"/>
      <c r="W605" s="10"/>
      <c r="X605" s="10"/>
      <c r="Y605" s="10"/>
      <c r="Z605" s="10"/>
      <c r="AA605" s="10"/>
      <c r="AB605" s="10"/>
      <c r="AC605" s="10"/>
      <c r="AD605" s="10"/>
      <c r="AE605" s="10"/>
    </row>
    <row r="606" spans="1:31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36"/>
      <c r="R606" s="36"/>
      <c r="S606" s="36"/>
      <c r="T606" s="36"/>
      <c r="U606" s="36"/>
      <c r="V606" s="36"/>
      <c r="W606" s="10"/>
      <c r="X606" s="10"/>
      <c r="Y606" s="10"/>
      <c r="Z606" s="10"/>
      <c r="AA606" s="10"/>
      <c r="AB606" s="10"/>
      <c r="AC606" s="10"/>
      <c r="AD606" s="10"/>
      <c r="AE606" s="10"/>
    </row>
    <row r="607" spans="1:31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36"/>
      <c r="R607" s="36"/>
      <c r="S607" s="36"/>
      <c r="T607" s="36"/>
      <c r="U607" s="36"/>
      <c r="V607" s="36"/>
      <c r="W607" s="10"/>
      <c r="X607" s="10"/>
      <c r="Y607" s="10"/>
      <c r="Z607" s="10"/>
      <c r="AA607" s="10"/>
      <c r="AB607" s="10"/>
      <c r="AC607" s="10"/>
      <c r="AD607" s="10"/>
      <c r="AE607" s="10"/>
    </row>
    <row r="608" spans="1:31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36"/>
      <c r="R608" s="36"/>
      <c r="S608" s="36"/>
      <c r="T608" s="36"/>
      <c r="U608" s="36"/>
      <c r="V608" s="36"/>
      <c r="W608" s="10"/>
      <c r="X608" s="10"/>
      <c r="Y608" s="10"/>
      <c r="Z608" s="10"/>
      <c r="AA608" s="10"/>
      <c r="AB608" s="10"/>
      <c r="AC608" s="10"/>
      <c r="AD608" s="10"/>
      <c r="AE608" s="10"/>
    </row>
    <row r="609" spans="1:31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36"/>
      <c r="R609" s="36"/>
      <c r="S609" s="36"/>
      <c r="T609" s="36"/>
      <c r="U609" s="36"/>
      <c r="V609" s="36"/>
      <c r="W609" s="10"/>
      <c r="X609" s="10"/>
      <c r="Y609" s="10"/>
      <c r="Z609" s="10"/>
      <c r="AA609" s="10"/>
      <c r="AB609" s="10"/>
      <c r="AC609" s="10"/>
      <c r="AD609" s="10"/>
      <c r="AE609" s="10"/>
    </row>
    <row r="610" spans="1:31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36"/>
      <c r="R610" s="36"/>
      <c r="S610" s="36"/>
      <c r="T610" s="36"/>
      <c r="U610" s="36"/>
      <c r="V610" s="36"/>
      <c r="W610" s="10"/>
      <c r="X610" s="10"/>
      <c r="Y610" s="10"/>
      <c r="Z610" s="10"/>
      <c r="AA610" s="10"/>
      <c r="AB610" s="10"/>
      <c r="AC610" s="10"/>
      <c r="AD610" s="10"/>
      <c r="AE610" s="10"/>
    </row>
    <row r="611" spans="1:3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36"/>
      <c r="R611" s="36"/>
      <c r="S611" s="36"/>
      <c r="T611" s="36"/>
      <c r="U611" s="36"/>
      <c r="V611" s="36"/>
      <c r="W611" s="10"/>
      <c r="X611" s="10"/>
      <c r="Y611" s="10"/>
      <c r="Z611" s="10"/>
      <c r="AA611" s="10"/>
      <c r="AB611" s="10"/>
      <c r="AC611" s="10"/>
      <c r="AD611" s="10"/>
      <c r="AE611" s="10"/>
    </row>
    <row r="612" spans="1:31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36"/>
      <c r="R612" s="36"/>
      <c r="S612" s="36"/>
      <c r="T612" s="36"/>
      <c r="U612" s="36"/>
      <c r="V612" s="36"/>
      <c r="W612" s="10"/>
      <c r="X612" s="10"/>
      <c r="Y612" s="10"/>
      <c r="Z612" s="10"/>
      <c r="AA612" s="10"/>
      <c r="AB612" s="10"/>
      <c r="AC612" s="10"/>
      <c r="AD612" s="10"/>
      <c r="AE612" s="10"/>
    </row>
    <row r="613" spans="1:31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36"/>
      <c r="R613" s="36"/>
      <c r="S613" s="36"/>
      <c r="T613" s="36"/>
      <c r="U613" s="36"/>
      <c r="V613" s="36"/>
      <c r="W613" s="10"/>
      <c r="X613" s="10"/>
      <c r="Y613" s="10"/>
      <c r="Z613" s="10"/>
      <c r="AA613" s="10"/>
      <c r="AB613" s="10"/>
      <c r="AC613" s="10"/>
      <c r="AD613" s="10"/>
      <c r="AE613" s="10"/>
    </row>
    <row r="614" spans="1:31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36"/>
      <c r="R614" s="36"/>
      <c r="S614" s="36"/>
      <c r="T614" s="36"/>
      <c r="U614" s="36"/>
      <c r="V614" s="36"/>
      <c r="W614" s="10"/>
      <c r="X614" s="10"/>
      <c r="Y614" s="10"/>
      <c r="Z614" s="10"/>
      <c r="AA614" s="10"/>
      <c r="AB614" s="10"/>
      <c r="AC614" s="10"/>
      <c r="AD614" s="10"/>
      <c r="AE614" s="10"/>
    </row>
    <row r="615" spans="1:31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36"/>
      <c r="R615" s="36"/>
      <c r="S615" s="36"/>
      <c r="T615" s="36"/>
      <c r="U615" s="36"/>
      <c r="V615" s="36"/>
      <c r="W615" s="10"/>
      <c r="X615" s="10"/>
      <c r="Y615" s="10"/>
      <c r="Z615" s="10"/>
      <c r="AA615" s="10"/>
      <c r="AB615" s="10"/>
      <c r="AC615" s="10"/>
      <c r="AD615" s="10"/>
      <c r="AE615" s="10"/>
    </row>
    <row r="616" spans="1:31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36"/>
      <c r="R616" s="36"/>
      <c r="S616" s="36"/>
      <c r="T616" s="36"/>
      <c r="U616" s="36"/>
      <c r="V616" s="36"/>
      <c r="W616" s="10"/>
      <c r="X616" s="10"/>
      <c r="Y616" s="10"/>
      <c r="Z616" s="10"/>
      <c r="AA616" s="10"/>
      <c r="AB616" s="10"/>
      <c r="AC616" s="10"/>
      <c r="AD616" s="10"/>
      <c r="AE616" s="10"/>
    </row>
    <row r="617" spans="1:31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36"/>
      <c r="R617" s="36"/>
      <c r="S617" s="36"/>
      <c r="T617" s="36"/>
      <c r="U617" s="36"/>
      <c r="V617" s="36"/>
      <c r="W617" s="10"/>
      <c r="X617" s="10"/>
      <c r="Y617" s="10"/>
      <c r="Z617" s="10"/>
      <c r="AA617" s="10"/>
      <c r="AB617" s="10"/>
      <c r="AC617" s="10"/>
      <c r="AD617" s="10"/>
      <c r="AE617" s="10"/>
    </row>
    <row r="618" spans="1:31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36"/>
      <c r="R618" s="36"/>
      <c r="S618" s="36"/>
      <c r="T618" s="36"/>
      <c r="U618" s="36"/>
      <c r="V618" s="36"/>
      <c r="W618" s="10"/>
      <c r="X618" s="10"/>
      <c r="Y618" s="10"/>
      <c r="Z618" s="10"/>
      <c r="AA618" s="10"/>
      <c r="AB618" s="10"/>
      <c r="AC618" s="10"/>
      <c r="AD618" s="10"/>
      <c r="AE618" s="10"/>
    </row>
    <row r="619" spans="1:31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36"/>
      <c r="R619" s="36"/>
      <c r="S619" s="36"/>
      <c r="T619" s="36"/>
      <c r="U619" s="36"/>
      <c r="V619" s="36"/>
      <c r="W619" s="10"/>
      <c r="X619" s="10"/>
      <c r="Y619" s="10"/>
      <c r="Z619" s="10"/>
      <c r="AA619" s="10"/>
      <c r="AB619" s="10"/>
      <c r="AC619" s="10"/>
      <c r="AD619" s="10"/>
      <c r="AE619" s="10"/>
    </row>
    <row r="620" spans="1:31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36"/>
      <c r="R620" s="36"/>
      <c r="S620" s="36"/>
      <c r="T620" s="36"/>
      <c r="U620" s="36"/>
      <c r="V620" s="36"/>
      <c r="W620" s="10"/>
      <c r="X620" s="10"/>
      <c r="Y620" s="10"/>
      <c r="Z620" s="10"/>
      <c r="AA620" s="10"/>
      <c r="AB620" s="10"/>
      <c r="AC620" s="10"/>
      <c r="AD620" s="10"/>
      <c r="AE620" s="10"/>
    </row>
    <row r="621" spans="1:3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36"/>
      <c r="R621" s="36"/>
      <c r="S621" s="36"/>
      <c r="T621" s="36"/>
      <c r="U621" s="36"/>
      <c r="V621" s="36"/>
      <c r="W621" s="10"/>
      <c r="X621" s="10"/>
      <c r="Y621" s="10"/>
      <c r="Z621" s="10"/>
      <c r="AA621" s="10"/>
      <c r="AB621" s="10"/>
      <c r="AC621" s="10"/>
      <c r="AD621" s="10"/>
      <c r="AE621" s="10"/>
    </row>
    <row r="622" spans="1:31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36"/>
      <c r="R622" s="36"/>
      <c r="S622" s="36"/>
      <c r="T622" s="36"/>
      <c r="U622" s="36"/>
      <c r="V622" s="36"/>
      <c r="W622" s="10"/>
      <c r="X622" s="10"/>
      <c r="Y622" s="10"/>
      <c r="Z622" s="10"/>
      <c r="AA622" s="10"/>
      <c r="AB622" s="10"/>
      <c r="AC622" s="10"/>
      <c r="AD622" s="10"/>
      <c r="AE622" s="10"/>
    </row>
    <row r="623" spans="1:31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36"/>
      <c r="R623" s="36"/>
      <c r="S623" s="36"/>
      <c r="T623" s="36"/>
      <c r="U623" s="36"/>
      <c r="V623" s="36"/>
      <c r="W623" s="10"/>
      <c r="X623" s="10"/>
      <c r="Y623" s="10"/>
      <c r="Z623" s="10"/>
      <c r="AA623" s="10"/>
      <c r="AB623" s="10"/>
      <c r="AC623" s="10"/>
      <c r="AD623" s="10"/>
      <c r="AE623" s="10"/>
    </row>
    <row r="624" spans="1:31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36"/>
      <c r="R624" s="36"/>
      <c r="S624" s="36"/>
      <c r="T624" s="36"/>
      <c r="U624" s="36"/>
      <c r="V624" s="36"/>
      <c r="W624" s="10"/>
      <c r="X624" s="10"/>
      <c r="Y624" s="10"/>
      <c r="Z624" s="10"/>
      <c r="AA624" s="10"/>
      <c r="AB624" s="10"/>
      <c r="AC624" s="10"/>
      <c r="AD624" s="10"/>
      <c r="AE624" s="10"/>
    </row>
    <row r="625" spans="1:31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36"/>
      <c r="R625" s="36"/>
      <c r="S625" s="36"/>
      <c r="T625" s="36"/>
      <c r="U625" s="36"/>
      <c r="V625" s="36"/>
      <c r="W625" s="10"/>
      <c r="X625" s="10"/>
      <c r="Y625" s="10"/>
      <c r="Z625" s="10"/>
      <c r="AA625" s="10"/>
      <c r="AB625" s="10"/>
      <c r="AC625" s="10"/>
      <c r="AD625" s="10"/>
      <c r="AE625" s="10"/>
    </row>
    <row r="626" spans="1:31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36"/>
      <c r="R626" s="36"/>
      <c r="S626" s="36"/>
      <c r="T626" s="36"/>
      <c r="U626" s="36"/>
      <c r="V626" s="36"/>
      <c r="W626" s="10"/>
      <c r="X626" s="10"/>
      <c r="Y626" s="10"/>
      <c r="Z626" s="10"/>
      <c r="AA626" s="10"/>
      <c r="AB626" s="10"/>
      <c r="AC626" s="10"/>
      <c r="AD626" s="10"/>
      <c r="AE626" s="10"/>
    </row>
    <row r="627" spans="1:31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36"/>
      <c r="R627" s="36"/>
      <c r="S627" s="36"/>
      <c r="T627" s="36"/>
      <c r="U627" s="36"/>
      <c r="V627" s="36"/>
      <c r="W627" s="10"/>
      <c r="X627" s="10"/>
      <c r="Y627" s="10"/>
      <c r="Z627" s="10"/>
      <c r="AA627" s="10"/>
      <c r="AB627" s="10"/>
      <c r="AC627" s="10"/>
      <c r="AD627" s="10"/>
      <c r="AE627" s="10"/>
    </row>
    <row r="628" spans="1:31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36"/>
      <c r="R628" s="36"/>
      <c r="S628" s="36"/>
      <c r="T628" s="36"/>
      <c r="U628" s="36"/>
      <c r="V628" s="36"/>
      <c r="W628" s="10"/>
      <c r="X628" s="10"/>
      <c r="Y628" s="10"/>
      <c r="Z628" s="10"/>
      <c r="AA628" s="10"/>
      <c r="AB628" s="10"/>
      <c r="AC628" s="10"/>
      <c r="AD628" s="10"/>
      <c r="AE628" s="10"/>
    </row>
    <row r="629" spans="1:31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36"/>
      <c r="R629" s="36"/>
      <c r="S629" s="36"/>
      <c r="T629" s="36"/>
      <c r="U629" s="36"/>
      <c r="V629" s="36"/>
      <c r="W629" s="10"/>
      <c r="X629" s="10"/>
      <c r="Y629" s="10"/>
      <c r="Z629" s="10"/>
      <c r="AA629" s="10"/>
      <c r="AB629" s="10"/>
      <c r="AC629" s="10"/>
      <c r="AD629" s="10"/>
      <c r="AE629" s="10"/>
    </row>
    <row r="630" spans="1:31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36"/>
      <c r="R630" s="36"/>
      <c r="S630" s="36"/>
      <c r="T630" s="36"/>
      <c r="U630" s="36"/>
      <c r="V630" s="36"/>
      <c r="W630" s="10"/>
      <c r="X630" s="10"/>
      <c r="Y630" s="10"/>
      <c r="Z630" s="10"/>
      <c r="AA630" s="10"/>
      <c r="AB630" s="10"/>
      <c r="AC630" s="10"/>
      <c r="AD630" s="10"/>
      <c r="AE630" s="10"/>
    </row>
    <row r="631" spans="1: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36"/>
      <c r="R631" s="36"/>
      <c r="S631" s="36"/>
      <c r="T631" s="36"/>
      <c r="U631" s="36"/>
      <c r="V631" s="36"/>
      <c r="W631" s="10"/>
      <c r="X631" s="10"/>
      <c r="Y631" s="10"/>
      <c r="Z631" s="10"/>
      <c r="AA631" s="10"/>
      <c r="AB631" s="10"/>
      <c r="AC631" s="10"/>
      <c r="AD631" s="10"/>
      <c r="AE631" s="10"/>
    </row>
    <row r="632" spans="1:31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36"/>
      <c r="R632" s="36"/>
      <c r="S632" s="36"/>
      <c r="T632" s="36"/>
      <c r="U632" s="36"/>
      <c r="V632" s="36"/>
      <c r="W632" s="10"/>
      <c r="X632" s="10"/>
      <c r="Y632" s="10"/>
      <c r="Z632" s="10"/>
      <c r="AA632" s="10"/>
      <c r="AB632" s="10"/>
      <c r="AC632" s="10"/>
      <c r="AD632" s="10"/>
      <c r="AE632" s="10"/>
    </row>
    <row r="633" spans="1:31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36"/>
      <c r="R633" s="36"/>
      <c r="S633" s="36"/>
      <c r="T633" s="36"/>
      <c r="U633" s="36"/>
      <c r="V633" s="36"/>
      <c r="W633" s="10"/>
      <c r="X633" s="10"/>
      <c r="Y633" s="10"/>
      <c r="Z633" s="10"/>
      <c r="AA633" s="10"/>
      <c r="AB633" s="10"/>
      <c r="AC633" s="10"/>
      <c r="AD633" s="10"/>
      <c r="AE633" s="10"/>
    </row>
    <row r="634" spans="1:31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36"/>
      <c r="R634" s="36"/>
      <c r="S634" s="36"/>
      <c r="T634" s="36"/>
      <c r="U634" s="36"/>
      <c r="V634" s="36"/>
      <c r="W634" s="10"/>
      <c r="X634" s="10"/>
      <c r="Y634" s="10"/>
      <c r="Z634" s="10"/>
      <c r="AA634" s="10"/>
      <c r="AB634" s="10"/>
      <c r="AC634" s="10"/>
      <c r="AD634" s="10"/>
      <c r="AE634" s="10"/>
    </row>
    <row r="635" spans="1:31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36"/>
      <c r="R635" s="36"/>
      <c r="S635" s="36"/>
      <c r="T635" s="36"/>
      <c r="U635" s="36"/>
      <c r="V635" s="36"/>
      <c r="W635" s="10"/>
      <c r="X635" s="10"/>
      <c r="Y635" s="10"/>
      <c r="Z635" s="10"/>
      <c r="AA635" s="10"/>
      <c r="AB635" s="10"/>
      <c r="AC635" s="10"/>
      <c r="AD635" s="10"/>
      <c r="AE635" s="10"/>
    </row>
    <row r="636" spans="1:31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36"/>
      <c r="R636" s="36"/>
      <c r="S636" s="36"/>
      <c r="T636" s="36"/>
      <c r="U636" s="36"/>
      <c r="V636" s="36"/>
      <c r="W636" s="10"/>
      <c r="X636" s="10"/>
      <c r="Y636" s="10"/>
      <c r="Z636" s="10"/>
      <c r="AA636" s="10"/>
      <c r="AB636" s="10"/>
      <c r="AC636" s="10"/>
      <c r="AD636" s="10"/>
      <c r="AE636" s="10"/>
    </row>
    <row r="637" spans="1:31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36"/>
      <c r="R637" s="36"/>
      <c r="S637" s="36"/>
      <c r="T637" s="36"/>
      <c r="U637" s="36"/>
      <c r="V637" s="36"/>
      <c r="W637" s="10"/>
      <c r="X637" s="10"/>
      <c r="Y637" s="10"/>
      <c r="Z637" s="10"/>
      <c r="AA637" s="10"/>
      <c r="AB637" s="10"/>
      <c r="AC637" s="10"/>
      <c r="AD637" s="10"/>
      <c r="AE637" s="10"/>
    </row>
    <row r="638" spans="1:31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36"/>
      <c r="R638" s="36"/>
      <c r="S638" s="36"/>
      <c r="T638" s="36"/>
      <c r="U638" s="36"/>
      <c r="V638" s="36"/>
      <c r="W638" s="10"/>
      <c r="X638" s="10"/>
      <c r="Y638" s="10"/>
      <c r="Z638" s="10"/>
      <c r="AA638" s="10"/>
      <c r="AB638" s="10"/>
      <c r="AC638" s="10"/>
      <c r="AD638" s="10"/>
      <c r="AE638" s="10"/>
    </row>
    <row r="639" spans="1:31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36"/>
      <c r="R639" s="36"/>
      <c r="S639" s="36"/>
      <c r="T639" s="36"/>
      <c r="U639" s="36"/>
      <c r="V639" s="36"/>
      <c r="W639" s="10"/>
      <c r="X639" s="10"/>
      <c r="Y639" s="10"/>
      <c r="Z639" s="10"/>
      <c r="AA639" s="10"/>
      <c r="AB639" s="10"/>
      <c r="AC639" s="10"/>
      <c r="AD639" s="10"/>
      <c r="AE639" s="10"/>
    </row>
    <row r="640" spans="1:31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36"/>
      <c r="R640" s="36"/>
      <c r="S640" s="36"/>
      <c r="T640" s="36"/>
      <c r="U640" s="36"/>
      <c r="V640" s="36"/>
      <c r="W640" s="10"/>
      <c r="X640" s="10"/>
      <c r="Y640" s="10"/>
      <c r="Z640" s="10"/>
      <c r="AA640" s="10"/>
      <c r="AB640" s="10"/>
      <c r="AC640" s="10"/>
      <c r="AD640" s="10"/>
      <c r="AE640" s="10"/>
    </row>
    <row r="641" spans="1:3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36"/>
      <c r="R641" s="36"/>
      <c r="S641" s="36"/>
      <c r="T641" s="36"/>
      <c r="U641" s="36"/>
      <c r="V641" s="36"/>
      <c r="W641" s="10"/>
      <c r="X641" s="10"/>
      <c r="Y641" s="10"/>
      <c r="Z641" s="10"/>
      <c r="AA641" s="10"/>
      <c r="AB641" s="10"/>
      <c r="AC641" s="10"/>
      <c r="AD641" s="10"/>
      <c r="AE641" s="10"/>
    </row>
    <row r="642" spans="1:31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36"/>
      <c r="R642" s="36"/>
      <c r="S642" s="36"/>
      <c r="T642" s="36"/>
      <c r="U642" s="36"/>
      <c r="V642" s="36"/>
      <c r="W642" s="10"/>
      <c r="X642" s="10"/>
      <c r="Y642" s="10"/>
      <c r="Z642" s="10"/>
      <c r="AA642" s="10"/>
      <c r="AB642" s="10"/>
      <c r="AC642" s="10"/>
      <c r="AD642" s="10"/>
      <c r="AE642" s="10"/>
    </row>
    <row r="643" spans="1:31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36"/>
      <c r="R643" s="36"/>
      <c r="S643" s="36"/>
      <c r="T643" s="36"/>
      <c r="U643" s="36"/>
      <c r="V643" s="36"/>
      <c r="W643" s="10"/>
      <c r="X643" s="10"/>
      <c r="Y643" s="10"/>
      <c r="Z643" s="10"/>
      <c r="AA643" s="10"/>
      <c r="AB643" s="10"/>
      <c r="AC643" s="10"/>
      <c r="AD643" s="10"/>
      <c r="AE643" s="10"/>
    </row>
    <row r="644" spans="1:31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36"/>
      <c r="R644" s="36"/>
      <c r="S644" s="36"/>
      <c r="T644" s="36"/>
      <c r="U644" s="36"/>
      <c r="V644" s="36"/>
      <c r="W644" s="10"/>
      <c r="X644" s="10"/>
      <c r="Y644" s="10"/>
      <c r="Z644" s="10"/>
      <c r="AA644" s="10"/>
      <c r="AB644" s="10"/>
      <c r="AC644" s="10"/>
      <c r="AD644" s="10"/>
      <c r="AE644" s="10"/>
    </row>
    <row r="645" spans="1:31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36"/>
      <c r="R645" s="36"/>
      <c r="S645" s="36"/>
      <c r="T645" s="36"/>
      <c r="U645" s="36"/>
      <c r="V645" s="36"/>
      <c r="W645" s="10"/>
      <c r="X645" s="10"/>
      <c r="Y645" s="10"/>
      <c r="Z645" s="10"/>
      <c r="AA645" s="10"/>
      <c r="AB645" s="10"/>
      <c r="AC645" s="10"/>
      <c r="AD645" s="10"/>
      <c r="AE645" s="10"/>
    </row>
    <row r="646" spans="1:31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36"/>
      <c r="R646" s="36"/>
      <c r="S646" s="36"/>
      <c r="T646" s="36"/>
      <c r="U646" s="36"/>
      <c r="V646" s="36"/>
      <c r="W646" s="10"/>
      <c r="X646" s="10"/>
      <c r="Y646" s="10"/>
      <c r="Z646" s="10"/>
      <c r="AA646" s="10"/>
      <c r="AB646" s="10"/>
      <c r="AC646" s="10"/>
      <c r="AD646" s="10"/>
      <c r="AE646" s="10"/>
    </row>
    <row r="647" spans="1:31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36"/>
      <c r="R647" s="36"/>
      <c r="S647" s="36"/>
      <c r="T647" s="36"/>
      <c r="U647" s="36"/>
      <c r="V647" s="36"/>
      <c r="W647" s="10"/>
      <c r="X647" s="10"/>
      <c r="Y647" s="10"/>
      <c r="Z647" s="10"/>
      <c r="AA647" s="10"/>
      <c r="AB647" s="10"/>
      <c r="AC647" s="10"/>
      <c r="AD647" s="10"/>
      <c r="AE647" s="10"/>
    </row>
    <row r="648" spans="1:31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36"/>
      <c r="R648" s="36"/>
      <c r="S648" s="36"/>
      <c r="T648" s="36"/>
      <c r="U648" s="36"/>
      <c r="V648" s="36"/>
      <c r="W648" s="10"/>
      <c r="X648" s="10"/>
      <c r="Y648" s="10"/>
      <c r="Z648" s="10"/>
      <c r="AA648" s="10"/>
      <c r="AB648" s="10"/>
      <c r="AC648" s="10"/>
      <c r="AD648" s="10"/>
      <c r="AE648" s="10"/>
    </row>
    <row r="649" spans="1:31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36"/>
      <c r="R649" s="36"/>
      <c r="S649" s="36"/>
      <c r="T649" s="36"/>
      <c r="U649" s="36"/>
      <c r="V649" s="36"/>
      <c r="W649" s="10"/>
      <c r="X649" s="10"/>
      <c r="Y649" s="10"/>
      <c r="Z649" s="10"/>
      <c r="AA649" s="10"/>
      <c r="AB649" s="10"/>
      <c r="AC649" s="10"/>
      <c r="AD649" s="10"/>
      <c r="AE649" s="10"/>
    </row>
    <row r="650" spans="1:31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36"/>
      <c r="R650" s="36"/>
      <c r="S650" s="36"/>
      <c r="T650" s="36"/>
      <c r="U650" s="36"/>
      <c r="V650" s="36"/>
      <c r="W650" s="10"/>
      <c r="X650" s="10"/>
      <c r="Y650" s="10"/>
      <c r="Z650" s="10"/>
      <c r="AA650" s="10"/>
      <c r="AB650" s="10"/>
      <c r="AC650" s="10"/>
      <c r="AD650" s="10"/>
      <c r="AE650" s="10"/>
    </row>
    <row r="651" spans="1:3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36"/>
      <c r="R651" s="36"/>
      <c r="S651" s="36"/>
      <c r="T651" s="36"/>
      <c r="U651" s="36"/>
      <c r="V651" s="36"/>
      <c r="W651" s="10"/>
      <c r="X651" s="10"/>
      <c r="Y651" s="10"/>
      <c r="Z651" s="10"/>
      <c r="AA651" s="10"/>
      <c r="AB651" s="10"/>
      <c r="AC651" s="10"/>
      <c r="AD651" s="10"/>
      <c r="AE651" s="10"/>
    </row>
    <row r="652" spans="1:31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36"/>
      <c r="R652" s="36"/>
      <c r="S652" s="36"/>
      <c r="T652" s="36"/>
      <c r="U652" s="36"/>
      <c r="V652" s="36"/>
      <c r="W652" s="10"/>
      <c r="X652" s="10"/>
      <c r="Y652" s="10"/>
      <c r="Z652" s="10"/>
      <c r="AA652" s="10"/>
      <c r="AB652" s="10"/>
      <c r="AC652" s="10"/>
      <c r="AD652" s="10"/>
      <c r="AE652" s="10"/>
    </row>
    <row r="653" spans="1:31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36"/>
      <c r="R653" s="36"/>
      <c r="S653" s="36"/>
      <c r="T653" s="36"/>
      <c r="U653" s="36"/>
      <c r="V653" s="36"/>
      <c r="W653" s="10"/>
      <c r="X653" s="10"/>
      <c r="Y653" s="10"/>
      <c r="Z653" s="10"/>
      <c r="AA653" s="10"/>
      <c r="AB653" s="10"/>
      <c r="AC653" s="10"/>
      <c r="AD653" s="10"/>
      <c r="AE653" s="10"/>
    </row>
    <row r="654" spans="1:31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36"/>
      <c r="R654" s="36"/>
      <c r="S654" s="36"/>
      <c r="T654" s="36"/>
      <c r="U654" s="36"/>
      <c r="V654" s="36"/>
      <c r="W654" s="10"/>
      <c r="X654" s="10"/>
      <c r="Y654" s="10"/>
      <c r="Z654" s="10"/>
      <c r="AA654" s="10"/>
      <c r="AB654" s="10"/>
      <c r="AC654" s="10"/>
      <c r="AD654" s="10"/>
      <c r="AE654" s="10"/>
    </row>
    <row r="655" spans="1:31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36"/>
      <c r="R655" s="36"/>
      <c r="S655" s="36"/>
      <c r="T655" s="36"/>
      <c r="U655" s="36"/>
      <c r="V655" s="36"/>
      <c r="W655" s="10"/>
      <c r="X655" s="10"/>
      <c r="Y655" s="10"/>
      <c r="Z655" s="10"/>
      <c r="AA655" s="10"/>
      <c r="AB655" s="10"/>
      <c r="AC655" s="10"/>
      <c r="AD655" s="10"/>
      <c r="AE655" s="10"/>
    </row>
    <row r="656" spans="1:31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36"/>
      <c r="R656" s="36"/>
      <c r="S656" s="36"/>
      <c r="T656" s="36"/>
      <c r="U656" s="36"/>
      <c r="V656" s="36"/>
      <c r="W656" s="10"/>
      <c r="X656" s="10"/>
      <c r="Y656" s="10"/>
      <c r="Z656" s="10"/>
      <c r="AA656" s="10"/>
      <c r="AB656" s="10"/>
      <c r="AC656" s="10"/>
      <c r="AD656" s="10"/>
      <c r="AE656" s="10"/>
    </row>
    <row r="657" spans="1:31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36"/>
      <c r="R657" s="36"/>
      <c r="S657" s="36"/>
      <c r="T657" s="36"/>
      <c r="U657" s="36"/>
      <c r="V657" s="36"/>
      <c r="W657" s="10"/>
      <c r="X657" s="10"/>
      <c r="Y657" s="10"/>
      <c r="Z657" s="10"/>
      <c r="AA657" s="10"/>
      <c r="AB657" s="10"/>
      <c r="AC657" s="10"/>
      <c r="AD657" s="10"/>
      <c r="AE657" s="10"/>
    </row>
    <row r="658" spans="1:31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36"/>
      <c r="R658" s="36"/>
      <c r="S658" s="36"/>
      <c r="T658" s="36"/>
      <c r="U658" s="36"/>
      <c r="V658" s="36"/>
      <c r="W658" s="10"/>
      <c r="X658" s="10"/>
      <c r="Y658" s="10"/>
      <c r="Z658" s="10"/>
      <c r="AA658" s="10"/>
      <c r="AB658" s="10"/>
      <c r="AC658" s="10"/>
      <c r="AD658" s="10"/>
      <c r="AE658" s="10"/>
    </row>
    <row r="659" spans="1:31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36"/>
      <c r="R659" s="36"/>
      <c r="S659" s="36"/>
      <c r="T659" s="36"/>
      <c r="U659" s="36"/>
      <c r="V659" s="36"/>
      <c r="W659" s="10"/>
      <c r="X659" s="10"/>
      <c r="Y659" s="10"/>
      <c r="Z659" s="10"/>
      <c r="AA659" s="10"/>
      <c r="AB659" s="10"/>
      <c r="AC659" s="10"/>
      <c r="AD659" s="10"/>
      <c r="AE659" s="10"/>
    </row>
    <row r="660" spans="1:31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36"/>
      <c r="R660" s="36"/>
      <c r="S660" s="36"/>
      <c r="T660" s="36"/>
      <c r="U660" s="36"/>
      <c r="V660" s="36"/>
      <c r="W660" s="10"/>
      <c r="X660" s="10"/>
      <c r="Y660" s="10"/>
      <c r="Z660" s="10"/>
      <c r="AA660" s="10"/>
      <c r="AB660" s="10"/>
      <c r="AC660" s="10"/>
      <c r="AD660" s="10"/>
      <c r="AE660" s="10"/>
    </row>
    <row r="661" spans="1:3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36"/>
      <c r="R661" s="36"/>
      <c r="S661" s="36"/>
      <c r="T661" s="36"/>
      <c r="U661" s="36"/>
      <c r="V661" s="36"/>
      <c r="W661" s="10"/>
      <c r="X661" s="10"/>
      <c r="Y661" s="10"/>
      <c r="Z661" s="10"/>
      <c r="AA661" s="10"/>
      <c r="AB661" s="10"/>
      <c r="AC661" s="10"/>
      <c r="AD661" s="10"/>
      <c r="AE661" s="10"/>
    </row>
    <row r="662" spans="1:31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36"/>
      <c r="R662" s="36"/>
      <c r="S662" s="36"/>
      <c r="T662" s="36"/>
      <c r="U662" s="36"/>
      <c r="V662" s="36"/>
      <c r="W662" s="10"/>
      <c r="X662" s="10"/>
      <c r="Y662" s="10"/>
      <c r="Z662" s="10"/>
      <c r="AA662" s="10"/>
      <c r="AB662" s="10"/>
      <c r="AC662" s="10"/>
      <c r="AD662" s="10"/>
      <c r="AE662" s="10"/>
    </row>
    <row r="663" spans="1:31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36"/>
      <c r="R663" s="36"/>
      <c r="S663" s="36"/>
      <c r="T663" s="36"/>
      <c r="U663" s="36"/>
      <c r="V663" s="36"/>
      <c r="W663" s="10"/>
      <c r="X663" s="10"/>
      <c r="Y663" s="10"/>
      <c r="Z663" s="10"/>
      <c r="AA663" s="10"/>
      <c r="AB663" s="10"/>
      <c r="AC663" s="10"/>
      <c r="AD663" s="10"/>
      <c r="AE663" s="10"/>
    </row>
    <row r="664" spans="1:31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36"/>
      <c r="R664" s="36"/>
      <c r="S664" s="36"/>
      <c r="T664" s="36"/>
      <c r="U664" s="36"/>
      <c r="V664" s="36"/>
      <c r="W664" s="10"/>
      <c r="X664" s="10"/>
      <c r="Y664" s="10"/>
      <c r="Z664" s="10"/>
      <c r="AA664" s="10"/>
      <c r="AB664" s="10"/>
      <c r="AC664" s="10"/>
      <c r="AD664" s="10"/>
      <c r="AE664" s="10"/>
    </row>
    <row r="665" spans="1:31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36"/>
      <c r="R665" s="36"/>
      <c r="S665" s="36"/>
      <c r="T665" s="36"/>
      <c r="U665" s="36"/>
      <c r="V665" s="36"/>
      <c r="W665" s="10"/>
      <c r="X665" s="10"/>
      <c r="Y665" s="10"/>
      <c r="Z665" s="10"/>
      <c r="AA665" s="10"/>
      <c r="AB665" s="10"/>
      <c r="AC665" s="10"/>
      <c r="AD665" s="10"/>
      <c r="AE665" s="10"/>
    </row>
    <row r="666" spans="1:31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36"/>
      <c r="R666" s="36"/>
      <c r="S666" s="36"/>
      <c r="T666" s="36"/>
      <c r="U666" s="36"/>
      <c r="V666" s="36"/>
      <c r="W666" s="10"/>
      <c r="X666" s="10"/>
      <c r="Y666" s="10"/>
      <c r="Z666" s="10"/>
      <c r="AA666" s="10"/>
      <c r="AB666" s="10"/>
      <c r="AC666" s="10"/>
      <c r="AD666" s="10"/>
      <c r="AE666" s="10"/>
    </row>
    <row r="667" spans="1:31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36"/>
      <c r="R667" s="36"/>
      <c r="S667" s="36"/>
      <c r="T667" s="36"/>
      <c r="U667" s="36"/>
      <c r="V667" s="36"/>
      <c r="W667" s="10"/>
      <c r="X667" s="10"/>
      <c r="Y667" s="10"/>
      <c r="Z667" s="10"/>
      <c r="AA667" s="10"/>
      <c r="AB667" s="10"/>
      <c r="AC667" s="10"/>
      <c r="AD667" s="10"/>
      <c r="AE667" s="10"/>
    </row>
    <row r="668" spans="1:31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36"/>
      <c r="R668" s="36"/>
      <c r="S668" s="36"/>
      <c r="T668" s="36"/>
      <c r="U668" s="36"/>
      <c r="V668" s="36"/>
      <c r="W668" s="10"/>
      <c r="X668" s="10"/>
      <c r="Y668" s="10"/>
      <c r="Z668" s="10"/>
      <c r="AA668" s="10"/>
      <c r="AB668" s="10"/>
      <c r="AC668" s="10"/>
      <c r="AD668" s="10"/>
      <c r="AE668" s="10"/>
    </row>
    <row r="669" spans="1:31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36"/>
      <c r="R669" s="36"/>
      <c r="S669" s="36"/>
      <c r="T669" s="36"/>
      <c r="U669" s="36"/>
      <c r="V669" s="36"/>
      <c r="W669" s="10"/>
      <c r="X669" s="10"/>
      <c r="Y669" s="10"/>
      <c r="Z669" s="10"/>
      <c r="AA669" s="10"/>
      <c r="AB669" s="10"/>
      <c r="AC669" s="10"/>
      <c r="AD669" s="10"/>
      <c r="AE669" s="10"/>
    </row>
    <row r="670" spans="1:31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36"/>
      <c r="R670" s="36"/>
      <c r="S670" s="36"/>
      <c r="T670" s="36"/>
      <c r="U670" s="36"/>
      <c r="V670" s="36"/>
      <c r="W670" s="10"/>
      <c r="X670" s="10"/>
      <c r="Y670" s="10"/>
      <c r="Z670" s="10"/>
      <c r="AA670" s="10"/>
      <c r="AB670" s="10"/>
      <c r="AC670" s="10"/>
      <c r="AD670" s="10"/>
      <c r="AE670" s="10"/>
    </row>
    <row r="671" spans="1:3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36"/>
      <c r="R671" s="36"/>
      <c r="S671" s="36"/>
      <c r="T671" s="36"/>
      <c r="U671" s="36"/>
      <c r="V671" s="36"/>
      <c r="W671" s="10"/>
      <c r="X671" s="10"/>
      <c r="Y671" s="10"/>
      <c r="Z671" s="10"/>
      <c r="AA671" s="10"/>
      <c r="AB671" s="10"/>
      <c r="AC671" s="10"/>
      <c r="AD671" s="10"/>
      <c r="AE671" s="10"/>
    </row>
    <row r="672" spans="1:31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36"/>
      <c r="R672" s="36"/>
      <c r="S672" s="36"/>
      <c r="T672" s="36"/>
      <c r="U672" s="36"/>
      <c r="V672" s="36"/>
      <c r="W672" s="10"/>
      <c r="X672" s="10"/>
      <c r="Y672" s="10"/>
      <c r="Z672" s="10"/>
      <c r="AA672" s="10"/>
      <c r="AB672" s="10"/>
      <c r="AC672" s="10"/>
      <c r="AD672" s="10"/>
      <c r="AE672" s="10"/>
    </row>
    <row r="673" spans="1:31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36"/>
      <c r="R673" s="36"/>
      <c r="S673" s="36"/>
      <c r="T673" s="36"/>
      <c r="U673" s="36"/>
      <c r="V673" s="36"/>
      <c r="W673" s="10"/>
      <c r="X673" s="10"/>
      <c r="Y673" s="10"/>
      <c r="Z673" s="10"/>
      <c r="AA673" s="10"/>
      <c r="AB673" s="10"/>
      <c r="AC673" s="10"/>
      <c r="AD673" s="10"/>
      <c r="AE673" s="10"/>
    </row>
    <row r="674" spans="1:31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36"/>
      <c r="R674" s="36"/>
      <c r="S674" s="36"/>
      <c r="T674" s="36"/>
      <c r="U674" s="36"/>
      <c r="V674" s="36"/>
      <c r="W674" s="10"/>
      <c r="X674" s="10"/>
      <c r="Y674" s="10"/>
      <c r="Z674" s="10"/>
      <c r="AA674" s="10"/>
      <c r="AB674" s="10"/>
      <c r="AC674" s="10"/>
      <c r="AD674" s="10"/>
      <c r="AE674" s="10"/>
    </row>
    <row r="675" spans="1:31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36"/>
      <c r="R675" s="36"/>
      <c r="S675" s="36"/>
      <c r="T675" s="36"/>
      <c r="U675" s="36"/>
      <c r="V675" s="36"/>
      <c r="W675" s="10"/>
      <c r="X675" s="10"/>
      <c r="Y675" s="10"/>
      <c r="Z675" s="10"/>
      <c r="AA675" s="10"/>
      <c r="AB675" s="10"/>
      <c r="AC675" s="10"/>
      <c r="AD675" s="10"/>
      <c r="AE675" s="10"/>
    </row>
    <row r="676" spans="1:31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36"/>
      <c r="R676" s="36"/>
      <c r="S676" s="36"/>
      <c r="T676" s="36"/>
      <c r="U676" s="36"/>
      <c r="V676" s="36"/>
      <c r="W676" s="10"/>
      <c r="X676" s="10"/>
      <c r="Y676" s="10"/>
      <c r="Z676" s="10"/>
      <c r="AA676" s="10"/>
      <c r="AB676" s="10"/>
      <c r="AC676" s="10"/>
      <c r="AD676" s="10"/>
      <c r="AE676" s="10"/>
    </row>
    <row r="677" spans="1:31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36"/>
      <c r="R677" s="36"/>
      <c r="S677" s="36"/>
      <c r="T677" s="36"/>
      <c r="U677" s="36"/>
      <c r="V677" s="36"/>
      <c r="W677" s="10"/>
      <c r="X677" s="10"/>
      <c r="Y677" s="10"/>
      <c r="Z677" s="10"/>
      <c r="AA677" s="10"/>
      <c r="AB677" s="10"/>
      <c r="AC677" s="10"/>
      <c r="AD677" s="10"/>
      <c r="AE677" s="10"/>
    </row>
    <row r="678" spans="1:31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36"/>
      <c r="R678" s="36"/>
      <c r="S678" s="36"/>
      <c r="T678" s="36"/>
      <c r="U678" s="36"/>
      <c r="V678" s="36"/>
      <c r="W678" s="10"/>
      <c r="X678" s="10"/>
      <c r="Y678" s="10"/>
      <c r="Z678" s="10"/>
      <c r="AA678" s="10"/>
      <c r="AB678" s="10"/>
      <c r="AC678" s="10"/>
      <c r="AD678" s="10"/>
      <c r="AE678" s="10"/>
    </row>
    <row r="679" spans="1:31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36"/>
      <c r="R679" s="36"/>
      <c r="S679" s="36"/>
      <c r="T679" s="36"/>
      <c r="U679" s="36"/>
      <c r="V679" s="36"/>
      <c r="W679" s="10"/>
      <c r="X679" s="10"/>
      <c r="Y679" s="10"/>
      <c r="Z679" s="10"/>
      <c r="AA679" s="10"/>
      <c r="AB679" s="10"/>
      <c r="AC679" s="10"/>
      <c r="AD679" s="10"/>
      <c r="AE679" s="10"/>
    </row>
    <row r="680" spans="1:31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36"/>
      <c r="R680" s="36"/>
      <c r="S680" s="36"/>
      <c r="T680" s="36"/>
      <c r="U680" s="36"/>
      <c r="V680" s="36"/>
      <c r="W680" s="10"/>
      <c r="X680" s="10"/>
      <c r="Y680" s="10"/>
      <c r="Z680" s="10"/>
      <c r="AA680" s="10"/>
      <c r="AB680" s="10"/>
      <c r="AC680" s="10"/>
      <c r="AD680" s="10"/>
      <c r="AE680" s="10"/>
    </row>
    <row r="681" spans="1:3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36"/>
      <c r="R681" s="36"/>
      <c r="S681" s="36"/>
      <c r="T681" s="36"/>
      <c r="U681" s="36"/>
      <c r="V681" s="36"/>
      <c r="W681" s="10"/>
      <c r="X681" s="10"/>
      <c r="Y681" s="10"/>
      <c r="Z681" s="10"/>
      <c r="AA681" s="10"/>
      <c r="AB681" s="10"/>
      <c r="AC681" s="10"/>
      <c r="AD681" s="10"/>
      <c r="AE681" s="10"/>
    </row>
    <row r="682" spans="1:31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36"/>
      <c r="R682" s="36"/>
      <c r="S682" s="36"/>
      <c r="T682" s="36"/>
      <c r="U682" s="36"/>
      <c r="V682" s="36"/>
      <c r="W682" s="10"/>
      <c r="X682" s="10"/>
      <c r="Y682" s="10"/>
      <c r="Z682" s="10"/>
      <c r="AA682" s="10"/>
      <c r="AB682" s="10"/>
      <c r="AC682" s="10"/>
      <c r="AD682" s="10"/>
      <c r="AE682" s="10"/>
    </row>
    <row r="683" spans="1:31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36"/>
      <c r="R683" s="36"/>
      <c r="S683" s="36"/>
      <c r="T683" s="36"/>
      <c r="U683" s="36"/>
      <c r="V683" s="36"/>
      <c r="W683" s="10"/>
      <c r="X683" s="10"/>
      <c r="Y683" s="10"/>
      <c r="Z683" s="10"/>
      <c r="AA683" s="10"/>
      <c r="AB683" s="10"/>
      <c r="AC683" s="10"/>
      <c r="AD683" s="10"/>
      <c r="AE683" s="10"/>
    </row>
    <row r="684" spans="1:31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36"/>
      <c r="R684" s="36"/>
      <c r="S684" s="36"/>
      <c r="T684" s="36"/>
      <c r="U684" s="36"/>
      <c r="V684" s="36"/>
      <c r="W684" s="10"/>
      <c r="X684" s="10"/>
      <c r="Y684" s="10"/>
      <c r="Z684" s="10"/>
      <c r="AA684" s="10"/>
      <c r="AB684" s="10"/>
      <c r="AC684" s="10"/>
      <c r="AD684" s="10"/>
      <c r="AE684" s="10"/>
    </row>
    <row r="685" spans="1:31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36"/>
      <c r="R685" s="36"/>
      <c r="S685" s="36"/>
      <c r="T685" s="36"/>
      <c r="U685" s="36"/>
      <c r="V685" s="36"/>
      <c r="W685" s="10"/>
      <c r="X685" s="10"/>
      <c r="Y685" s="10"/>
      <c r="Z685" s="10"/>
      <c r="AA685" s="10"/>
      <c r="AB685" s="10"/>
      <c r="AC685" s="10"/>
      <c r="AD685" s="10"/>
      <c r="AE685" s="10"/>
    </row>
    <row r="686" spans="1:31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36"/>
      <c r="R686" s="36"/>
      <c r="S686" s="36"/>
      <c r="T686" s="36"/>
      <c r="U686" s="36"/>
      <c r="V686" s="36"/>
      <c r="W686" s="10"/>
      <c r="X686" s="10"/>
      <c r="Y686" s="10"/>
      <c r="Z686" s="10"/>
      <c r="AA686" s="10"/>
      <c r="AB686" s="10"/>
      <c r="AC686" s="10"/>
      <c r="AD686" s="10"/>
      <c r="AE686" s="10"/>
    </row>
    <row r="687" spans="1:31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36"/>
      <c r="R687" s="36"/>
      <c r="S687" s="36"/>
      <c r="T687" s="36"/>
      <c r="U687" s="36"/>
      <c r="V687" s="36"/>
      <c r="W687" s="10"/>
      <c r="X687" s="10"/>
      <c r="Y687" s="10"/>
      <c r="Z687" s="10"/>
      <c r="AA687" s="10"/>
      <c r="AB687" s="10"/>
      <c r="AC687" s="10"/>
      <c r="AD687" s="10"/>
      <c r="AE687" s="10"/>
    </row>
    <row r="688" spans="1:31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36"/>
      <c r="R688" s="36"/>
      <c r="S688" s="36"/>
      <c r="T688" s="36"/>
      <c r="U688" s="36"/>
      <c r="V688" s="36"/>
      <c r="W688" s="10"/>
      <c r="X688" s="10"/>
      <c r="Y688" s="10"/>
      <c r="Z688" s="10"/>
      <c r="AA688" s="10"/>
      <c r="AB688" s="10"/>
      <c r="AC688" s="10"/>
      <c r="AD688" s="10"/>
      <c r="AE688" s="10"/>
    </row>
    <row r="689" spans="1:31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36"/>
      <c r="R689" s="36"/>
      <c r="S689" s="36"/>
      <c r="T689" s="36"/>
      <c r="U689" s="36"/>
      <c r="V689" s="36"/>
      <c r="W689" s="10"/>
      <c r="X689" s="10"/>
      <c r="Y689" s="10"/>
      <c r="Z689" s="10"/>
      <c r="AA689" s="10"/>
      <c r="AB689" s="10"/>
      <c r="AC689" s="10"/>
      <c r="AD689" s="10"/>
      <c r="AE689" s="10"/>
    </row>
    <row r="690" spans="1:31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36"/>
      <c r="R690" s="36"/>
      <c r="S690" s="36"/>
      <c r="T690" s="36"/>
      <c r="U690" s="36"/>
      <c r="V690" s="36"/>
      <c r="W690" s="10"/>
      <c r="X690" s="10"/>
      <c r="Y690" s="10"/>
      <c r="Z690" s="10"/>
      <c r="AA690" s="10"/>
      <c r="AB690" s="10"/>
      <c r="AC690" s="10"/>
      <c r="AD690" s="10"/>
      <c r="AE690" s="10"/>
    </row>
    <row r="691" spans="1:3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36"/>
      <c r="R691" s="36"/>
      <c r="S691" s="36"/>
      <c r="T691" s="36"/>
      <c r="U691" s="36"/>
      <c r="V691" s="36"/>
      <c r="W691" s="10"/>
      <c r="X691" s="10"/>
      <c r="Y691" s="10"/>
      <c r="Z691" s="10"/>
      <c r="AA691" s="10"/>
      <c r="AB691" s="10"/>
      <c r="AC691" s="10"/>
      <c r="AD691" s="10"/>
      <c r="AE691" s="10"/>
    </row>
    <row r="692" spans="1:31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36"/>
      <c r="R692" s="36"/>
      <c r="S692" s="36"/>
      <c r="T692" s="36"/>
      <c r="U692" s="36"/>
      <c r="V692" s="36"/>
      <c r="W692" s="10"/>
      <c r="X692" s="10"/>
      <c r="Y692" s="10"/>
      <c r="Z692" s="10"/>
      <c r="AA692" s="10"/>
      <c r="AB692" s="10"/>
      <c r="AC692" s="10"/>
      <c r="AD692" s="10"/>
      <c r="AE692" s="10"/>
    </row>
    <row r="693" spans="1:31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36"/>
      <c r="R693" s="36"/>
      <c r="S693" s="36"/>
      <c r="T693" s="36"/>
      <c r="U693" s="36"/>
      <c r="V693" s="36"/>
      <c r="W693" s="10"/>
      <c r="X693" s="10"/>
      <c r="Y693" s="10"/>
      <c r="Z693" s="10"/>
      <c r="AA693" s="10"/>
      <c r="AB693" s="10"/>
      <c r="AC693" s="10"/>
      <c r="AD693" s="10"/>
      <c r="AE693" s="10"/>
    </row>
    <row r="694" spans="1:31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36"/>
      <c r="R694" s="36"/>
      <c r="S694" s="36"/>
      <c r="T694" s="36"/>
      <c r="U694" s="36"/>
      <c r="V694" s="36"/>
      <c r="W694" s="10"/>
      <c r="X694" s="10"/>
      <c r="Y694" s="10"/>
      <c r="Z694" s="10"/>
      <c r="AA694" s="10"/>
      <c r="AB694" s="10"/>
      <c r="AC694" s="10"/>
      <c r="AD694" s="10"/>
      <c r="AE694" s="10"/>
    </row>
    <row r="695" spans="1:31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36"/>
      <c r="R695" s="36"/>
      <c r="S695" s="36"/>
      <c r="T695" s="36"/>
      <c r="U695" s="36"/>
      <c r="V695" s="36"/>
      <c r="W695" s="10"/>
      <c r="X695" s="10"/>
      <c r="Y695" s="10"/>
      <c r="Z695" s="10"/>
      <c r="AA695" s="10"/>
      <c r="AB695" s="10"/>
      <c r="AC695" s="10"/>
      <c r="AD695" s="10"/>
      <c r="AE695" s="10"/>
    </row>
    <row r="696" spans="1:31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36"/>
      <c r="R696" s="36"/>
      <c r="S696" s="36"/>
      <c r="T696" s="36"/>
      <c r="U696" s="36"/>
      <c r="V696" s="36"/>
      <c r="W696" s="10"/>
      <c r="X696" s="10"/>
      <c r="Y696" s="10"/>
      <c r="Z696" s="10"/>
      <c r="AA696" s="10"/>
      <c r="AB696" s="10"/>
      <c r="AC696" s="10"/>
      <c r="AD696" s="10"/>
      <c r="AE696" s="10"/>
    </row>
    <row r="697" spans="1:31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36"/>
      <c r="R697" s="36"/>
      <c r="S697" s="36"/>
      <c r="T697" s="36"/>
      <c r="U697" s="36"/>
      <c r="V697" s="36"/>
      <c r="W697" s="10"/>
      <c r="X697" s="10"/>
      <c r="Y697" s="10"/>
      <c r="Z697" s="10"/>
      <c r="AA697" s="10"/>
      <c r="AB697" s="10"/>
      <c r="AC697" s="10"/>
      <c r="AD697" s="10"/>
      <c r="AE697" s="10"/>
    </row>
    <row r="698" spans="1:31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36"/>
      <c r="R698" s="36"/>
      <c r="S698" s="36"/>
      <c r="T698" s="36"/>
      <c r="U698" s="36"/>
      <c r="V698" s="36"/>
      <c r="W698" s="10"/>
      <c r="X698" s="10"/>
      <c r="Y698" s="10"/>
      <c r="Z698" s="10"/>
      <c r="AA698" s="10"/>
      <c r="AB698" s="10"/>
      <c r="AC698" s="10"/>
      <c r="AD698" s="10"/>
      <c r="AE698" s="10"/>
    </row>
    <row r="699" spans="1:31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36"/>
      <c r="R699" s="36"/>
      <c r="S699" s="36"/>
      <c r="T699" s="36"/>
      <c r="U699" s="36"/>
      <c r="V699" s="36"/>
      <c r="W699" s="10"/>
      <c r="X699" s="10"/>
      <c r="Y699" s="10"/>
      <c r="Z699" s="10"/>
      <c r="AA699" s="10"/>
      <c r="AB699" s="10"/>
      <c r="AC699" s="10"/>
      <c r="AD699" s="10"/>
      <c r="AE699" s="10"/>
    </row>
    <row r="700" spans="1:31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36"/>
      <c r="R700" s="36"/>
      <c r="S700" s="36"/>
      <c r="T700" s="36"/>
      <c r="U700" s="36"/>
      <c r="V700" s="36"/>
      <c r="W700" s="10"/>
      <c r="X700" s="10"/>
      <c r="Y700" s="10"/>
      <c r="Z700" s="10"/>
      <c r="AA700" s="10"/>
      <c r="AB700" s="10"/>
      <c r="AC700" s="10"/>
      <c r="AD700" s="10"/>
      <c r="AE700" s="10"/>
    </row>
    <row r="701" spans="1:3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36"/>
      <c r="R701" s="36"/>
      <c r="S701" s="36"/>
      <c r="T701" s="36"/>
      <c r="U701" s="36"/>
      <c r="V701" s="36"/>
      <c r="W701" s="10"/>
      <c r="X701" s="10"/>
      <c r="Y701" s="10"/>
      <c r="Z701" s="10"/>
      <c r="AA701" s="10"/>
      <c r="AB701" s="10"/>
      <c r="AC701" s="10"/>
      <c r="AD701" s="10"/>
      <c r="AE701" s="10"/>
    </row>
    <row r="702" spans="1:31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36"/>
      <c r="R702" s="36"/>
      <c r="S702" s="36"/>
      <c r="T702" s="36"/>
      <c r="U702" s="36"/>
      <c r="V702" s="36"/>
      <c r="W702" s="10"/>
      <c r="X702" s="10"/>
      <c r="Y702" s="10"/>
      <c r="Z702" s="10"/>
      <c r="AA702" s="10"/>
      <c r="AB702" s="10"/>
      <c r="AC702" s="10"/>
      <c r="AD702" s="10"/>
      <c r="AE702" s="10"/>
    </row>
    <row r="703" spans="1:31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36"/>
      <c r="R703" s="36"/>
      <c r="S703" s="36"/>
      <c r="T703" s="36"/>
      <c r="U703" s="36"/>
      <c r="V703" s="36"/>
      <c r="W703" s="10"/>
      <c r="X703" s="10"/>
      <c r="Y703" s="10"/>
      <c r="Z703" s="10"/>
      <c r="AA703" s="10"/>
      <c r="AB703" s="10"/>
      <c r="AC703" s="10"/>
      <c r="AD703" s="10"/>
      <c r="AE703" s="10"/>
    </row>
    <row r="704" spans="1:31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36"/>
      <c r="R704" s="36"/>
      <c r="S704" s="36"/>
      <c r="T704" s="36"/>
      <c r="U704" s="36"/>
      <c r="V704" s="36"/>
      <c r="W704" s="10"/>
      <c r="X704" s="10"/>
      <c r="Y704" s="10"/>
      <c r="Z704" s="10"/>
      <c r="AA704" s="10"/>
      <c r="AB704" s="10"/>
      <c r="AC704" s="10"/>
      <c r="AD704" s="10"/>
      <c r="AE704" s="10"/>
    </row>
    <row r="705" spans="1:31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36"/>
      <c r="R705" s="36"/>
      <c r="S705" s="36"/>
      <c r="T705" s="36"/>
      <c r="U705" s="36"/>
      <c r="V705" s="36"/>
      <c r="W705" s="10"/>
      <c r="X705" s="10"/>
      <c r="Y705" s="10"/>
      <c r="Z705" s="10"/>
      <c r="AA705" s="10"/>
      <c r="AB705" s="10"/>
      <c r="AC705" s="10"/>
      <c r="AD705" s="10"/>
      <c r="AE705" s="10"/>
    </row>
    <row r="706" spans="1:31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36"/>
      <c r="R706" s="36"/>
      <c r="S706" s="36"/>
      <c r="T706" s="36"/>
      <c r="U706" s="36"/>
      <c r="V706" s="36"/>
      <c r="W706" s="10"/>
      <c r="X706" s="10"/>
      <c r="Y706" s="10"/>
      <c r="Z706" s="10"/>
      <c r="AA706" s="10"/>
      <c r="AB706" s="10"/>
      <c r="AC706" s="10"/>
      <c r="AD706" s="10"/>
      <c r="AE706" s="10"/>
    </row>
    <row r="707" spans="1:31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36"/>
      <c r="R707" s="36"/>
      <c r="S707" s="36"/>
      <c r="T707" s="36"/>
      <c r="U707" s="36"/>
      <c r="V707" s="36"/>
      <c r="W707" s="10"/>
      <c r="X707" s="10"/>
      <c r="Y707" s="10"/>
      <c r="Z707" s="10"/>
      <c r="AA707" s="10"/>
      <c r="AB707" s="10"/>
      <c r="AC707" s="10"/>
      <c r="AD707" s="10"/>
      <c r="AE707" s="10"/>
    </row>
    <row r="708" spans="1:31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36"/>
      <c r="R708" s="36"/>
      <c r="S708" s="36"/>
      <c r="T708" s="36"/>
      <c r="U708" s="36"/>
      <c r="V708" s="36"/>
      <c r="W708" s="10"/>
      <c r="X708" s="10"/>
      <c r="Y708" s="10"/>
      <c r="Z708" s="10"/>
      <c r="AA708" s="10"/>
      <c r="AB708" s="10"/>
      <c r="AC708" s="10"/>
      <c r="AD708" s="10"/>
      <c r="AE708" s="10"/>
    </row>
    <row r="709" spans="1:31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36"/>
      <c r="R709" s="36"/>
      <c r="S709" s="36"/>
      <c r="T709" s="36"/>
      <c r="U709" s="36"/>
      <c r="V709" s="36"/>
      <c r="W709" s="10"/>
      <c r="X709" s="10"/>
      <c r="Y709" s="10"/>
      <c r="Z709" s="10"/>
      <c r="AA709" s="10"/>
      <c r="AB709" s="10"/>
      <c r="AC709" s="10"/>
      <c r="AD709" s="10"/>
      <c r="AE709" s="10"/>
    </row>
    <row r="710" spans="1:31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36"/>
      <c r="R710" s="36"/>
      <c r="S710" s="36"/>
      <c r="T710" s="36"/>
      <c r="U710" s="36"/>
      <c r="V710" s="36"/>
      <c r="W710" s="10"/>
      <c r="X710" s="10"/>
      <c r="Y710" s="10"/>
      <c r="Z710" s="10"/>
      <c r="AA710" s="10"/>
      <c r="AB710" s="10"/>
      <c r="AC710" s="10"/>
      <c r="AD710" s="10"/>
      <c r="AE710" s="10"/>
    </row>
    <row r="711" spans="1:3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36"/>
      <c r="R711" s="36"/>
      <c r="S711" s="36"/>
      <c r="T711" s="36"/>
      <c r="U711" s="36"/>
      <c r="V711" s="36"/>
      <c r="W711" s="10"/>
      <c r="X711" s="10"/>
      <c r="Y711" s="10"/>
      <c r="Z711" s="10"/>
      <c r="AA711" s="10"/>
      <c r="AB711" s="10"/>
      <c r="AC711" s="10"/>
      <c r="AD711" s="10"/>
      <c r="AE711" s="10"/>
    </row>
    <row r="712" spans="1:31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36"/>
      <c r="R712" s="36"/>
      <c r="S712" s="36"/>
      <c r="T712" s="36"/>
      <c r="U712" s="36"/>
      <c r="V712" s="36"/>
      <c r="W712" s="10"/>
      <c r="X712" s="10"/>
      <c r="Y712" s="10"/>
      <c r="Z712" s="10"/>
      <c r="AA712" s="10"/>
      <c r="AB712" s="10"/>
      <c r="AC712" s="10"/>
      <c r="AD712" s="10"/>
      <c r="AE712" s="10"/>
    </row>
    <row r="713" spans="1:31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36"/>
      <c r="R713" s="36"/>
      <c r="S713" s="36"/>
      <c r="T713" s="36"/>
      <c r="U713" s="36"/>
      <c r="V713" s="36"/>
      <c r="W713" s="10"/>
      <c r="X713" s="10"/>
      <c r="Y713" s="10"/>
      <c r="Z713" s="10"/>
      <c r="AA713" s="10"/>
      <c r="AB713" s="10"/>
      <c r="AC713" s="10"/>
      <c r="AD713" s="10"/>
      <c r="AE713" s="10"/>
    </row>
    <row r="714" spans="1:31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36"/>
      <c r="R714" s="36"/>
      <c r="S714" s="36"/>
      <c r="T714" s="36"/>
      <c r="U714" s="36"/>
      <c r="V714" s="36"/>
      <c r="W714" s="10"/>
      <c r="X714" s="10"/>
      <c r="Y714" s="10"/>
      <c r="Z714" s="10"/>
      <c r="AA714" s="10"/>
      <c r="AB714" s="10"/>
      <c r="AC714" s="10"/>
      <c r="AD714" s="10"/>
      <c r="AE714" s="10"/>
    </row>
    <row r="715" spans="1:31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36"/>
      <c r="R715" s="36"/>
      <c r="S715" s="36"/>
      <c r="T715" s="36"/>
      <c r="U715" s="36"/>
      <c r="V715" s="36"/>
      <c r="W715" s="10"/>
      <c r="X715" s="10"/>
      <c r="Y715" s="10"/>
      <c r="Z715" s="10"/>
      <c r="AA715" s="10"/>
      <c r="AB715" s="10"/>
      <c r="AC715" s="10"/>
      <c r="AD715" s="10"/>
      <c r="AE715" s="10"/>
    </row>
    <row r="716" spans="1:31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36"/>
      <c r="R716" s="36"/>
      <c r="S716" s="36"/>
      <c r="T716" s="36"/>
      <c r="U716" s="36"/>
      <c r="V716" s="36"/>
      <c r="W716" s="10"/>
      <c r="X716" s="10"/>
      <c r="Y716" s="10"/>
      <c r="Z716" s="10"/>
      <c r="AA716" s="10"/>
      <c r="AB716" s="10"/>
      <c r="AC716" s="10"/>
      <c r="AD716" s="10"/>
      <c r="AE716" s="10"/>
    </row>
    <row r="717" spans="1:31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36"/>
      <c r="R717" s="36"/>
      <c r="S717" s="36"/>
      <c r="T717" s="36"/>
      <c r="U717" s="36"/>
      <c r="V717" s="36"/>
      <c r="W717" s="10"/>
      <c r="X717" s="10"/>
      <c r="Y717" s="10"/>
      <c r="Z717" s="10"/>
      <c r="AA717" s="10"/>
      <c r="AB717" s="10"/>
      <c r="AC717" s="10"/>
      <c r="AD717" s="10"/>
      <c r="AE717" s="10"/>
    </row>
    <row r="718" spans="1:31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36"/>
      <c r="R718" s="36"/>
      <c r="S718" s="36"/>
      <c r="T718" s="36"/>
      <c r="U718" s="36"/>
      <c r="V718" s="36"/>
      <c r="W718" s="10"/>
      <c r="X718" s="10"/>
      <c r="Y718" s="10"/>
      <c r="Z718" s="10"/>
      <c r="AA718" s="10"/>
      <c r="AB718" s="10"/>
      <c r="AC718" s="10"/>
      <c r="AD718" s="10"/>
      <c r="AE718" s="10"/>
    </row>
    <row r="719" spans="1:31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36"/>
      <c r="R719" s="36"/>
      <c r="S719" s="36"/>
      <c r="T719" s="36"/>
      <c r="U719" s="36"/>
      <c r="V719" s="36"/>
      <c r="W719" s="10"/>
      <c r="X719" s="10"/>
      <c r="Y719" s="10"/>
      <c r="Z719" s="10"/>
      <c r="AA719" s="10"/>
      <c r="AB719" s="10"/>
      <c r="AC719" s="10"/>
      <c r="AD719" s="10"/>
      <c r="AE719" s="10"/>
    </row>
    <row r="720" spans="1:31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36"/>
      <c r="R720" s="36"/>
      <c r="S720" s="36"/>
      <c r="T720" s="36"/>
      <c r="U720" s="36"/>
      <c r="V720" s="36"/>
      <c r="W720" s="10"/>
      <c r="X720" s="10"/>
      <c r="Y720" s="10"/>
      <c r="Z720" s="10"/>
      <c r="AA720" s="10"/>
      <c r="AB720" s="10"/>
      <c r="AC720" s="10"/>
      <c r="AD720" s="10"/>
      <c r="AE720" s="10"/>
    </row>
    <row r="721" spans="1:3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36"/>
      <c r="R721" s="36"/>
      <c r="S721" s="36"/>
      <c r="T721" s="36"/>
      <c r="U721" s="36"/>
      <c r="V721" s="36"/>
      <c r="W721" s="10"/>
      <c r="X721" s="10"/>
      <c r="Y721" s="10"/>
      <c r="Z721" s="10"/>
      <c r="AA721" s="10"/>
      <c r="AB721" s="10"/>
      <c r="AC721" s="10"/>
      <c r="AD721" s="10"/>
      <c r="AE721" s="10"/>
    </row>
    <row r="722" spans="1:31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36"/>
      <c r="R722" s="36"/>
      <c r="S722" s="36"/>
      <c r="T722" s="36"/>
      <c r="U722" s="36"/>
      <c r="V722" s="36"/>
      <c r="W722" s="10"/>
      <c r="X722" s="10"/>
      <c r="Y722" s="10"/>
      <c r="Z722" s="10"/>
      <c r="AA722" s="10"/>
      <c r="AB722" s="10"/>
      <c r="AC722" s="10"/>
      <c r="AD722" s="10"/>
      <c r="AE722" s="10"/>
    </row>
    <row r="723" spans="1:31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36"/>
      <c r="R723" s="36"/>
      <c r="S723" s="36"/>
      <c r="T723" s="36"/>
      <c r="U723" s="36"/>
      <c r="V723" s="36"/>
      <c r="W723" s="10"/>
      <c r="X723" s="10"/>
      <c r="Y723" s="10"/>
      <c r="Z723" s="10"/>
      <c r="AA723" s="10"/>
      <c r="AB723" s="10"/>
      <c r="AC723" s="10"/>
      <c r="AD723" s="10"/>
      <c r="AE723" s="10"/>
    </row>
    <row r="724" spans="1:31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36"/>
      <c r="R724" s="36"/>
      <c r="S724" s="36"/>
      <c r="T724" s="36"/>
      <c r="U724" s="36"/>
      <c r="V724" s="36"/>
      <c r="W724" s="10"/>
      <c r="X724" s="10"/>
      <c r="Y724" s="10"/>
      <c r="Z724" s="10"/>
      <c r="AA724" s="10"/>
      <c r="AB724" s="10"/>
      <c r="AC724" s="10"/>
      <c r="AD724" s="10"/>
      <c r="AE724" s="10"/>
    </row>
    <row r="725" spans="1:31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36"/>
      <c r="R725" s="36"/>
      <c r="S725" s="36"/>
      <c r="T725" s="36"/>
      <c r="U725" s="36"/>
      <c r="V725" s="36"/>
      <c r="W725" s="10"/>
      <c r="X725" s="10"/>
      <c r="Y725" s="10"/>
      <c r="Z725" s="10"/>
      <c r="AA725" s="10"/>
      <c r="AB725" s="10"/>
      <c r="AC725" s="10"/>
      <c r="AD725" s="10"/>
      <c r="AE725" s="10"/>
    </row>
    <row r="726" spans="1:31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36"/>
      <c r="R726" s="36"/>
      <c r="S726" s="36"/>
      <c r="T726" s="36"/>
      <c r="U726" s="36"/>
      <c r="V726" s="36"/>
      <c r="W726" s="10"/>
      <c r="X726" s="10"/>
      <c r="Y726" s="10"/>
      <c r="Z726" s="10"/>
      <c r="AA726" s="10"/>
      <c r="AB726" s="10"/>
      <c r="AC726" s="10"/>
      <c r="AD726" s="10"/>
      <c r="AE726" s="10"/>
    </row>
    <row r="727" spans="1:31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36"/>
      <c r="R727" s="36"/>
      <c r="S727" s="36"/>
      <c r="T727" s="36"/>
      <c r="U727" s="36"/>
      <c r="V727" s="36"/>
      <c r="W727" s="10"/>
      <c r="X727" s="10"/>
      <c r="Y727" s="10"/>
      <c r="Z727" s="10"/>
      <c r="AA727" s="10"/>
      <c r="AB727" s="10"/>
      <c r="AC727" s="10"/>
      <c r="AD727" s="10"/>
      <c r="AE727" s="10"/>
    </row>
    <row r="728" spans="1:31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36"/>
      <c r="R728" s="36"/>
      <c r="S728" s="36"/>
      <c r="T728" s="36"/>
      <c r="U728" s="36"/>
      <c r="V728" s="36"/>
      <c r="W728" s="10"/>
      <c r="X728" s="10"/>
      <c r="Y728" s="10"/>
      <c r="Z728" s="10"/>
      <c r="AA728" s="10"/>
      <c r="AB728" s="10"/>
      <c r="AC728" s="10"/>
      <c r="AD728" s="10"/>
      <c r="AE728" s="10"/>
    </row>
    <row r="729" spans="1:31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36"/>
      <c r="R729" s="36"/>
      <c r="S729" s="36"/>
      <c r="T729" s="36"/>
      <c r="U729" s="36"/>
      <c r="V729" s="36"/>
      <c r="W729" s="10"/>
      <c r="X729" s="10"/>
      <c r="Y729" s="10"/>
      <c r="Z729" s="10"/>
      <c r="AA729" s="10"/>
      <c r="AB729" s="10"/>
      <c r="AC729" s="10"/>
      <c r="AD729" s="10"/>
      <c r="AE729" s="10"/>
    </row>
    <row r="730" spans="1:31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36"/>
      <c r="R730" s="36"/>
      <c r="S730" s="36"/>
      <c r="T730" s="36"/>
      <c r="U730" s="36"/>
      <c r="V730" s="36"/>
      <c r="W730" s="10"/>
      <c r="X730" s="10"/>
      <c r="Y730" s="10"/>
      <c r="Z730" s="10"/>
      <c r="AA730" s="10"/>
      <c r="AB730" s="10"/>
      <c r="AC730" s="10"/>
      <c r="AD730" s="10"/>
      <c r="AE730" s="10"/>
    </row>
    <row r="731" spans="1: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36"/>
      <c r="R731" s="36"/>
      <c r="S731" s="36"/>
      <c r="T731" s="36"/>
      <c r="U731" s="36"/>
      <c r="V731" s="36"/>
      <c r="W731" s="10"/>
      <c r="X731" s="10"/>
      <c r="Y731" s="10"/>
      <c r="Z731" s="10"/>
      <c r="AA731" s="10"/>
      <c r="AB731" s="10"/>
      <c r="AC731" s="10"/>
      <c r="AD731" s="10"/>
      <c r="AE731" s="10"/>
    </row>
    <row r="732" spans="1:31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36"/>
      <c r="R732" s="36"/>
      <c r="S732" s="36"/>
      <c r="T732" s="36"/>
      <c r="U732" s="36"/>
      <c r="V732" s="36"/>
      <c r="W732" s="10"/>
      <c r="X732" s="10"/>
      <c r="Y732" s="10"/>
      <c r="Z732" s="10"/>
      <c r="AA732" s="10"/>
      <c r="AB732" s="10"/>
      <c r="AC732" s="10"/>
      <c r="AD732" s="10"/>
      <c r="AE732" s="10"/>
    </row>
    <row r="733" spans="1:31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36"/>
      <c r="R733" s="36"/>
      <c r="S733" s="36"/>
      <c r="T733" s="36"/>
      <c r="U733" s="36"/>
      <c r="V733" s="36"/>
      <c r="W733" s="10"/>
      <c r="X733" s="10"/>
      <c r="Y733" s="10"/>
      <c r="Z733" s="10"/>
      <c r="AA733" s="10"/>
      <c r="AB733" s="10"/>
      <c r="AC733" s="10"/>
      <c r="AD733" s="10"/>
      <c r="AE733" s="10"/>
    </row>
    <row r="734" spans="1:31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36"/>
      <c r="R734" s="36"/>
      <c r="S734" s="36"/>
      <c r="T734" s="36"/>
      <c r="U734" s="36"/>
      <c r="V734" s="36"/>
      <c r="W734" s="10"/>
      <c r="X734" s="10"/>
      <c r="Y734" s="10"/>
      <c r="Z734" s="10"/>
      <c r="AA734" s="10"/>
      <c r="AB734" s="10"/>
      <c r="AC734" s="10"/>
      <c r="AD734" s="10"/>
      <c r="AE734" s="10"/>
    </row>
    <row r="735" spans="1:31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36"/>
      <c r="R735" s="36"/>
      <c r="S735" s="36"/>
      <c r="T735" s="36"/>
      <c r="U735" s="36"/>
      <c r="V735" s="36"/>
      <c r="W735" s="10"/>
      <c r="X735" s="10"/>
      <c r="Y735" s="10"/>
      <c r="Z735" s="10"/>
      <c r="AA735" s="10"/>
      <c r="AB735" s="10"/>
      <c r="AC735" s="10"/>
      <c r="AD735" s="10"/>
      <c r="AE735" s="10"/>
    </row>
    <row r="736" spans="1:31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36"/>
      <c r="R736" s="36"/>
      <c r="S736" s="36"/>
      <c r="T736" s="36"/>
      <c r="U736" s="36"/>
      <c r="V736" s="36"/>
      <c r="W736" s="10"/>
      <c r="X736" s="10"/>
      <c r="Y736" s="10"/>
      <c r="Z736" s="10"/>
      <c r="AA736" s="10"/>
      <c r="AB736" s="10"/>
      <c r="AC736" s="10"/>
      <c r="AD736" s="10"/>
      <c r="AE736" s="10"/>
    </row>
    <row r="737" spans="1:31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36"/>
      <c r="R737" s="36"/>
      <c r="S737" s="36"/>
      <c r="T737" s="36"/>
      <c r="U737" s="36"/>
      <c r="V737" s="36"/>
      <c r="W737" s="10"/>
      <c r="X737" s="10"/>
      <c r="Y737" s="10"/>
      <c r="Z737" s="10"/>
      <c r="AA737" s="10"/>
      <c r="AB737" s="10"/>
      <c r="AC737" s="10"/>
      <c r="AD737" s="10"/>
      <c r="AE737" s="10"/>
    </row>
    <row r="738" spans="1:31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36"/>
      <c r="R738" s="36"/>
      <c r="S738" s="36"/>
      <c r="T738" s="36"/>
      <c r="U738" s="36"/>
      <c r="V738" s="36"/>
      <c r="W738" s="10"/>
      <c r="X738" s="10"/>
      <c r="Y738" s="10"/>
      <c r="Z738" s="10"/>
      <c r="AA738" s="10"/>
      <c r="AB738" s="10"/>
      <c r="AC738" s="10"/>
      <c r="AD738" s="10"/>
      <c r="AE738" s="10"/>
    </row>
    <row r="739" spans="1:31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36"/>
      <c r="R739" s="36"/>
      <c r="S739" s="36"/>
      <c r="T739" s="36"/>
      <c r="U739" s="36"/>
      <c r="V739" s="36"/>
      <c r="W739" s="10"/>
      <c r="X739" s="10"/>
      <c r="Y739" s="10"/>
      <c r="Z739" s="10"/>
      <c r="AA739" s="10"/>
      <c r="AB739" s="10"/>
      <c r="AC739" s="10"/>
      <c r="AD739" s="10"/>
      <c r="AE739" s="10"/>
    </row>
    <row r="740" spans="1:31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36"/>
      <c r="R740" s="36"/>
      <c r="S740" s="36"/>
      <c r="T740" s="36"/>
      <c r="U740" s="36"/>
      <c r="V740" s="36"/>
      <c r="W740" s="10"/>
      <c r="X740" s="10"/>
      <c r="Y740" s="10"/>
      <c r="Z740" s="10"/>
      <c r="AA740" s="10"/>
      <c r="AB740" s="10"/>
      <c r="AC740" s="10"/>
      <c r="AD740" s="10"/>
      <c r="AE740" s="10"/>
    </row>
    <row r="741" spans="1:3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36"/>
      <c r="R741" s="36"/>
      <c r="S741" s="36"/>
      <c r="T741" s="36"/>
      <c r="U741" s="36"/>
      <c r="V741" s="36"/>
      <c r="W741" s="10"/>
      <c r="X741" s="10"/>
      <c r="Y741" s="10"/>
      <c r="Z741" s="10"/>
      <c r="AA741" s="10"/>
      <c r="AB741" s="10"/>
      <c r="AC741" s="10"/>
      <c r="AD741" s="10"/>
      <c r="AE741" s="10"/>
    </row>
    <row r="742" spans="1:31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36"/>
      <c r="R742" s="36"/>
      <c r="S742" s="36"/>
      <c r="T742" s="36"/>
      <c r="U742" s="36"/>
      <c r="V742" s="36"/>
      <c r="W742" s="10"/>
      <c r="X742" s="10"/>
      <c r="Y742" s="10"/>
      <c r="Z742" s="10"/>
      <c r="AA742" s="10"/>
      <c r="AB742" s="10"/>
      <c r="AC742" s="10"/>
      <c r="AD742" s="10"/>
      <c r="AE742" s="10"/>
    </row>
    <row r="743" spans="1:31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36"/>
      <c r="R743" s="36"/>
      <c r="S743" s="36"/>
      <c r="T743" s="36"/>
      <c r="U743" s="36"/>
      <c r="V743" s="36"/>
      <c r="W743" s="10"/>
      <c r="X743" s="10"/>
      <c r="Y743" s="10"/>
      <c r="Z743" s="10"/>
      <c r="AA743" s="10"/>
      <c r="AB743" s="10"/>
      <c r="AC743" s="10"/>
      <c r="AD743" s="10"/>
      <c r="AE743" s="10"/>
    </row>
    <row r="744" spans="1:31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36"/>
      <c r="R744" s="36"/>
      <c r="S744" s="36"/>
      <c r="T744" s="36"/>
      <c r="U744" s="36"/>
      <c r="V744" s="36"/>
      <c r="W744" s="10"/>
      <c r="X744" s="10"/>
      <c r="Y744" s="10"/>
      <c r="Z744" s="10"/>
      <c r="AA744" s="10"/>
      <c r="AB744" s="10"/>
      <c r="AC744" s="10"/>
      <c r="AD744" s="10"/>
      <c r="AE744" s="10"/>
    </row>
    <row r="745" spans="1:31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36"/>
      <c r="R745" s="36"/>
      <c r="S745" s="36"/>
      <c r="T745" s="36"/>
      <c r="U745" s="36"/>
      <c r="V745" s="36"/>
      <c r="W745" s="10"/>
      <c r="X745" s="10"/>
      <c r="Y745" s="10"/>
      <c r="Z745" s="10"/>
      <c r="AA745" s="10"/>
      <c r="AB745" s="10"/>
      <c r="AC745" s="10"/>
      <c r="AD745" s="10"/>
      <c r="AE745" s="10"/>
    </row>
    <row r="746" spans="1:31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36"/>
      <c r="R746" s="36"/>
      <c r="S746" s="36"/>
      <c r="T746" s="36"/>
      <c r="U746" s="36"/>
      <c r="V746" s="36"/>
      <c r="W746" s="10"/>
      <c r="X746" s="10"/>
      <c r="Y746" s="10"/>
      <c r="Z746" s="10"/>
      <c r="AA746" s="10"/>
      <c r="AB746" s="10"/>
      <c r="AC746" s="10"/>
      <c r="AD746" s="10"/>
      <c r="AE746" s="10"/>
    </row>
    <row r="747" spans="1:31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36"/>
      <c r="R747" s="36"/>
      <c r="S747" s="36"/>
      <c r="T747" s="36"/>
      <c r="U747" s="36"/>
      <c r="V747" s="36"/>
      <c r="W747" s="10"/>
      <c r="X747" s="10"/>
      <c r="Y747" s="10"/>
      <c r="Z747" s="10"/>
      <c r="AA747" s="10"/>
      <c r="AB747" s="10"/>
      <c r="AC747" s="10"/>
      <c r="AD747" s="10"/>
      <c r="AE747" s="10"/>
    </row>
    <row r="748" spans="1:31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36"/>
      <c r="R748" s="36"/>
      <c r="S748" s="36"/>
      <c r="T748" s="36"/>
      <c r="U748" s="36"/>
      <c r="V748" s="36"/>
      <c r="W748" s="10"/>
      <c r="X748" s="10"/>
      <c r="Y748" s="10"/>
      <c r="Z748" s="10"/>
      <c r="AA748" s="10"/>
      <c r="AB748" s="10"/>
      <c r="AC748" s="10"/>
      <c r="AD748" s="10"/>
      <c r="AE748" s="10"/>
    </row>
    <row r="749" spans="1:31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36"/>
      <c r="R749" s="36"/>
      <c r="S749" s="36"/>
      <c r="T749" s="36"/>
      <c r="U749" s="36"/>
      <c r="V749" s="36"/>
      <c r="W749" s="10"/>
      <c r="X749" s="10"/>
      <c r="Y749" s="10"/>
      <c r="Z749" s="10"/>
      <c r="AA749" s="10"/>
      <c r="AB749" s="10"/>
      <c r="AC749" s="10"/>
      <c r="AD749" s="10"/>
      <c r="AE749" s="10"/>
    </row>
    <row r="750" spans="1:31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36"/>
      <c r="R750" s="36"/>
      <c r="S750" s="36"/>
      <c r="T750" s="36"/>
      <c r="U750" s="36"/>
      <c r="V750" s="36"/>
      <c r="W750" s="10"/>
      <c r="X750" s="10"/>
      <c r="Y750" s="10"/>
      <c r="Z750" s="10"/>
      <c r="AA750" s="10"/>
      <c r="AB750" s="10"/>
      <c r="AC750" s="10"/>
      <c r="AD750" s="10"/>
      <c r="AE750" s="10"/>
    </row>
    <row r="751" spans="1:3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36"/>
      <c r="R751" s="36"/>
      <c r="S751" s="36"/>
      <c r="T751" s="36"/>
      <c r="U751" s="36"/>
      <c r="V751" s="36"/>
      <c r="W751" s="10"/>
      <c r="X751" s="10"/>
      <c r="Y751" s="10"/>
      <c r="Z751" s="10"/>
      <c r="AA751" s="10"/>
      <c r="AB751" s="10"/>
      <c r="AC751" s="10"/>
      <c r="AD751" s="10"/>
      <c r="AE751" s="10"/>
    </row>
    <row r="752" spans="1:31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36"/>
      <c r="R752" s="36"/>
      <c r="S752" s="36"/>
      <c r="T752" s="36"/>
      <c r="U752" s="36"/>
      <c r="V752" s="36"/>
      <c r="W752" s="10"/>
      <c r="X752" s="10"/>
      <c r="Y752" s="10"/>
      <c r="Z752" s="10"/>
      <c r="AA752" s="10"/>
      <c r="AB752" s="10"/>
      <c r="AC752" s="10"/>
      <c r="AD752" s="10"/>
      <c r="AE752" s="10"/>
    </row>
    <row r="753" spans="1:31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36"/>
      <c r="R753" s="36"/>
      <c r="S753" s="36"/>
      <c r="T753" s="36"/>
      <c r="U753" s="36"/>
      <c r="V753" s="36"/>
      <c r="W753" s="10"/>
      <c r="X753" s="10"/>
      <c r="Y753" s="10"/>
      <c r="Z753" s="10"/>
      <c r="AA753" s="10"/>
      <c r="AB753" s="10"/>
      <c r="AC753" s="10"/>
      <c r="AD753" s="10"/>
      <c r="AE753" s="10"/>
    </row>
    <row r="754" spans="1:31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36"/>
      <c r="R754" s="36"/>
      <c r="S754" s="36"/>
      <c r="T754" s="36"/>
      <c r="U754" s="36"/>
      <c r="V754" s="36"/>
      <c r="W754" s="10"/>
      <c r="X754" s="10"/>
      <c r="Y754" s="10"/>
      <c r="Z754" s="10"/>
      <c r="AA754" s="10"/>
      <c r="AB754" s="10"/>
      <c r="AC754" s="10"/>
      <c r="AD754" s="10"/>
      <c r="AE754" s="10"/>
    </row>
    <row r="755" spans="1:31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36"/>
      <c r="R755" s="36"/>
      <c r="S755" s="36"/>
      <c r="T755" s="36"/>
      <c r="U755" s="36"/>
      <c r="V755" s="36"/>
      <c r="W755" s="10"/>
      <c r="X755" s="10"/>
      <c r="Y755" s="10"/>
      <c r="Z755" s="10"/>
      <c r="AA755" s="10"/>
      <c r="AB755" s="10"/>
      <c r="AC755" s="10"/>
      <c r="AD755" s="10"/>
      <c r="AE755" s="10"/>
    </row>
    <row r="756" spans="1:31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36"/>
      <c r="R756" s="36"/>
      <c r="S756" s="36"/>
      <c r="T756" s="36"/>
      <c r="U756" s="36"/>
      <c r="V756" s="36"/>
      <c r="W756" s="10"/>
      <c r="X756" s="10"/>
      <c r="Y756" s="10"/>
      <c r="Z756" s="10"/>
      <c r="AA756" s="10"/>
      <c r="AB756" s="10"/>
      <c r="AC756" s="10"/>
      <c r="AD756" s="10"/>
      <c r="AE756" s="10"/>
    </row>
    <row r="757" spans="1:31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36"/>
      <c r="R757" s="36"/>
      <c r="S757" s="36"/>
      <c r="T757" s="36"/>
      <c r="U757" s="36"/>
      <c r="V757" s="36"/>
      <c r="W757" s="10"/>
      <c r="X757" s="10"/>
      <c r="Y757" s="10"/>
      <c r="Z757" s="10"/>
      <c r="AA757" s="10"/>
      <c r="AB757" s="10"/>
      <c r="AC757" s="10"/>
      <c r="AD757" s="10"/>
      <c r="AE757" s="10"/>
    </row>
    <row r="758" spans="1:31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36"/>
      <c r="R758" s="36"/>
      <c r="S758" s="36"/>
      <c r="T758" s="36"/>
      <c r="U758" s="36"/>
      <c r="V758" s="36"/>
      <c r="W758" s="10"/>
      <c r="X758" s="10"/>
      <c r="Y758" s="10"/>
      <c r="Z758" s="10"/>
      <c r="AA758" s="10"/>
      <c r="AB758" s="10"/>
      <c r="AC758" s="10"/>
      <c r="AD758" s="10"/>
      <c r="AE758" s="10"/>
    </row>
    <row r="759" spans="1:31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36"/>
      <c r="R759" s="36"/>
      <c r="S759" s="36"/>
      <c r="T759" s="36"/>
      <c r="U759" s="36"/>
      <c r="V759" s="36"/>
      <c r="W759" s="10"/>
      <c r="X759" s="10"/>
      <c r="Y759" s="10"/>
      <c r="Z759" s="10"/>
      <c r="AA759" s="10"/>
      <c r="AB759" s="10"/>
      <c r="AC759" s="10"/>
      <c r="AD759" s="10"/>
      <c r="AE759" s="10"/>
    </row>
    <row r="760" spans="1:31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36"/>
      <c r="R760" s="36"/>
      <c r="S760" s="36"/>
      <c r="T760" s="36"/>
      <c r="U760" s="36"/>
      <c r="V760" s="36"/>
      <c r="W760" s="10"/>
      <c r="X760" s="10"/>
      <c r="Y760" s="10"/>
      <c r="Z760" s="10"/>
      <c r="AA760" s="10"/>
      <c r="AB760" s="10"/>
      <c r="AC760" s="10"/>
      <c r="AD760" s="10"/>
      <c r="AE760" s="10"/>
    </row>
    <row r="761" spans="1:3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36"/>
      <c r="R761" s="36"/>
      <c r="S761" s="36"/>
      <c r="T761" s="36"/>
      <c r="U761" s="36"/>
      <c r="V761" s="36"/>
      <c r="W761" s="10"/>
      <c r="X761" s="10"/>
      <c r="Y761" s="10"/>
      <c r="Z761" s="10"/>
      <c r="AA761" s="10"/>
      <c r="AB761" s="10"/>
      <c r="AC761" s="10"/>
      <c r="AD761" s="10"/>
      <c r="AE761" s="10"/>
    </row>
    <row r="762" spans="1:31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36"/>
      <c r="R762" s="36"/>
      <c r="S762" s="36"/>
      <c r="T762" s="36"/>
      <c r="U762" s="36"/>
      <c r="V762" s="36"/>
      <c r="W762" s="10"/>
      <c r="X762" s="10"/>
      <c r="Y762" s="10"/>
      <c r="Z762" s="10"/>
      <c r="AA762" s="10"/>
      <c r="AB762" s="10"/>
      <c r="AC762" s="10"/>
      <c r="AD762" s="10"/>
      <c r="AE762" s="10"/>
    </row>
    <row r="763" spans="1:31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36"/>
      <c r="R763" s="36"/>
      <c r="S763" s="36"/>
      <c r="T763" s="36"/>
      <c r="U763" s="36"/>
      <c r="V763" s="36"/>
      <c r="W763" s="10"/>
      <c r="X763" s="10"/>
      <c r="Y763" s="10"/>
      <c r="Z763" s="10"/>
      <c r="AA763" s="10"/>
      <c r="AB763" s="10"/>
      <c r="AC763" s="10"/>
      <c r="AD763" s="10"/>
      <c r="AE763" s="10"/>
    </row>
    <row r="764" spans="1:31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36"/>
      <c r="R764" s="36"/>
      <c r="S764" s="36"/>
      <c r="T764" s="36"/>
      <c r="U764" s="36"/>
      <c r="V764" s="36"/>
      <c r="W764" s="10"/>
      <c r="X764" s="10"/>
      <c r="Y764" s="10"/>
      <c r="Z764" s="10"/>
      <c r="AA764" s="10"/>
      <c r="AB764" s="10"/>
      <c r="AC764" s="10"/>
      <c r="AD764" s="10"/>
      <c r="AE764" s="10"/>
    </row>
    <row r="765" spans="1:31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36"/>
      <c r="R765" s="36"/>
      <c r="S765" s="36"/>
      <c r="T765" s="36"/>
      <c r="U765" s="36"/>
      <c r="V765" s="36"/>
      <c r="W765" s="10"/>
      <c r="X765" s="10"/>
      <c r="Y765" s="10"/>
      <c r="Z765" s="10"/>
      <c r="AA765" s="10"/>
      <c r="AB765" s="10"/>
      <c r="AC765" s="10"/>
      <c r="AD765" s="10"/>
      <c r="AE765" s="10"/>
    </row>
    <row r="766" spans="1:31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36"/>
      <c r="R766" s="36"/>
      <c r="S766" s="36"/>
      <c r="T766" s="36"/>
      <c r="U766" s="36"/>
      <c r="V766" s="36"/>
      <c r="W766" s="10"/>
      <c r="X766" s="10"/>
      <c r="Y766" s="10"/>
      <c r="Z766" s="10"/>
      <c r="AA766" s="10"/>
      <c r="AB766" s="10"/>
      <c r="AC766" s="10"/>
      <c r="AD766" s="10"/>
      <c r="AE766" s="10"/>
    </row>
    <row r="767" spans="1:31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36"/>
      <c r="R767" s="36"/>
      <c r="S767" s="36"/>
      <c r="T767" s="36"/>
      <c r="U767" s="36"/>
      <c r="V767" s="36"/>
      <c r="W767" s="10"/>
      <c r="X767" s="10"/>
      <c r="Y767" s="10"/>
      <c r="Z767" s="10"/>
      <c r="AA767" s="10"/>
      <c r="AB767" s="10"/>
      <c r="AC767" s="10"/>
      <c r="AD767" s="10"/>
      <c r="AE767" s="10"/>
    </row>
    <row r="768" spans="1:31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36"/>
      <c r="R768" s="36"/>
      <c r="S768" s="36"/>
      <c r="T768" s="36"/>
      <c r="U768" s="36"/>
      <c r="V768" s="36"/>
      <c r="W768" s="10"/>
      <c r="X768" s="10"/>
      <c r="Y768" s="10"/>
      <c r="Z768" s="10"/>
      <c r="AA768" s="10"/>
      <c r="AB768" s="10"/>
      <c r="AC768" s="10"/>
      <c r="AD768" s="10"/>
      <c r="AE768" s="10"/>
    </row>
    <row r="769" spans="1:31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36"/>
      <c r="R769" s="36"/>
      <c r="S769" s="36"/>
      <c r="T769" s="36"/>
      <c r="U769" s="36"/>
      <c r="V769" s="36"/>
      <c r="W769" s="10"/>
      <c r="X769" s="10"/>
      <c r="Y769" s="10"/>
      <c r="Z769" s="10"/>
      <c r="AA769" s="10"/>
      <c r="AB769" s="10"/>
      <c r="AC769" s="10"/>
      <c r="AD769" s="10"/>
      <c r="AE769" s="10"/>
    </row>
    <row r="770" spans="1:31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36"/>
      <c r="R770" s="36"/>
      <c r="S770" s="36"/>
      <c r="T770" s="36"/>
      <c r="U770" s="36"/>
      <c r="V770" s="36"/>
      <c r="W770" s="10"/>
      <c r="X770" s="10"/>
      <c r="Y770" s="10"/>
      <c r="Z770" s="10"/>
      <c r="AA770" s="10"/>
      <c r="AB770" s="10"/>
      <c r="AC770" s="10"/>
      <c r="AD770" s="10"/>
      <c r="AE770" s="10"/>
    </row>
    <row r="771" spans="1:3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36"/>
      <c r="R771" s="36"/>
      <c r="S771" s="36"/>
      <c r="T771" s="36"/>
      <c r="U771" s="36"/>
      <c r="V771" s="36"/>
      <c r="W771" s="10"/>
      <c r="X771" s="10"/>
      <c r="Y771" s="10"/>
      <c r="Z771" s="10"/>
      <c r="AA771" s="10"/>
      <c r="AB771" s="10"/>
      <c r="AC771" s="10"/>
      <c r="AD771" s="10"/>
      <c r="AE771" s="10"/>
    </row>
    <row r="772" spans="1:31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36"/>
      <c r="R772" s="36"/>
      <c r="S772" s="36"/>
      <c r="T772" s="36"/>
      <c r="U772" s="36"/>
      <c r="V772" s="36"/>
      <c r="W772" s="10"/>
      <c r="X772" s="10"/>
      <c r="Y772" s="10"/>
      <c r="Z772" s="10"/>
      <c r="AA772" s="10"/>
      <c r="AB772" s="10"/>
      <c r="AC772" s="10"/>
      <c r="AD772" s="10"/>
      <c r="AE772" s="10"/>
    </row>
    <row r="773" spans="1:31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36"/>
      <c r="R773" s="36"/>
      <c r="S773" s="36"/>
      <c r="T773" s="36"/>
      <c r="U773" s="36"/>
      <c r="V773" s="36"/>
      <c r="W773" s="10"/>
      <c r="X773" s="10"/>
      <c r="Y773" s="10"/>
      <c r="Z773" s="10"/>
      <c r="AA773" s="10"/>
      <c r="AB773" s="10"/>
      <c r="AC773" s="10"/>
      <c r="AD773" s="10"/>
      <c r="AE773" s="10"/>
    </row>
    <row r="774" spans="1:31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36"/>
      <c r="R774" s="36"/>
      <c r="S774" s="36"/>
      <c r="T774" s="36"/>
      <c r="U774" s="36"/>
      <c r="V774" s="36"/>
      <c r="W774" s="10"/>
      <c r="X774" s="10"/>
      <c r="Y774" s="10"/>
      <c r="Z774" s="10"/>
      <c r="AA774" s="10"/>
      <c r="AB774" s="10"/>
      <c r="AC774" s="10"/>
      <c r="AD774" s="10"/>
      <c r="AE774" s="10"/>
    </row>
    <row r="775" spans="1:31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36"/>
      <c r="R775" s="36"/>
      <c r="S775" s="36"/>
      <c r="T775" s="36"/>
      <c r="U775" s="36"/>
      <c r="V775" s="36"/>
      <c r="W775" s="10"/>
      <c r="X775" s="10"/>
      <c r="Y775" s="10"/>
      <c r="Z775" s="10"/>
      <c r="AA775" s="10"/>
      <c r="AB775" s="10"/>
      <c r="AC775" s="10"/>
      <c r="AD775" s="10"/>
      <c r="AE775" s="10"/>
    </row>
    <row r="776" spans="1:31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36"/>
      <c r="R776" s="36"/>
      <c r="S776" s="36"/>
      <c r="T776" s="36"/>
      <c r="U776" s="36"/>
      <c r="V776" s="36"/>
      <c r="W776" s="10"/>
      <c r="X776" s="10"/>
      <c r="Y776" s="10"/>
      <c r="Z776" s="10"/>
      <c r="AA776" s="10"/>
      <c r="AB776" s="10"/>
      <c r="AC776" s="10"/>
      <c r="AD776" s="10"/>
      <c r="AE776" s="10"/>
    </row>
    <row r="777" spans="1:31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36"/>
      <c r="R777" s="36"/>
      <c r="S777" s="36"/>
      <c r="T777" s="36"/>
      <c r="U777" s="36"/>
      <c r="V777" s="36"/>
      <c r="W777" s="10"/>
      <c r="X777" s="10"/>
      <c r="Y777" s="10"/>
      <c r="Z777" s="10"/>
      <c r="AA777" s="10"/>
      <c r="AB777" s="10"/>
      <c r="AC777" s="10"/>
      <c r="AD777" s="10"/>
      <c r="AE777" s="10"/>
    </row>
    <row r="778" spans="1:31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36"/>
      <c r="R778" s="36"/>
      <c r="S778" s="36"/>
      <c r="T778" s="36"/>
      <c r="U778" s="36"/>
      <c r="V778" s="36"/>
      <c r="W778" s="10"/>
      <c r="X778" s="10"/>
      <c r="Y778" s="10"/>
      <c r="Z778" s="10"/>
      <c r="AA778" s="10"/>
      <c r="AB778" s="10"/>
      <c r="AC778" s="10"/>
      <c r="AD778" s="10"/>
      <c r="AE778" s="10"/>
    </row>
    <row r="779" spans="1:31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36"/>
      <c r="R779" s="36"/>
      <c r="S779" s="36"/>
      <c r="T779" s="36"/>
      <c r="U779" s="36"/>
      <c r="V779" s="36"/>
      <c r="W779" s="10"/>
      <c r="X779" s="10"/>
      <c r="Y779" s="10"/>
      <c r="Z779" s="10"/>
      <c r="AA779" s="10"/>
      <c r="AB779" s="10"/>
      <c r="AC779" s="10"/>
      <c r="AD779" s="10"/>
      <c r="AE779" s="10"/>
    </row>
    <row r="780" spans="1:31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36"/>
      <c r="R780" s="36"/>
      <c r="S780" s="36"/>
      <c r="T780" s="36"/>
      <c r="U780" s="36"/>
      <c r="V780" s="36"/>
      <c r="W780" s="10"/>
      <c r="X780" s="10"/>
      <c r="Y780" s="10"/>
      <c r="Z780" s="10"/>
      <c r="AA780" s="10"/>
      <c r="AB780" s="10"/>
      <c r="AC780" s="10"/>
      <c r="AD780" s="10"/>
      <c r="AE780" s="10"/>
    </row>
    <row r="781" spans="1:3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36"/>
      <c r="R781" s="36"/>
      <c r="S781" s="36"/>
      <c r="T781" s="36"/>
      <c r="U781" s="36"/>
      <c r="V781" s="36"/>
      <c r="W781" s="10"/>
      <c r="X781" s="10"/>
      <c r="Y781" s="10"/>
      <c r="Z781" s="10"/>
      <c r="AA781" s="10"/>
      <c r="AB781" s="10"/>
      <c r="AC781" s="10"/>
      <c r="AD781" s="10"/>
      <c r="AE781" s="10"/>
    </row>
    <row r="782" spans="1:31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36"/>
      <c r="R782" s="36"/>
      <c r="S782" s="36"/>
      <c r="T782" s="36"/>
      <c r="U782" s="36"/>
      <c r="V782" s="36"/>
      <c r="W782" s="10"/>
      <c r="X782" s="10"/>
      <c r="Y782" s="10"/>
      <c r="Z782" s="10"/>
      <c r="AA782" s="10"/>
      <c r="AB782" s="10"/>
      <c r="AC782" s="10"/>
      <c r="AD782" s="10"/>
      <c r="AE782" s="10"/>
    </row>
    <row r="783" spans="1:31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36"/>
      <c r="R783" s="36"/>
      <c r="S783" s="36"/>
      <c r="T783" s="36"/>
      <c r="U783" s="36"/>
      <c r="V783" s="36"/>
      <c r="W783" s="10"/>
      <c r="X783" s="10"/>
      <c r="Y783" s="10"/>
      <c r="Z783" s="10"/>
      <c r="AA783" s="10"/>
      <c r="AB783" s="10"/>
      <c r="AC783" s="10"/>
      <c r="AD783" s="10"/>
      <c r="AE783" s="10"/>
    </row>
    <row r="784" spans="1:31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36"/>
      <c r="R784" s="36"/>
      <c r="S784" s="36"/>
      <c r="T784" s="36"/>
      <c r="U784" s="36"/>
      <c r="V784" s="36"/>
      <c r="W784" s="10"/>
      <c r="X784" s="10"/>
      <c r="Y784" s="10"/>
      <c r="Z784" s="10"/>
      <c r="AA784" s="10"/>
      <c r="AB784" s="10"/>
      <c r="AC784" s="10"/>
      <c r="AD784" s="10"/>
      <c r="AE784" s="10"/>
    </row>
    <row r="785" spans="1:31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36"/>
      <c r="R785" s="36"/>
      <c r="S785" s="36"/>
      <c r="T785" s="36"/>
      <c r="U785" s="36"/>
      <c r="V785" s="36"/>
      <c r="W785" s="10"/>
      <c r="X785" s="10"/>
      <c r="Y785" s="10"/>
      <c r="Z785" s="10"/>
      <c r="AA785" s="10"/>
      <c r="AB785" s="10"/>
      <c r="AC785" s="10"/>
      <c r="AD785" s="10"/>
      <c r="AE785" s="10"/>
    </row>
    <row r="786" spans="1:31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36"/>
      <c r="R786" s="36"/>
      <c r="S786" s="36"/>
      <c r="T786" s="36"/>
      <c r="U786" s="36"/>
      <c r="V786" s="36"/>
      <c r="W786" s="10"/>
      <c r="X786" s="10"/>
      <c r="Y786" s="10"/>
      <c r="Z786" s="10"/>
      <c r="AA786" s="10"/>
      <c r="AB786" s="10"/>
      <c r="AC786" s="10"/>
      <c r="AD786" s="10"/>
      <c r="AE786" s="10"/>
    </row>
    <row r="787" spans="1:31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36"/>
      <c r="R787" s="36"/>
      <c r="S787" s="36"/>
      <c r="T787" s="36"/>
      <c r="U787" s="36"/>
      <c r="V787" s="36"/>
      <c r="W787" s="10"/>
      <c r="X787" s="10"/>
      <c r="Y787" s="10"/>
      <c r="Z787" s="10"/>
      <c r="AA787" s="10"/>
      <c r="AB787" s="10"/>
      <c r="AC787" s="10"/>
      <c r="AD787" s="10"/>
      <c r="AE787" s="10"/>
    </row>
    <row r="788" spans="1:31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36"/>
      <c r="R788" s="36"/>
      <c r="S788" s="36"/>
      <c r="T788" s="36"/>
      <c r="U788" s="36"/>
      <c r="V788" s="36"/>
      <c r="W788" s="10"/>
      <c r="X788" s="10"/>
      <c r="Y788" s="10"/>
      <c r="Z788" s="10"/>
      <c r="AA788" s="10"/>
      <c r="AB788" s="10"/>
      <c r="AC788" s="10"/>
      <c r="AD788" s="10"/>
      <c r="AE788" s="10"/>
    </row>
    <row r="789" spans="1:31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36"/>
      <c r="R789" s="36"/>
      <c r="S789" s="36"/>
      <c r="T789" s="36"/>
      <c r="U789" s="36"/>
      <c r="V789" s="36"/>
      <c r="W789" s="10"/>
      <c r="X789" s="10"/>
      <c r="Y789" s="10"/>
      <c r="Z789" s="10"/>
      <c r="AA789" s="10"/>
      <c r="AB789" s="10"/>
      <c r="AC789" s="10"/>
      <c r="AD789" s="10"/>
      <c r="AE789" s="10"/>
    </row>
    <row r="790" spans="1:31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36"/>
      <c r="R790" s="36"/>
      <c r="S790" s="36"/>
      <c r="T790" s="36"/>
      <c r="U790" s="36"/>
      <c r="V790" s="36"/>
      <c r="W790" s="10"/>
      <c r="X790" s="10"/>
      <c r="Y790" s="10"/>
      <c r="Z790" s="10"/>
      <c r="AA790" s="10"/>
      <c r="AB790" s="10"/>
      <c r="AC790" s="10"/>
      <c r="AD790" s="10"/>
      <c r="AE790" s="10"/>
    </row>
    <row r="791" spans="1:3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36"/>
      <c r="R791" s="36"/>
      <c r="S791" s="36"/>
      <c r="T791" s="36"/>
      <c r="U791" s="36"/>
      <c r="V791" s="36"/>
      <c r="W791" s="10"/>
      <c r="X791" s="10"/>
      <c r="Y791" s="10"/>
      <c r="Z791" s="10"/>
      <c r="AA791" s="10"/>
      <c r="AB791" s="10"/>
      <c r="AC791" s="10"/>
      <c r="AD791" s="10"/>
      <c r="AE791" s="10"/>
    </row>
    <row r="792" spans="1:31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36"/>
      <c r="R792" s="36"/>
      <c r="S792" s="36"/>
      <c r="T792" s="36"/>
      <c r="U792" s="36"/>
      <c r="V792" s="36"/>
      <c r="W792" s="10"/>
      <c r="X792" s="10"/>
      <c r="Y792" s="10"/>
      <c r="Z792" s="10"/>
      <c r="AA792" s="10"/>
      <c r="AB792" s="10"/>
      <c r="AC792" s="10"/>
      <c r="AD792" s="10"/>
      <c r="AE792" s="10"/>
    </row>
    <row r="793" spans="1:31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36"/>
      <c r="R793" s="36"/>
      <c r="S793" s="36"/>
      <c r="T793" s="36"/>
      <c r="U793" s="36"/>
      <c r="V793" s="36"/>
      <c r="W793" s="10"/>
      <c r="X793" s="10"/>
      <c r="Y793" s="10"/>
      <c r="Z793" s="10"/>
      <c r="AA793" s="10"/>
      <c r="AB793" s="10"/>
      <c r="AC793" s="10"/>
      <c r="AD793" s="10"/>
      <c r="AE793" s="10"/>
    </row>
    <row r="794" spans="1:31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36"/>
      <c r="R794" s="36"/>
      <c r="S794" s="36"/>
      <c r="T794" s="36"/>
      <c r="U794" s="36"/>
      <c r="V794" s="36"/>
      <c r="W794" s="10"/>
      <c r="X794" s="10"/>
      <c r="Y794" s="10"/>
      <c r="Z794" s="10"/>
      <c r="AA794" s="10"/>
      <c r="AB794" s="10"/>
      <c r="AC794" s="10"/>
      <c r="AD794" s="10"/>
      <c r="AE794" s="10"/>
    </row>
    <row r="795" spans="1:31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36"/>
      <c r="R795" s="36"/>
      <c r="S795" s="36"/>
      <c r="T795" s="36"/>
      <c r="U795" s="36"/>
      <c r="V795" s="36"/>
      <c r="W795" s="10"/>
      <c r="X795" s="10"/>
      <c r="Y795" s="10"/>
      <c r="Z795" s="10"/>
      <c r="AA795" s="10"/>
      <c r="AB795" s="10"/>
      <c r="AC795" s="10"/>
      <c r="AD795" s="10"/>
      <c r="AE795" s="10"/>
    </row>
    <row r="796" spans="1:31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36"/>
      <c r="R796" s="36"/>
      <c r="S796" s="36"/>
      <c r="T796" s="36"/>
      <c r="U796" s="36"/>
      <c r="V796" s="36"/>
      <c r="W796" s="10"/>
      <c r="X796" s="10"/>
      <c r="Y796" s="10"/>
      <c r="Z796" s="10"/>
      <c r="AA796" s="10"/>
      <c r="AB796" s="10"/>
      <c r="AC796" s="10"/>
      <c r="AD796" s="10"/>
      <c r="AE796" s="10"/>
    </row>
    <row r="797" spans="1:31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36"/>
      <c r="R797" s="36"/>
      <c r="S797" s="36"/>
      <c r="T797" s="36"/>
      <c r="U797" s="36"/>
      <c r="V797" s="36"/>
      <c r="W797" s="10"/>
      <c r="X797" s="10"/>
      <c r="Y797" s="10"/>
      <c r="Z797" s="10"/>
      <c r="AA797" s="10"/>
      <c r="AB797" s="10"/>
      <c r="AC797" s="10"/>
      <c r="AD797" s="10"/>
      <c r="AE797" s="10"/>
    </row>
    <row r="798" spans="1:31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36"/>
      <c r="R798" s="36"/>
      <c r="S798" s="36"/>
      <c r="T798" s="36"/>
      <c r="U798" s="36"/>
      <c r="V798" s="36"/>
      <c r="W798" s="10"/>
      <c r="X798" s="10"/>
      <c r="Y798" s="10"/>
      <c r="Z798" s="10"/>
      <c r="AA798" s="10"/>
      <c r="AB798" s="10"/>
      <c r="AC798" s="10"/>
      <c r="AD798" s="10"/>
      <c r="AE798" s="10"/>
    </row>
    <row r="799" spans="1:31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36"/>
      <c r="R799" s="36"/>
      <c r="S799" s="36"/>
      <c r="T799" s="36"/>
      <c r="U799" s="36"/>
      <c r="V799" s="36"/>
      <c r="W799" s="10"/>
      <c r="X799" s="10"/>
      <c r="Y799" s="10"/>
      <c r="Z799" s="10"/>
      <c r="AA799" s="10"/>
      <c r="AB799" s="10"/>
      <c r="AC799" s="10"/>
      <c r="AD799" s="10"/>
      <c r="AE799" s="10"/>
    </row>
    <row r="800" spans="1:31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36"/>
      <c r="R800" s="36"/>
      <c r="S800" s="36"/>
      <c r="T800" s="36"/>
      <c r="U800" s="36"/>
      <c r="V800" s="36"/>
      <c r="W800" s="10"/>
      <c r="X800" s="10"/>
      <c r="Y800" s="10"/>
      <c r="Z800" s="10"/>
      <c r="AA800" s="10"/>
      <c r="AB800" s="10"/>
      <c r="AC800" s="10"/>
      <c r="AD800" s="10"/>
      <c r="AE800" s="10"/>
    </row>
    <row r="801" spans="1:3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36"/>
      <c r="R801" s="36"/>
      <c r="S801" s="36"/>
      <c r="T801" s="36"/>
      <c r="U801" s="36"/>
      <c r="V801" s="36"/>
      <c r="W801" s="10"/>
      <c r="X801" s="10"/>
      <c r="Y801" s="10"/>
      <c r="Z801" s="10"/>
      <c r="AA801" s="10"/>
      <c r="AB801" s="10"/>
      <c r="AC801" s="10"/>
      <c r="AD801" s="10"/>
      <c r="AE801" s="10"/>
    </row>
    <row r="802" spans="1:31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36"/>
      <c r="R802" s="36"/>
      <c r="S802" s="36"/>
      <c r="T802" s="36"/>
      <c r="U802" s="36"/>
      <c r="V802" s="36"/>
      <c r="W802" s="10"/>
      <c r="X802" s="10"/>
      <c r="Y802" s="10"/>
      <c r="Z802" s="10"/>
      <c r="AA802" s="10"/>
      <c r="AB802" s="10"/>
      <c r="AC802" s="10"/>
      <c r="AD802" s="10"/>
      <c r="AE802" s="10"/>
    </row>
    <row r="803" spans="1:31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36"/>
      <c r="R803" s="36"/>
      <c r="S803" s="36"/>
      <c r="T803" s="36"/>
      <c r="U803" s="36"/>
      <c r="V803" s="36"/>
      <c r="W803" s="10"/>
      <c r="X803" s="10"/>
      <c r="Y803" s="10"/>
      <c r="Z803" s="10"/>
      <c r="AA803" s="10"/>
      <c r="AB803" s="10"/>
      <c r="AC803" s="10"/>
      <c r="AD803" s="10"/>
      <c r="AE803" s="10"/>
    </row>
    <row r="804" spans="1:31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36"/>
      <c r="R804" s="36"/>
      <c r="S804" s="36"/>
      <c r="T804" s="36"/>
      <c r="U804" s="36"/>
      <c r="V804" s="36"/>
      <c r="W804" s="10"/>
      <c r="X804" s="10"/>
      <c r="Y804" s="10"/>
      <c r="Z804" s="10"/>
      <c r="AA804" s="10"/>
      <c r="AB804" s="10"/>
      <c r="AC804" s="10"/>
      <c r="AD804" s="10"/>
      <c r="AE804" s="10"/>
    </row>
    <row r="805" spans="1:31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36"/>
      <c r="R805" s="36"/>
      <c r="S805" s="36"/>
      <c r="T805" s="36"/>
      <c r="U805" s="36"/>
      <c r="V805" s="36"/>
      <c r="W805" s="10"/>
      <c r="X805" s="10"/>
      <c r="Y805" s="10"/>
      <c r="Z805" s="10"/>
      <c r="AA805" s="10"/>
      <c r="AB805" s="10"/>
      <c r="AC805" s="10"/>
      <c r="AD805" s="10"/>
      <c r="AE805" s="10"/>
    </row>
    <row r="806" spans="1:31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36"/>
      <c r="R806" s="36"/>
      <c r="S806" s="36"/>
      <c r="T806" s="36"/>
      <c r="U806" s="36"/>
      <c r="V806" s="36"/>
      <c r="W806" s="10"/>
      <c r="X806" s="10"/>
      <c r="Y806" s="10"/>
      <c r="Z806" s="10"/>
      <c r="AA806" s="10"/>
      <c r="AB806" s="10"/>
      <c r="AC806" s="10"/>
      <c r="AD806" s="10"/>
      <c r="AE806" s="10"/>
    </row>
    <row r="807" spans="1:31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36"/>
      <c r="R807" s="36"/>
      <c r="S807" s="36"/>
      <c r="T807" s="36"/>
      <c r="U807" s="36"/>
      <c r="V807" s="36"/>
      <c r="W807" s="10"/>
      <c r="X807" s="10"/>
      <c r="Y807" s="10"/>
      <c r="Z807" s="10"/>
      <c r="AA807" s="10"/>
      <c r="AB807" s="10"/>
      <c r="AC807" s="10"/>
      <c r="AD807" s="10"/>
      <c r="AE807" s="10"/>
    </row>
    <row r="808" spans="1:31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36"/>
      <c r="R808" s="36"/>
      <c r="S808" s="36"/>
      <c r="T808" s="36"/>
      <c r="U808" s="36"/>
      <c r="V808" s="36"/>
      <c r="W808" s="10"/>
      <c r="X808" s="10"/>
      <c r="Y808" s="10"/>
      <c r="Z808" s="10"/>
      <c r="AA808" s="10"/>
      <c r="AB808" s="10"/>
      <c r="AC808" s="10"/>
      <c r="AD808" s="10"/>
      <c r="AE808" s="10"/>
    </row>
    <row r="809" spans="1:31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36"/>
      <c r="R809" s="36"/>
      <c r="S809" s="36"/>
      <c r="T809" s="36"/>
      <c r="U809" s="36"/>
      <c r="V809" s="36"/>
      <c r="W809" s="10"/>
      <c r="X809" s="10"/>
      <c r="Y809" s="10"/>
      <c r="Z809" s="10"/>
      <c r="AA809" s="10"/>
      <c r="AB809" s="10"/>
      <c r="AC809" s="10"/>
      <c r="AD809" s="10"/>
      <c r="AE809" s="10"/>
    </row>
    <row r="810" spans="1:31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36"/>
      <c r="R810" s="36"/>
      <c r="S810" s="36"/>
      <c r="T810" s="36"/>
      <c r="U810" s="36"/>
      <c r="V810" s="36"/>
      <c r="W810" s="10"/>
      <c r="X810" s="10"/>
      <c r="Y810" s="10"/>
      <c r="Z810" s="10"/>
      <c r="AA810" s="10"/>
      <c r="AB810" s="10"/>
      <c r="AC810" s="10"/>
      <c r="AD810" s="10"/>
      <c r="AE810" s="10"/>
    </row>
    <row r="811" spans="1:3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36"/>
      <c r="R811" s="36"/>
      <c r="S811" s="36"/>
      <c r="T811" s="36"/>
      <c r="U811" s="36"/>
      <c r="V811" s="36"/>
      <c r="W811" s="10"/>
      <c r="X811" s="10"/>
      <c r="Y811" s="10"/>
      <c r="Z811" s="10"/>
      <c r="AA811" s="10"/>
      <c r="AB811" s="10"/>
      <c r="AC811" s="10"/>
      <c r="AD811" s="10"/>
      <c r="AE811" s="10"/>
    </row>
    <row r="812" spans="1:31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36"/>
      <c r="R812" s="36"/>
      <c r="S812" s="36"/>
      <c r="T812" s="36"/>
      <c r="U812" s="36"/>
      <c r="V812" s="36"/>
      <c r="W812" s="10"/>
      <c r="X812" s="10"/>
      <c r="Y812" s="10"/>
      <c r="Z812" s="10"/>
      <c r="AA812" s="10"/>
      <c r="AB812" s="10"/>
      <c r="AC812" s="10"/>
      <c r="AD812" s="10"/>
      <c r="AE812" s="10"/>
    </row>
    <row r="813" spans="1:31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36"/>
      <c r="R813" s="36"/>
      <c r="S813" s="36"/>
      <c r="T813" s="36"/>
      <c r="U813" s="36"/>
      <c r="V813" s="36"/>
      <c r="W813" s="10"/>
      <c r="X813" s="10"/>
      <c r="Y813" s="10"/>
      <c r="Z813" s="10"/>
      <c r="AA813" s="10"/>
      <c r="AB813" s="10"/>
      <c r="AC813" s="10"/>
      <c r="AD813" s="10"/>
      <c r="AE813" s="10"/>
    </row>
    <row r="814" spans="1:31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36"/>
      <c r="R814" s="36"/>
      <c r="S814" s="36"/>
      <c r="T814" s="36"/>
      <c r="U814" s="36"/>
      <c r="V814" s="36"/>
      <c r="W814" s="10"/>
      <c r="X814" s="10"/>
      <c r="Y814" s="10"/>
      <c r="Z814" s="10"/>
      <c r="AA814" s="10"/>
      <c r="AB814" s="10"/>
      <c r="AC814" s="10"/>
      <c r="AD814" s="10"/>
      <c r="AE814" s="10"/>
    </row>
    <row r="815" spans="1:31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36"/>
      <c r="R815" s="36"/>
      <c r="S815" s="36"/>
      <c r="T815" s="36"/>
      <c r="U815" s="36"/>
      <c r="V815" s="36"/>
      <c r="W815" s="10"/>
      <c r="X815" s="10"/>
      <c r="Y815" s="10"/>
      <c r="Z815" s="10"/>
      <c r="AA815" s="10"/>
      <c r="AB815" s="10"/>
      <c r="AC815" s="10"/>
      <c r="AD815" s="10"/>
      <c r="AE815" s="10"/>
    </row>
    <row r="816" spans="1:31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36"/>
      <c r="R816" s="36"/>
      <c r="S816" s="36"/>
      <c r="T816" s="36"/>
      <c r="U816" s="36"/>
      <c r="V816" s="36"/>
      <c r="W816" s="10"/>
      <c r="X816" s="10"/>
      <c r="Y816" s="10"/>
      <c r="Z816" s="10"/>
      <c r="AA816" s="10"/>
      <c r="AB816" s="10"/>
      <c r="AC816" s="10"/>
      <c r="AD816" s="10"/>
      <c r="AE816" s="10"/>
    </row>
    <row r="817" spans="1:31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36"/>
      <c r="R817" s="36"/>
      <c r="S817" s="36"/>
      <c r="T817" s="36"/>
      <c r="U817" s="36"/>
      <c r="V817" s="36"/>
      <c r="W817" s="10"/>
      <c r="X817" s="10"/>
      <c r="Y817" s="10"/>
      <c r="Z817" s="10"/>
      <c r="AA817" s="10"/>
      <c r="AB817" s="10"/>
      <c r="AC817" s="10"/>
      <c r="AD817" s="10"/>
      <c r="AE817" s="10"/>
    </row>
    <row r="818" spans="1:31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36"/>
      <c r="R818" s="36"/>
      <c r="S818" s="36"/>
      <c r="T818" s="36"/>
      <c r="U818" s="36"/>
      <c r="V818" s="36"/>
      <c r="W818" s="10"/>
      <c r="X818" s="10"/>
      <c r="Y818" s="10"/>
      <c r="Z818" s="10"/>
      <c r="AA818" s="10"/>
      <c r="AB818" s="10"/>
      <c r="AC818" s="10"/>
      <c r="AD818" s="10"/>
      <c r="AE818" s="10"/>
    </row>
    <row r="819" spans="1:31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36"/>
      <c r="R819" s="36"/>
      <c r="S819" s="36"/>
      <c r="T819" s="36"/>
      <c r="U819" s="36"/>
      <c r="V819" s="36"/>
      <c r="W819" s="10"/>
      <c r="X819" s="10"/>
      <c r="Y819" s="10"/>
      <c r="Z819" s="10"/>
      <c r="AA819" s="10"/>
      <c r="AB819" s="10"/>
      <c r="AC819" s="10"/>
      <c r="AD819" s="10"/>
      <c r="AE819" s="10"/>
    </row>
    <row r="820" spans="1:31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36"/>
      <c r="R820" s="36"/>
      <c r="S820" s="36"/>
      <c r="T820" s="36"/>
      <c r="U820" s="36"/>
      <c r="V820" s="36"/>
      <c r="W820" s="10"/>
      <c r="X820" s="10"/>
      <c r="Y820" s="10"/>
      <c r="Z820" s="10"/>
      <c r="AA820" s="10"/>
      <c r="AB820" s="10"/>
      <c r="AC820" s="10"/>
      <c r="AD820" s="10"/>
      <c r="AE820" s="10"/>
    </row>
    <row r="821" spans="1:3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36"/>
      <c r="R821" s="36"/>
      <c r="S821" s="36"/>
      <c r="T821" s="36"/>
      <c r="U821" s="36"/>
      <c r="V821" s="36"/>
      <c r="W821" s="10"/>
      <c r="X821" s="10"/>
      <c r="Y821" s="10"/>
      <c r="Z821" s="10"/>
      <c r="AA821" s="10"/>
      <c r="AB821" s="10"/>
      <c r="AC821" s="10"/>
      <c r="AD821" s="10"/>
      <c r="AE821" s="10"/>
    </row>
    <row r="822" spans="1:31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36"/>
      <c r="R822" s="36"/>
      <c r="S822" s="36"/>
      <c r="T822" s="36"/>
      <c r="U822" s="36"/>
      <c r="V822" s="36"/>
      <c r="W822" s="10"/>
      <c r="X822" s="10"/>
      <c r="Y822" s="10"/>
      <c r="Z822" s="10"/>
      <c r="AA822" s="10"/>
      <c r="AB822" s="10"/>
      <c r="AC822" s="10"/>
      <c r="AD822" s="10"/>
      <c r="AE822" s="10"/>
    </row>
    <row r="823" spans="1:31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36"/>
      <c r="R823" s="36"/>
      <c r="S823" s="36"/>
      <c r="T823" s="36"/>
      <c r="U823" s="36"/>
      <c r="V823" s="36"/>
      <c r="W823" s="10"/>
      <c r="X823" s="10"/>
      <c r="Y823" s="10"/>
      <c r="Z823" s="10"/>
      <c r="AA823" s="10"/>
      <c r="AB823" s="10"/>
      <c r="AC823" s="10"/>
      <c r="AD823" s="10"/>
      <c r="AE823" s="10"/>
    </row>
    <row r="824" spans="1:31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36"/>
      <c r="R824" s="36"/>
      <c r="S824" s="36"/>
      <c r="T824" s="36"/>
      <c r="U824" s="36"/>
      <c r="V824" s="36"/>
      <c r="W824" s="10"/>
      <c r="X824" s="10"/>
      <c r="Y824" s="10"/>
      <c r="Z824" s="10"/>
      <c r="AA824" s="10"/>
      <c r="AB824" s="10"/>
      <c r="AC824" s="10"/>
      <c r="AD824" s="10"/>
      <c r="AE824" s="10"/>
    </row>
    <row r="825" spans="1:31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36"/>
      <c r="R825" s="36"/>
      <c r="S825" s="36"/>
      <c r="T825" s="36"/>
      <c r="U825" s="36"/>
      <c r="V825" s="36"/>
      <c r="W825" s="10"/>
      <c r="X825" s="10"/>
      <c r="Y825" s="10"/>
      <c r="Z825" s="10"/>
      <c r="AA825" s="10"/>
      <c r="AB825" s="10"/>
      <c r="AC825" s="10"/>
      <c r="AD825" s="10"/>
      <c r="AE825" s="10"/>
    </row>
    <row r="826" spans="1:31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36"/>
      <c r="R826" s="36"/>
      <c r="S826" s="36"/>
      <c r="T826" s="36"/>
      <c r="U826" s="36"/>
      <c r="V826" s="36"/>
      <c r="W826" s="10"/>
      <c r="X826" s="10"/>
      <c r="Y826" s="10"/>
      <c r="Z826" s="10"/>
      <c r="AA826" s="10"/>
      <c r="AB826" s="10"/>
      <c r="AC826" s="10"/>
      <c r="AD826" s="10"/>
      <c r="AE826" s="10"/>
    </row>
    <row r="827" spans="1:31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36"/>
      <c r="R827" s="36"/>
      <c r="S827" s="36"/>
      <c r="T827" s="36"/>
      <c r="U827" s="36"/>
      <c r="V827" s="36"/>
      <c r="W827" s="10"/>
      <c r="X827" s="10"/>
      <c r="Y827" s="10"/>
      <c r="Z827" s="10"/>
      <c r="AA827" s="10"/>
      <c r="AB827" s="10"/>
      <c r="AC827" s="10"/>
      <c r="AD827" s="10"/>
      <c r="AE827" s="10"/>
    </row>
    <row r="828" spans="1:31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36"/>
      <c r="R828" s="36"/>
      <c r="S828" s="36"/>
      <c r="T828" s="36"/>
      <c r="U828" s="36"/>
      <c r="V828" s="36"/>
      <c r="W828" s="10"/>
      <c r="X828" s="10"/>
      <c r="Y828" s="10"/>
      <c r="Z828" s="10"/>
      <c r="AA828" s="10"/>
      <c r="AB828" s="10"/>
      <c r="AC828" s="10"/>
      <c r="AD828" s="10"/>
      <c r="AE828" s="10"/>
    </row>
    <row r="829" spans="1:31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36"/>
      <c r="R829" s="36"/>
      <c r="S829" s="36"/>
      <c r="T829" s="36"/>
      <c r="U829" s="36"/>
      <c r="V829" s="36"/>
      <c r="W829" s="10"/>
      <c r="X829" s="10"/>
      <c r="Y829" s="10"/>
      <c r="Z829" s="10"/>
      <c r="AA829" s="10"/>
      <c r="AB829" s="10"/>
      <c r="AC829" s="10"/>
      <c r="AD829" s="10"/>
      <c r="AE829" s="10"/>
    </row>
    <row r="830" spans="1:31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36"/>
      <c r="R830" s="36"/>
      <c r="S830" s="36"/>
      <c r="T830" s="36"/>
      <c r="U830" s="36"/>
      <c r="V830" s="36"/>
      <c r="W830" s="10"/>
      <c r="X830" s="10"/>
      <c r="Y830" s="10"/>
      <c r="Z830" s="10"/>
      <c r="AA830" s="10"/>
      <c r="AB830" s="10"/>
      <c r="AC830" s="10"/>
      <c r="AD830" s="10"/>
      <c r="AE830" s="10"/>
    </row>
    <row r="831" spans="1: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36"/>
      <c r="R831" s="36"/>
      <c r="S831" s="36"/>
      <c r="T831" s="36"/>
      <c r="U831" s="36"/>
      <c r="V831" s="36"/>
      <c r="W831" s="10"/>
      <c r="X831" s="10"/>
      <c r="Y831" s="10"/>
      <c r="Z831" s="10"/>
      <c r="AA831" s="10"/>
      <c r="AB831" s="10"/>
      <c r="AC831" s="10"/>
      <c r="AD831" s="10"/>
      <c r="AE831" s="10"/>
    </row>
    <row r="832" spans="1:31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36"/>
      <c r="R832" s="36"/>
      <c r="S832" s="36"/>
      <c r="T832" s="36"/>
      <c r="U832" s="36"/>
      <c r="V832" s="36"/>
      <c r="W832" s="10"/>
      <c r="X832" s="10"/>
      <c r="Y832" s="10"/>
      <c r="Z832" s="10"/>
      <c r="AA832" s="10"/>
      <c r="AB832" s="10"/>
      <c r="AC832" s="10"/>
      <c r="AD832" s="10"/>
      <c r="AE832" s="10"/>
    </row>
    <row r="833" spans="1:31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36"/>
      <c r="R833" s="36"/>
      <c r="S833" s="36"/>
      <c r="T833" s="36"/>
      <c r="U833" s="36"/>
      <c r="V833" s="36"/>
      <c r="W833" s="10"/>
      <c r="X833" s="10"/>
      <c r="Y833" s="10"/>
      <c r="Z833" s="10"/>
      <c r="AA833" s="10"/>
      <c r="AB833" s="10"/>
      <c r="AC833" s="10"/>
      <c r="AD833" s="10"/>
      <c r="AE833" s="10"/>
    </row>
    <row r="834" spans="1:31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36"/>
      <c r="R834" s="36"/>
      <c r="S834" s="36"/>
      <c r="T834" s="36"/>
      <c r="U834" s="36"/>
      <c r="V834" s="36"/>
      <c r="W834" s="10"/>
      <c r="X834" s="10"/>
      <c r="Y834" s="10"/>
      <c r="Z834" s="10"/>
      <c r="AA834" s="10"/>
      <c r="AB834" s="10"/>
      <c r="AC834" s="10"/>
      <c r="AD834" s="10"/>
      <c r="AE834" s="10"/>
    </row>
    <row r="835" spans="1:31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36"/>
      <c r="R835" s="36"/>
      <c r="S835" s="36"/>
      <c r="T835" s="36"/>
      <c r="U835" s="36"/>
      <c r="V835" s="36"/>
      <c r="W835" s="10"/>
      <c r="X835" s="10"/>
      <c r="Y835" s="10"/>
      <c r="Z835" s="10"/>
      <c r="AA835" s="10"/>
      <c r="AB835" s="10"/>
      <c r="AC835" s="10"/>
      <c r="AD835" s="10"/>
      <c r="AE835" s="10"/>
    </row>
    <row r="836" spans="1:31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36"/>
      <c r="R836" s="36"/>
      <c r="S836" s="36"/>
      <c r="T836" s="36"/>
      <c r="U836" s="36"/>
      <c r="V836" s="36"/>
      <c r="W836" s="10"/>
      <c r="X836" s="10"/>
      <c r="Y836" s="10"/>
      <c r="Z836" s="10"/>
      <c r="AA836" s="10"/>
      <c r="AB836" s="10"/>
      <c r="AC836" s="10"/>
      <c r="AD836" s="10"/>
      <c r="AE836" s="10"/>
    </row>
    <row r="837" spans="1:31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36"/>
      <c r="R837" s="36"/>
      <c r="S837" s="36"/>
      <c r="T837" s="36"/>
      <c r="U837" s="36"/>
      <c r="V837" s="36"/>
      <c r="W837" s="10"/>
      <c r="X837" s="10"/>
      <c r="Y837" s="10"/>
      <c r="Z837" s="10"/>
      <c r="AA837" s="10"/>
      <c r="AB837" s="10"/>
      <c r="AC837" s="10"/>
      <c r="AD837" s="10"/>
      <c r="AE837" s="10"/>
    </row>
    <row r="838" spans="1:31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36"/>
      <c r="R838" s="36"/>
      <c r="S838" s="36"/>
      <c r="T838" s="36"/>
      <c r="U838" s="36"/>
      <c r="V838" s="36"/>
      <c r="W838" s="10"/>
      <c r="X838" s="10"/>
      <c r="Y838" s="10"/>
      <c r="Z838" s="10"/>
      <c r="AA838" s="10"/>
      <c r="AB838" s="10"/>
      <c r="AC838" s="10"/>
      <c r="AD838" s="10"/>
      <c r="AE838" s="10"/>
    </row>
    <row r="839" spans="1:31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36"/>
      <c r="R839" s="36"/>
      <c r="S839" s="36"/>
      <c r="T839" s="36"/>
      <c r="U839" s="36"/>
      <c r="V839" s="36"/>
      <c r="W839" s="10"/>
      <c r="X839" s="10"/>
      <c r="Y839" s="10"/>
      <c r="Z839" s="10"/>
      <c r="AA839" s="10"/>
      <c r="AB839" s="10"/>
      <c r="AC839" s="10"/>
      <c r="AD839" s="10"/>
      <c r="AE839" s="10"/>
    </row>
    <row r="840" spans="1:31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36"/>
      <c r="R840" s="36"/>
      <c r="S840" s="36"/>
      <c r="T840" s="36"/>
      <c r="U840" s="36"/>
      <c r="V840" s="36"/>
      <c r="W840" s="10"/>
      <c r="X840" s="10"/>
      <c r="Y840" s="10"/>
      <c r="Z840" s="10"/>
      <c r="AA840" s="10"/>
      <c r="AB840" s="10"/>
      <c r="AC840" s="10"/>
      <c r="AD840" s="10"/>
      <c r="AE840" s="10"/>
    </row>
    <row r="841" spans="1:3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36"/>
      <c r="R841" s="36"/>
      <c r="S841" s="36"/>
      <c r="T841" s="36"/>
      <c r="U841" s="36"/>
      <c r="V841" s="36"/>
      <c r="W841" s="10"/>
      <c r="X841" s="10"/>
      <c r="Y841" s="10"/>
      <c r="Z841" s="10"/>
      <c r="AA841" s="10"/>
      <c r="AB841" s="10"/>
      <c r="AC841" s="10"/>
      <c r="AD841" s="10"/>
      <c r="AE841" s="10"/>
    </row>
    <row r="842" spans="1:31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36"/>
      <c r="R842" s="36"/>
      <c r="S842" s="36"/>
      <c r="T842" s="36"/>
      <c r="U842" s="36"/>
      <c r="V842" s="36"/>
      <c r="W842" s="10"/>
      <c r="X842" s="10"/>
      <c r="Y842" s="10"/>
      <c r="Z842" s="10"/>
      <c r="AA842" s="10"/>
      <c r="AB842" s="10"/>
      <c r="AC842" s="10"/>
      <c r="AD842" s="10"/>
      <c r="AE842" s="10"/>
    </row>
    <row r="843" spans="1:31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36"/>
      <c r="R843" s="36"/>
      <c r="S843" s="36"/>
      <c r="T843" s="36"/>
      <c r="U843" s="36"/>
      <c r="V843" s="36"/>
      <c r="W843" s="10"/>
      <c r="X843" s="10"/>
      <c r="Y843" s="10"/>
      <c r="Z843" s="10"/>
      <c r="AA843" s="10"/>
      <c r="AB843" s="10"/>
      <c r="AC843" s="10"/>
      <c r="AD843" s="10"/>
      <c r="AE843" s="10"/>
    </row>
    <row r="844" spans="1:31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36"/>
      <c r="R844" s="36"/>
      <c r="S844" s="36"/>
      <c r="T844" s="36"/>
      <c r="U844" s="36"/>
      <c r="V844" s="36"/>
      <c r="W844" s="10"/>
      <c r="X844" s="10"/>
      <c r="Y844" s="10"/>
      <c r="Z844" s="10"/>
      <c r="AA844" s="10"/>
      <c r="AB844" s="10"/>
      <c r="AC844" s="10"/>
      <c r="AD844" s="10"/>
      <c r="AE844" s="10"/>
    </row>
    <row r="845" spans="1:31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36"/>
      <c r="R845" s="36"/>
      <c r="S845" s="36"/>
      <c r="T845" s="36"/>
      <c r="U845" s="36"/>
      <c r="V845" s="36"/>
      <c r="W845" s="10"/>
      <c r="X845" s="10"/>
      <c r="Y845" s="10"/>
      <c r="Z845" s="10"/>
      <c r="AA845" s="10"/>
      <c r="AB845" s="10"/>
      <c r="AC845" s="10"/>
      <c r="AD845" s="10"/>
      <c r="AE845" s="10"/>
    </row>
    <row r="846" spans="1:31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36"/>
      <c r="R846" s="36"/>
      <c r="S846" s="36"/>
      <c r="T846" s="36"/>
      <c r="U846" s="36"/>
      <c r="V846" s="36"/>
      <c r="W846" s="10"/>
      <c r="X846" s="10"/>
      <c r="Y846" s="10"/>
      <c r="Z846" s="10"/>
      <c r="AA846" s="10"/>
      <c r="AB846" s="10"/>
      <c r="AC846" s="10"/>
      <c r="AD846" s="10"/>
      <c r="AE846" s="10"/>
    </row>
    <row r="847" spans="1:31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36"/>
      <c r="R847" s="36"/>
      <c r="S847" s="36"/>
      <c r="T847" s="36"/>
      <c r="U847" s="36"/>
      <c r="V847" s="36"/>
      <c r="W847" s="10"/>
      <c r="X847" s="10"/>
      <c r="Y847" s="10"/>
      <c r="Z847" s="10"/>
      <c r="AA847" s="10"/>
      <c r="AB847" s="10"/>
      <c r="AC847" s="10"/>
      <c r="AD847" s="10"/>
      <c r="AE847" s="10"/>
    </row>
    <row r="848" spans="1:31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36"/>
      <c r="R848" s="36"/>
      <c r="S848" s="36"/>
      <c r="T848" s="36"/>
      <c r="U848" s="36"/>
      <c r="V848" s="36"/>
      <c r="W848" s="10"/>
      <c r="X848" s="10"/>
      <c r="Y848" s="10"/>
      <c r="Z848" s="10"/>
      <c r="AA848" s="10"/>
      <c r="AB848" s="10"/>
      <c r="AC848" s="10"/>
      <c r="AD848" s="10"/>
      <c r="AE848" s="10"/>
    </row>
    <row r="849" spans="1:31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36"/>
      <c r="R849" s="36"/>
      <c r="S849" s="36"/>
      <c r="T849" s="36"/>
      <c r="U849" s="36"/>
      <c r="V849" s="36"/>
      <c r="W849" s="10"/>
      <c r="X849" s="10"/>
      <c r="Y849" s="10"/>
      <c r="Z849" s="10"/>
      <c r="AA849" s="10"/>
      <c r="AB849" s="10"/>
      <c r="AC849" s="10"/>
      <c r="AD849" s="10"/>
      <c r="AE849" s="10"/>
    </row>
    <row r="850" spans="1:31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36"/>
      <c r="R850" s="36"/>
      <c r="S850" s="36"/>
      <c r="T850" s="36"/>
      <c r="U850" s="36"/>
      <c r="V850" s="36"/>
      <c r="W850" s="10"/>
      <c r="X850" s="10"/>
      <c r="Y850" s="10"/>
      <c r="Z850" s="10"/>
      <c r="AA850" s="10"/>
      <c r="AB850" s="10"/>
      <c r="AC850" s="10"/>
      <c r="AD850" s="10"/>
      <c r="AE850" s="10"/>
    </row>
    <row r="851" spans="1:3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36"/>
      <c r="R851" s="36"/>
      <c r="S851" s="36"/>
      <c r="T851" s="36"/>
      <c r="U851" s="36"/>
      <c r="V851" s="36"/>
      <c r="W851" s="10"/>
      <c r="X851" s="10"/>
      <c r="Y851" s="10"/>
      <c r="Z851" s="10"/>
      <c r="AA851" s="10"/>
      <c r="AB851" s="10"/>
      <c r="AC851" s="10"/>
      <c r="AD851" s="10"/>
      <c r="AE851" s="10"/>
    </row>
    <row r="852" spans="1:31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36"/>
      <c r="R852" s="36"/>
      <c r="S852" s="36"/>
      <c r="T852" s="36"/>
      <c r="U852" s="36"/>
      <c r="V852" s="36"/>
      <c r="W852" s="10"/>
      <c r="X852" s="10"/>
      <c r="Y852" s="10"/>
      <c r="Z852" s="10"/>
      <c r="AA852" s="10"/>
      <c r="AB852" s="10"/>
      <c r="AC852" s="10"/>
      <c r="AD852" s="10"/>
      <c r="AE852" s="10"/>
    </row>
    <row r="853" spans="1:31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36"/>
      <c r="R853" s="36"/>
      <c r="S853" s="36"/>
      <c r="T853" s="36"/>
      <c r="U853" s="36"/>
      <c r="V853" s="36"/>
      <c r="W853" s="10"/>
      <c r="X853" s="10"/>
      <c r="Y853" s="10"/>
      <c r="Z853" s="10"/>
      <c r="AA853" s="10"/>
      <c r="AB853" s="10"/>
      <c r="AC853" s="10"/>
      <c r="AD853" s="10"/>
      <c r="AE853" s="10"/>
    </row>
    <row r="854" spans="1:31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36"/>
      <c r="R854" s="36"/>
      <c r="S854" s="36"/>
      <c r="T854" s="36"/>
      <c r="U854" s="36"/>
      <c r="V854" s="36"/>
      <c r="W854" s="10"/>
      <c r="X854" s="10"/>
      <c r="Y854" s="10"/>
      <c r="Z854" s="10"/>
      <c r="AA854" s="10"/>
      <c r="AB854" s="10"/>
      <c r="AC854" s="10"/>
      <c r="AD854" s="10"/>
      <c r="AE854" s="10"/>
    </row>
    <row r="855" spans="1:31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36"/>
      <c r="R855" s="36"/>
      <c r="S855" s="36"/>
      <c r="T855" s="36"/>
      <c r="U855" s="36"/>
      <c r="V855" s="36"/>
      <c r="W855" s="10"/>
      <c r="X855" s="10"/>
      <c r="Y855" s="10"/>
      <c r="Z855" s="10"/>
      <c r="AA855" s="10"/>
      <c r="AB855" s="10"/>
      <c r="AC855" s="10"/>
      <c r="AD855" s="10"/>
      <c r="AE855" s="10"/>
    </row>
    <row r="856" spans="1:31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36"/>
      <c r="R856" s="36"/>
      <c r="S856" s="36"/>
      <c r="T856" s="36"/>
      <c r="U856" s="36"/>
      <c r="V856" s="36"/>
      <c r="W856" s="10"/>
      <c r="X856" s="10"/>
      <c r="Y856" s="10"/>
      <c r="Z856" s="10"/>
      <c r="AA856" s="10"/>
      <c r="AB856" s="10"/>
      <c r="AC856" s="10"/>
      <c r="AD856" s="10"/>
      <c r="AE856" s="10"/>
    </row>
    <row r="857" spans="1:31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36"/>
      <c r="R857" s="36"/>
      <c r="S857" s="36"/>
      <c r="T857" s="36"/>
      <c r="U857" s="36"/>
      <c r="V857" s="36"/>
      <c r="W857" s="10"/>
      <c r="X857" s="10"/>
      <c r="Y857" s="10"/>
      <c r="Z857" s="10"/>
      <c r="AA857" s="10"/>
      <c r="AB857" s="10"/>
      <c r="AC857" s="10"/>
      <c r="AD857" s="10"/>
      <c r="AE857" s="10"/>
    </row>
    <row r="858" spans="1:31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36"/>
      <c r="R858" s="36"/>
      <c r="S858" s="36"/>
      <c r="T858" s="36"/>
      <c r="U858" s="36"/>
      <c r="V858" s="36"/>
      <c r="W858" s="10"/>
      <c r="X858" s="10"/>
      <c r="Y858" s="10"/>
      <c r="Z858" s="10"/>
      <c r="AA858" s="10"/>
      <c r="AB858" s="10"/>
      <c r="AC858" s="10"/>
      <c r="AD858" s="10"/>
      <c r="AE858" s="10"/>
    </row>
    <row r="859" spans="1:31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36"/>
      <c r="R859" s="36"/>
      <c r="S859" s="36"/>
      <c r="T859" s="36"/>
      <c r="U859" s="36"/>
      <c r="V859" s="36"/>
      <c r="W859" s="10"/>
      <c r="X859" s="10"/>
      <c r="Y859" s="10"/>
      <c r="Z859" s="10"/>
      <c r="AA859" s="10"/>
      <c r="AB859" s="10"/>
      <c r="AC859" s="10"/>
      <c r="AD859" s="10"/>
      <c r="AE859" s="10"/>
    </row>
    <row r="860" spans="1:31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36"/>
      <c r="R860" s="36"/>
      <c r="S860" s="36"/>
      <c r="T860" s="36"/>
      <c r="U860" s="36"/>
      <c r="V860" s="36"/>
      <c r="W860" s="10"/>
      <c r="X860" s="10"/>
      <c r="Y860" s="10"/>
      <c r="Z860" s="10"/>
      <c r="AA860" s="10"/>
      <c r="AB860" s="10"/>
      <c r="AC860" s="10"/>
      <c r="AD860" s="10"/>
      <c r="AE860" s="10"/>
    </row>
    <row r="861" spans="1:3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36"/>
      <c r="R861" s="36"/>
      <c r="S861" s="36"/>
      <c r="T861" s="36"/>
      <c r="U861" s="36"/>
      <c r="V861" s="36"/>
      <c r="W861" s="10"/>
      <c r="X861" s="10"/>
      <c r="Y861" s="10"/>
      <c r="Z861" s="10"/>
      <c r="AA861" s="10"/>
      <c r="AB861" s="10"/>
      <c r="AC861" s="10"/>
      <c r="AD861" s="10"/>
      <c r="AE861" s="10"/>
    </row>
    <row r="862" spans="1:31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36"/>
      <c r="R862" s="36"/>
      <c r="S862" s="36"/>
      <c r="T862" s="36"/>
      <c r="U862" s="36"/>
      <c r="V862" s="36"/>
      <c r="W862" s="10"/>
      <c r="X862" s="10"/>
      <c r="Y862" s="10"/>
      <c r="Z862" s="10"/>
      <c r="AA862" s="10"/>
      <c r="AB862" s="10"/>
      <c r="AC862" s="10"/>
      <c r="AD862" s="10"/>
      <c r="AE862" s="10"/>
    </row>
    <row r="863" spans="1:31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36"/>
      <c r="R863" s="36"/>
      <c r="S863" s="36"/>
      <c r="T863" s="36"/>
      <c r="U863" s="36"/>
      <c r="V863" s="36"/>
      <c r="W863" s="10"/>
      <c r="X863" s="10"/>
      <c r="Y863" s="10"/>
      <c r="Z863" s="10"/>
      <c r="AA863" s="10"/>
      <c r="AB863" s="10"/>
      <c r="AC863" s="10"/>
      <c r="AD863" s="10"/>
      <c r="AE863" s="10"/>
    </row>
    <row r="864" spans="1:31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36"/>
      <c r="R864" s="36"/>
      <c r="S864" s="36"/>
      <c r="T864" s="36"/>
      <c r="U864" s="36"/>
      <c r="V864" s="36"/>
      <c r="W864" s="10"/>
      <c r="X864" s="10"/>
      <c r="Y864" s="10"/>
      <c r="Z864" s="10"/>
      <c r="AA864" s="10"/>
      <c r="AB864" s="10"/>
      <c r="AC864" s="10"/>
      <c r="AD864" s="10"/>
      <c r="AE864" s="10"/>
    </row>
    <row r="865" spans="1:31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36"/>
      <c r="R865" s="36"/>
      <c r="S865" s="36"/>
      <c r="T865" s="36"/>
      <c r="U865" s="36"/>
      <c r="V865" s="36"/>
      <c r="W865" s="10"/>
      <c r="X865" s="10"/>
      <c r="Y865" s="10"/>
      <c r="Z865" s="10"/>
      <c r="AA865" s="10"/>
      <c r="AB865" s="10"/>
      <c r="AC865" s="10"/>
      <c r="AD865" s="10"/>
      <c r="AE865" s="10"/>
    </row>
    <row r="866" spans="1:31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36"/>
      <c r="R866" s="36"/>
      <c r="S866" s="36"/>
      <c r="T866" s="36"/>
      <c r="U866" s="36"/>
      <c r="V866" s="36"/>
      <c r="W866" s="10"/>
      <c r="X866" s="10"/>
      <c r="Y866" s="10"/>
      <c r="Z866" s="10"/>
      <c r="AA866" s="10"/>
      <c r="AB866" s="10"/>
      <c r="AC866" s="10"/>
      <c r="AD866" s="10"/>
      <c r="AE866" s="10"/>
    </row>
    <row r="867" spans="1:31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36"/>
      <c r="R867" s="36"/>
      <c r="S867" s="36"/>
      <c r="T867" s="36"/>
      <c r="U867" s="36"/>
      <c r="V867" s="36"/>
      <c r="W867" s="10"/>
      <c r="X867" s="10"/>
      <c r="Y867" s="10"/>
      <c r="Z867" s="10"/>
      <c r="AA867" s="10"/>
      <c r="AB867" s="10"/>
      <c r="AC867" s="10"/>
      <c r="AD867" s="10"/>
      <c r="AE867" s="10"/>
    </row>
    <row r="868" spans="1:31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36"/>
      <c r="R868" s="36"/>
      <c r="S868" s="36"/>
      <c r="T868" s="36"/>
      <c r="U868" s="36"/>
      <c r="V868" s="36"/>
      <c r="W868" s="10"/>
      <c r="X868" s="10"/>
      <c r="Y868" s="10"/>
      <c r="Z868" s="10"/>
      <c r="AA868" s="10"/>
      <c r="AB868" s="10"/>
      <c r="AC868" s="10"/>
      <c r="AD868" s="10"/>
      <c r="AE868" s="10"/>
    </row>
    <row r="869" spans="1:31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36"/>
      <c r="R869" s="36"/>
      <c r="S869" s="36"/>
      <c r="T869" s="36"/>
      <c r="U869" s="36"/>
      <c r="V869" s="36"/>
      <c r="W869" s="10"/>
      <c r="X869" s="10"/>
      <c r="Y869" s="10"/>
      <c r="Z869" s="10"/>
      <c r="AA869" s="10"/>
      <c r="AB869" s="10"/>
      <c r="AC869" s="10"/>
      <c r="AD869" s="10"/>
      <c r="AE869" s="10"/>
    </row>
    <row r="870" spans="1:31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36"/>
      <c r="R870" s="36"/>
      <c r="S870" s="36"/>
      <c r="T870" s="36"/>
      <c r="U870" s="36"/>
      <c r="V870" s="36"/>
      <c r="W870" s="10"/>
      <c r="X870" s="10"/>
      <c r="Y870" s="10"/>
      <c r="Z870" s="10"/>
      <c r="AA870" s="10"/>
      <c r="AB870" s="10"/>
      <c r="AC870" s="10"/>
      <c r="AD870" s="10"/>
      <c r="AE870" s="10"/>
    </row>
    <row r="871" spans="1:3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36"/>
      <c r="R871" s="36"/>
      <c r="S871" s="36"/>
      <c r="T871" s="36"/>
      <c r="U871" s="36"/>
      <c r="V871" s="36"/>
      <c r="W871" s="10"/>
      <c r="X871" s="10"/>
      <c r="Y871" s="10"/>
      <c r="Z871" s="10"/>
      <c r="AA871" s="10"/>
      <c r="AB871" s="10"/>
      <c r="AC871" s="10"/>
      <c r="AD871" s="10"/>
      <c r="AE871" s="10"/>
    </row>
    <row r="872" spans="1:31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36"/>
      <c r="R872" s="36"/>
      <c r="S872" s="36"/>
      <c r="T872" s="36"/>
      <c r="U872" s="36"/>
      <c r="V872" s="36"/>
      <c r="W872" s="10"/>
      <c r="X872" s="10"/>
      <c r="Y872" s="10"/>
      <c r="Z872" s="10"/>
      <c r="AA872" s="10"/>
      <c r="AB872" s="10"/>
      <c r="AC872" s="10"/>
      <c r="AD872" s="10"/>
      <c r="AE872" s="10"/>
    </row>
    <row r="873" spans="1:31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36"/>
      <c r="R873" s="36"/>
      <c r="S873" s="36"/>
      <c r="T873" s="36"/>
      <c r="U873" s="36"/>
      <c r="V873" s="36"/>
      <c r="W873" s="10"/>
      <c r="X873" s="10"/>
      <c r="Y873" s="10"/>
      <c r="Z873" s="10"/>
      <c r="AA873" s="10"/>
      <c r="AB873" s="10"/>
      <c r="AC873" s="10"/>
      <c r="AD873" s="10"/>
      <c r="AE873" s="10"/>
    </row>
    <row r="874" spans="1:31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36"/>
      <c r="R874" s="36"/>
      <c r="S874" s="36"/>
      <c r="T874" s="36"/>
      <c r="U874" s="36"/>
      <c r="V874" s="36"/>
      <c r="W874" s="10"/>
      <c r="X874" s="10"/>
      <c r="Y874" s="10"/>
      <c r="Z874" s="10"/>
      <c r="AA874" s="10"/>
      <c r="AB874" s="10"/>
      <c r="AC874" s="10"/>
      <c r="AD874" s="10"/>
      <c r="AE874" s="10"/>
    </row>
    <row r="875" spans="1:31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36"/>
      <c r="R875" s="36"/>
      <c r="S875" s="36"/>
      <c r="T875" s="36"/>
      <c r="U875" s="36"/>
      <c r="V875" s="36"/>
      <c r="W875" s="10"/>
      <c r="X875" s="10"/>
      <c r="Y875" s="10"/>
      <c r="Z875" s="10"/>
      <c r="AA875" s="10"/>
      <c r="AB875" s="10"/>
      <c r="AC875" s="10"/>
      <c r="AD875" s="10"/>
      <c r="AE875" s="10"/>
    </row>
    <row r="876" spans="1:31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36"/>
      <c r="R876" s="36"/>
      <c r="S876" s="36"/>
      <c r="T876" s="36"/>
      <c r="U876" s="36"/>
      <c r="V876" s="36"/>
      <c r="W876" s="10"/>
      <c r="X876" s="10"/>
      <c r="Y876" s="10"/>
      <c r="Z876" s="10"/>
      <c r="AA876" s="10"/>
      <c r="AB876" s="10"/>
      <c r="AC876" s="10"/>
      <c r="AD876" s="10"/>
      <c r="AE876" s="10"/>
    </row>
    <row r="877" spans="1:31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36"/>
      <c r="R877" s="36"/>
      <c r="S877" s="36"/>
      <c r="T877" s="36"/>
      <c r="U877" s="36"/>
      <c r="V877" s="36"/>
      <c r="W877" s="10"/>
      <c r="X877" s="10"/>
      <c r="Y877" s="10"/>
      <c r="Z877" s="10"/>
      <c r="AA877" s="10"/>
      <c r="AB877" s="10"/>
      <c r="AC877" s="10"/>
      <c r="AD877" s="10"/>
      <c r="AE877" s="10"/>
    </row>
    <row r="878" spans="1:31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36"/>
      <c r="R878" s="36"/>
      <c r="S878" s="36"/>
      <c r="T878" s="36"/>
      <c r="U878" s="36"/>
      <c r="V878" s="36"/>
      <c r="W878" s="10"/>
      <c r="X878" s="10"/>
      <c r="Y878" s="10"/>
      <c r="Z878" s="10"/>
      <c r="AA878" s="10"/>
      <c r="AB878" s="10"/>
      <c r="AC878" s="10"/>
      <c r="AD878" s="10"/>
      <c r="AE878" s="10"/>
    </row>
    <row r="879" spans="1:31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36"/>
      <c r="R879" s="36"/>
      <c r="S879" s="36"/>
      <c r="T879" s="36"/>
      <c r="U879" s="36"/>
      <c r="V879" s="36"/>
      <c r="W879" s="10"/>
      <c r="X879" s="10"/>
      <c r="Y879" s="10"/>
      <c r="Z879" s="10"/>
      <c r="AA879" s="10"/>
      <c r="AB879" s="10"/>
      <c r="AC879" s="10"/>
      <c r="AD879" s="10"/>
      <c r="AE879" s="10"/>
    </row>
    <row r="880" spans="1:31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36"/>
      <c r="R880" s="36"/>
      <c r="S880" s="36"/>
      <c r="T880" s="36"/>
      <c r="U880" s="36"/>
      <c r="V880" s="36"/>
      <c r="W880" s="10"/>
      <c r="X880" s="10"/>
      <c r="Y880" s="10"/>
      <c r="Z880" s="10"/>
      <c r="AA880" s="10"/>
      <c r="AB880" s="10"/>
      <c r="AC880" s="10"/>
      <c r="AD880" s="10"/>
      <c r="AE880" s="10"/>
    </row>
    <row r="881" spans="1:3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36"/>
      <c r="R881" s="36"/>
      <c r="S881" s="36"/>
      <c r="T881" s="36"/>
      <c r="U881" s="36"/>
      <c r="V881" s="36"/>
      <c r="W881" s="10"/>
      <c r="X881" s="10"/>
      <c r="Y881" s="10"/>
      <c r="Z881" s="10"/>
      <c r="AA881" s="10"/>
      <c r="AB881" s="10"/>
      <c r="AC881" s="10"/>
      <c r="AD881" s="10"/>
      <c r="AE881" s="10"/>
    </row>
    <row r="882" spans="1:31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36"/>
      <c r="R882" s="36"/>
      <c r="S882" s="36"/>
      <c r="T882" s="36"/>
      <c r="U882" s="36"/>
      <c r="V882" s="36"/>
      <c r="W882" s="10"/>
      <c r="X882" s="10"/>
      <c r="Y882" s="10"/>
      <c r="Z882" s="10"/>
      <c r="AA882" s="10"/>
      <c r="AB882" s="10"/>
      <c r="AC882" s="10"/>
      <c r="AD882" s="10"/>
      <c r="AE882" s="10"/>
    </row>
    <row r="883" spans="1:31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36"/>
      <c r="R883" s="36"/>
      <c r="S883" s="36"/>
      <c r="T883" s="36"/>
      <c r="U883" s="36"/>
      <c r="V883" s="36"/>
      <c r="W883" s="10"/>
      <c r="X883" s="10"/>
      <c r="Y883" s="10"/>
      <c r="Z883" s="10"/>
      <c r="AA883" s="10"/>
      <c r="AB883" s="10"/>
      <c r="AC883" s="10"/>
      <c r="AD883" s="10"/>
      <c r="AE883" s="10"/>
    </row>
    <row r="884" spans="1:31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36"/>
      <c r="R884" s="36"/>
      <c r="S884" s="36"/>
      <c r="T884" s="36"/>
      <c r="U884" s="36"/>
      <c r="V884" s="36"/>
      <c r="W884" s="10"/>
      <c r="X884" s="10"/>
      <c r="Y884" s="10"/>
      <c r="Z884" s="10"/>
      <c r="AA884" s="10"/>
      <c r="AB884" s="10"/>
      <c r="AC884" s="10"/>
      <c r="AD884" s="10"/>
      <c r="AE884" s="10"/>
    </row>
    <row r="885" spans="1:31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36"/>
      <c r="R885" s="36"/>
      <c r="S885" s="36"/>
      <c r="T885" s="36"/>
      <c r="U885" s="36"/>
      <c r="V885" s="36"/>
      <c r="W885" s="10"/>
      <c r="X885" s="10"/>
      <c r="Y885" s="10"/>
      <c r="Z885" s="10"/>
      <c r="AA885" s="10"/>
      <c r="AB885" s="10"/>
      <c r="AC885" s="10"/>
      <c r="AD885" s="10"/>
      <c r="AE885" s="10"/>
    </row>
    <row r="886" spans="1:31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36"/>
      <c r="R886" s="36"/>
      <c r="S886" s="36"/>
      <c r="T886" s="36"/>
      <c r="U886" s="36"/>
      <c r="V886" s="36"/>
      <c r="W886" s="10"/>
      <c r="X886" s="10"/>
      <c r="Y886" s="10"/>
      <c r="Z886" s="10"/>
      <c r="AA886" s="10"/>
      <c r="AB886" s="10"/>
      <c r="AC886" s="10"/>
      <c r="AD886" s="10"/>
      <c r="AE886" s="10"/>
    </row>
    <row r="887" spans="1:31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36"/>
      <c r="R887" s="36"/>
      <c r="S887" s="36"/>
      <c r="T887" s="36"/>
      <c r="U887" s="36"/>
      <c r="V887" s="36"/>
      <c r="W887" s="10"/>
      <c r="X887" s="10"/>
      <c r="Y887" s="10"/>
      <c r="Z887" s="10"/>
      <c r="AA887" s="10"/>
      <c r="AB887" s="10"/>
      <c r="AC887" s="10"/>
      <c r="AD887" s="10"/>
      <c r="AE887" s="10"/>
    </row>
    <row r="888" spans="1:31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36"/>
      <c r="R888" s="36"/>
      <c r="S888" s="36"/>
      <c r="T888" s="36"/>
      <c r="U888" s="36"/>
      <c r="V888" s="36"/>
      <c r="W888" s="10"/>
      <c r="X888" s="10"/>
      <c r="Y888" s="10"/>
      <c r="Z888" s="10"/>
      <c r="AA888" s="10"/>
      <c r="AB888" s="10"/>
      <c r="AC888" s="10"/>
      <c r="AD888" s="10"/>
      <c r="AE888" s="10"/>
    </row>
    <row r="889" spans="1:31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36"/>
      <c r="R889" s="36"/>
      <c r="S889" s="36"/>
      <c r="T889" s="36"/>
      <c r="U889" s="36"/>
      <c r="V889" s="36"/>
      <c r="W889" s="10"/>
      <c r="X889" s="10"/>
      <c r="Y889" s="10"/>
      <c r="Z889" s="10"/>
      <c r="AA889" s="10"/>
      <c r="AB889" s="10"/>
      <c r="AC889" s="10"/>
      <c r="AD889" s="10"/>
      <c r="AE889" s="10"/>
    </row>
    <row r="890" spans="1:31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36"/>
      <c r="R890" s="36"/>
      <c r="S890" s="36"/>
      <c r="T890" s="36"/>
      <c r="U890" s="36"/>
      <c r="V890" s="36"/>
      <c r="W890" s="10"/>
      <c r="X890" s="10"/>
      <c r="Y890" s="10"/>
      <c r="Z890" s="10"/>
      <c r="AA890" s="10"/>
      <c r="AB890" s="10"/>
      <c r="AC890" s="10"/>
      <c r="AD890" s="10"/>
      <c r="AE890" s="10"/>
    </row>
    <row r="891" spans="1:3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36"/>
      <c r="R891" s="36"/>
      <c r="S891" s="36"/>
      <c r="T891" s="36"/>
      <c r="U891" s="36"/>
      <c r="V891" s="36"/>
      <c r="W891" s="10"/>
      <c r="X891" s="10"/>
      <c r="Y891" s="10"/>
      <c r="Z891" s="10"/>
      <c r="AA891" s="10"/>
      <c r="AB891" s="10"/>
      <c r="AC891" s="10"/>
      <c r="AD891" s="10"/>
      <c r="AE891" s="10"/>
    </row>
    <row r="892" spans="1:31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36"/>
      <c r="R892" s="36"/>
      <c r="S892" s="36"/>
      <c r="T892" s="36"/>
      <c r="U892" s="36"/>
      <c r="V892" s="36"/>
      <c r="W892" s="10"/>
      <c r="X892" s="10"/>
      <c r="Y892" s="10"/>
      <c r="Z892" s="10"/>
      <c r="AA892" s="10"/>
      <c r="AB892" s="10"/>
      <c r="AC892" s="10"/>
      <c r="AD892" s="10"/>
      <c r="AE892" s="10"/>
    </row>
    <row r="893" spans="1:31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36"/>
      <c r="R893" s="36"/>
      <c r="S893" s="36"/>
      <c r="T893" s="36"/>
      <c r="U893" s="36"/>
      <c r="V893" s="36"/>
      <c r="W893" s="10"/>
      <c r="X893" s="10"/>
      <c r="Y893" s="10"/>
      <c r="Z893" s="10"/>
      <c r="AA893" s="10"/>
      <c r="AB893" s="10"/>
      <c r="AC893" s="10"/>
      <c r="AD893" s="10"/>
      <c r="AE893" s="10"/>
    </row>
    <row r="894" spans="1:31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36"/>
      <c r="R894" s="36"/>
      <c r="S894" s="36"/>
      <c r="T894" s="36"/>
      <c r="U894" s="36"/>
      <c r="V894" s="36"/>
      <c r="W894" s="10"/>
      <c r="X894" s="10"/>
      <c r="Y894" s="10"/>
      <c r="Z894" s="10"/>
      <c r="AA894" s="10"/>
      <c r="AB894" s="10"/>
      <c r="AC894" s="10"/>
      <c r="AD894" s="10"/>
      <c r="AE894" s="10"/>
    </row>
    <row r="895" spans="1:31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36"/>
      <c r="R895" s="36"/>
      <c r="S895" s="36"/>
      <c r="T895" s="36"/>
      <c r="U895" s="36"/>
      <c r="V895" s="36"/>
      <c r="W895" s="10"/>
      <c r="X895" s="10"/>
      <c r="Y895" s="10"/>
      <c r="Z895" s="10"/>
      <c r="AA895" s="10"/>
      <c r="AB895" s="10"/>
      <c r="AC895" s="10"/>
      <c r="AD895" s="10"/>
      <c r="AE895" s="10"/>
    </row>
    <row r="896" spans="1:31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36"/>
      <c r="R896" s="36"/>
      <c r="S896" s="36"/>
      <c r="T896" s="36"/>
      <c r="U896" s="36"/>
      <c r="V896" s="36"/>
      <c r="W896" s="10"/>
      <c r="X896" s="10"/>
      <c r="Y896" s="10"/>
      <c r="Z896" s="10"/>
      <c r="AA896" s="10"/>
      <c r="AB896" s="10"/>
      <c r="AC896" s="10"/>
      <c r="AD896" s="10"/>
      <c r="AE896" s="10"/>
    </row>
    <row r="897" spans="1:31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36"/>
      <c r="R897" s="36"/>
      <c r="S897" s="36"/>
      <c r="T897" s="36"/>
      <c r="U897" s="36"/>
      <c r="V897" s="36"/>
      <c r="W897" s="10"/>
      <c r="X897" s="10"/>
      <c r="Y897" s="10"/>
      <c r="Z897" s="10"/>
      <c r="AA897" s="10"/>
      <c r="AB897" s="10"/>
      <c r="AC897" s="10"/>
      <c r="AD897" s="10"/>
      <c r="AE897" s="10"/>
    </row>
    <row r="898" spans="1:31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36"/>
      <c r="R898" s="36"/>
      <c r="S898" s="36"/>
      <c r="T898" s="36"/>
      <c r="U898" s="36"/>
      <c r="V898" s="36"/>
      <c r="W898" s="10"/>
      <c r="X898" s="10"/>
      <c r="Y898" s="10"/>
      <c r="Z898" s="10"/>
      <c r="AA898" s="10"/>
      <c r="AB898" s="10"/>
      <c r="AC898" s="10"/>
      <c r="AD898" s="10"/>
      <c r="AE898" s="10"/>
    </row>
    <row r="899" spans="1:31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36"/>
      <c r="R899" s="36"/>
      <c r="S899" s="36"/>
      <c r="T899" s="36"/>
      <c r="U899" s="36"/>
      <c r="V899" s="36"/>
      <c r="W899" s="10"/>
      <c r="X899" s="10"/>
      <c r="Y899" s="10"/>
      <c r="Z899" s="10"/>
      <c r="AA899" s="10"/>
      <c r="AB899" s="10"/>
      <c r="AC899" s="10"/>
      <c r="AD899" s="10"/>
      <c r="AE899" s="10"/>
    </row>
    <row r="900" spans="1:31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36"/>
      <c r="R900" s="36"/>
      <c r="S900" s="36"/>
      <c r="T900" s="36"/>
      <c r="U900" s="36"/>
      <c r="V900" s="36"/>
      <c r="W900" s="10"/>
      <c r="X900" s="10"/>
      <c r="Y900" s="10"/>
      <c r="Z900" s="10"/>
      <c r="AA900" s="10"/>
      <c r="AB900" s="10"/>
      <c r="AC900" s="10"/>
      <c r="AD900" s="10"/>
      <c r="AE900" s="10"/>
    </row>
    <row r="901" spans="1:3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36"/>
      <c r="R901" s="36"/>
      <c r="S901" s="36"/>
      <c r="T901" s="36"/>
      <c r="U901" s="36"/>
      <c r="V901" s="36"/>
      <c r="W901" s="10"/>
      <c r="X901" s="10"/>
      <c r="Y901" s="10"/>
      <c r="Z901" s="10"/>
      <c r="AA901" s="10"/>
      <c r="AB901" s="10"/>
      <c r="AC901" s="10"/>
      <c r="AD901" s="10"/>
      <c r="AE901" s="10"/>
    </row>
    <row r="902" spans="1:31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36"/>
      <c r="R902" s="36"/>
      <c r="S902" s="36"/>
      <c r="T902" s="36"/>
      <c r="U902" s="36"/>
      <c r="V902" s="36"/>
      <c r="W902" s="10"/>
      <c r="X902" s="10"/>
      <c r="Y902" s="10"/>
      <c r="Z902" s="10"/>
      <c r="AA902" s="10"/>
      <c r="AB902" s="10"/>
      <c r="AC902" s="10"/>
      <c r="AD902" s="10"/>
      <c r="AE902" s="10"/>
    </row>
    <row r="903" spans="1:31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36"/>
      <c r="R903" s="36"/>
      <c r="S903" s="36"/>
      <c r="T903" s="36"/>
      <c r="U903" s="36"/>
      <c r="V903" s="36"/>
      <c r="W903" s="10"/>
      <c r="X903" s="10"/>
      <c r="Y903" s="10"/>
      <c r="Z903" s="10"/>
      <c r="AA903" s="10"/>
      <c r="AB903" s="10"/>
      <c r="AC903" s="10"/>
      <c r="AD903" s="10"/>
      <c r="AE903" s="10"/>
    </row>
    <row r="904" spans="1:31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36"/>
      <c r="R904" s="36"/>
      <c r="S904" s="36"/>
      <c r="T904" s="36"/>
      <c r="U904" s="36"/>
      <c r="V904" s="36"/>
      <c r="W904" s="10"/>
      <c r="X904" s="10"/>
      <c r="Y904" s="10"/>
      <c r="Z904" s="10"/>
      <c r="AA904" s="10"/>
      <c r="AB904" s="10"/>
      <c r="AC904" s="10"/>
      <c r="AD904" s="10"/>
      <c r="AE904" s="10"/>
    </row>
    <row r="905" spans="1:31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36"/>
      <c r="R905" s="36"/>
      <c r="S905" s="36"/>
      <c r="T905" s="36"/>
      <c r="U905" s="36"/>
      <c r="V905" s="36"/>
      <c r="W905" s="10"/>
      <c r="X905" s="10"/>
      <c r="Y905" s="10"/>
      <c r="Z905" s="10"/>
      <c r="AA905" s="10"/>
      <c r="AB905" s="10"/>
      <c r="AC905" s="10"/>
      <c r="AD905" s="10"/>
      <c r="AE905" s="10"/>
    </row>
    <row r="906" spans="1:31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36"/>
      <c r="R906" s="36"/>
      <c r="S906" s="36"/>
      <c r="T906" s="36"/>
      <c r="U906" s="36"/>
      <c r="V906" s="36"/>
      <c r="W906" s="10"/>
      <c r="X906" s="10"/>
      <c r="Y906" s="10"/>
      <c r="Z906" s="10"/>
      <c r="AA906" s="10"/>
      <c r="AB906" s="10"/>
      <c r="AC906" s="10"/>
      <c r="AD906" s="10"/>
      <c r="AE906" s="10"/>
    </row>
    <row r="907" spans="1:31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36"/>
      <c r="R907" s="36"/>
      <c r="S907" s="36"/>
      <c r="T907" s="36"/>
      <c r="U907" s="36"/>
      <c r="V907" s="36"/>
      <c r="W907" s="10"/>
      <c r="X907" s="10"/>
      <c r="Y907" s="10"/>
      <c r="Z907" s="10"/>
      <c r="AA907" s="10"/>
      <c r="AB907" s="10"/>
      <c r="AC907" s="10"/>
      <c r="AD907" s="10"/>
      <c r="AE907" s="10"/>
    </row>
    <row r="908" spans="1:31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36"/>
      <c r="R908" s="36"/>
      <c r="S908" s="36"/>
      <c r="T908" s="36"/>
      <c r="U908" s="36"/>
      <c r="V908" s="36"/>
      <c r="W908" s="10"/>
      <c r="X908" s="10"/>
      <c r="Y908" s="10"/>
      <c r="Z908" s="10"/>
      <c r="AA908" s="10"/>
      <c r="AB908" s="10"/>
      <c r="AC908" s="10"/>
      <c r="AD908" s="10"/>
      <c r="AE908" s="10"/>
    </row>
    <row r="909" spans="1:31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36"/>
      <c r="R909" s="36"/>
      <c r="S909" s="36"/>
      <c r="T909" s="36"/>
      <c r="U909" s="36"/>
      <c r="V909" s="36"/>
      <c r="W909" s="10"/>
      <c r="X909" s="10"/>
      <c r="Y909" s="10"/>
      <c r="Z909" s="10"/>
      <c r="AA909" s="10"/>
      <c r="AB909" s="10"/>
      <c r="AC909" s="10"/>
      <c r="AD909" s="10"/>
      <c r="AE909" s="10"/>
    </row>
    <row r="910" spans="1:31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36"/>
      <c r="R910" s="36"/>
      <c r="S910" s="36"/>
      <c r="T910" s="36"/>
      <c r="U910" s="36"/>
      <c r="V910" s="36"/>
      <c r="W910" s="10"/>
      <c r="X910" s="10"/>
      <c r="Y910" s="10"/>
      <c r="Z910" s="10"/>
      <c r="AA910" s="10"/>
      <c r="AB910" s="10"/>
      <c r="AC910" s="10"/>
      <c r="AD910" s="10"/>
      <c r="AE910" s="10"/>
    </row>
    <row r="911" spans="1:3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36"/>
      <c r="R911" s="36"/>
      <c r="S911" s="36"/>
      <c r="T911" s="36"/>
      <c r="U911" s="36"/>
      <c r="V911" s="36"/>
      <c r="W911" s="10"/>
      <c r="X911" s="10"/>
      <c r="Y911" s="10"/>
      <c r="Z911" s="10"/>
      <c r="AA911" s="10"/>
      <c r="AB911" s="10"/>
      <c r="AC911" s="10"/>
      <c r="AD911" s="10"/>
      <c r="AE911" s="10"/>
    </row>
    <row r="912" spans="1:31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36"/>
      <c r="R912" s="36"/>
      <c r="S912" s="36"/>
      <c r="T912" s="36"/>
      <c r="U912" s="36"/>
      <c r="V912" s="36"/>
      <c r="W912" s="10"/>
      <c r="X912" s="10"/>
      <c r="Y912" s="10"/>
      <c r="Z912" s="10"/>
      <c r="AA912" s="10"/>
      <c r="AB912" s="10"/>
      <c r="AC912" s="10"/>
      <c r="AD912" s="10"/>
      <c r="AE912" s="10"/>
    </row>
    <row r="913" spans="1:31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36"/>
      <c r="R913" s="36"/>
      <c r="S913" s="36"/>
      <c r="T913" s="36"/>
      <c r="U913" s="36"/>
      <c r="V913" s="36"/>
      <c r="W913" s="10"/>
      <c r="X913" s="10"/>
      <c r="Y913" s="10"/>
      <c r="Z913" s="10"/>
      <c r="AA913" s="10"/>
      <c r="AB913" s="10"/>
      <c r="AC913" s="10"/>
      <c r="AD913" s="10"/>
      <c r="AE913" s="10"/>
    </row>
    <row r="914" spans="1:31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36"/>
      <c r="R914" s="36"/>
      <c r="S914" s="36"/>
      <c r="T914" s="36"/>
      <c r="U914" s="36"/>
      <c r="V914" s="36"/>
      <c r="W914" s="10"/>
      <c r="X914" s="10"/>
      <c r="Y914" s="10"/>
      <c r="Z914" s="10"/>
      <c r="AA914" s="10"/>
      <c r="AB914" s="10"/>
      <c r="AC914" s="10"/>
      <c r="AD914" s="10"/>
      <c r="AE914" s="10"/>
    </row>
    <row r="915" spans="1:31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36"/>
      <c r="R915" s="36"/>
      <c r="S915" s="36"/>
      <c r="T915" s="36"/>
      <c r="U915" s="36"/>
      <c r="V915" s="36"/>
      <c r="W915" s="10"/>
      <c r="X915" s="10"/>
      <c r="Y915" s="10"/>
      <c r="Z915" s="10"/>
      <c r="AA915" s="10"/>
      <c r="AB915" s="10"/>
      <c r="AC915" s="10"/>
      <c r="AD915" s="10"/>
      <c r="AE915" s="10"/>
    </row>
    <row r="916" spans="1:31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36"/>
      <c r="R916" s="36"/>
      <c r="S916" s="36"/>
      <c r="T916" s="36"/>
      <c r="U916" s="36"/>
      <c r="V916" s="36"/>
      <c r="W916" s="10"/>
      <c r="X916" s="10"/>
      <c r="Y916" s="10"/>
      <c r="Z916" s="10"/>
      <c r="AA916" s="10"/>
      <c r="AB916" s="10"/>
      <c r="AC916" s="10"/>
      <c r="AD916" s="10"/>
      <c r="AE916" s="10"/>
    </row>
    <row r="917" spans="1:31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36"/>
      <c r="R917" s="36"/>
      <c r="S917" s="36"/>
      <c r="T917" s="36"/>
      <c r="U917" s="36"/>
      <c r="V917" s="36"/>
      <c r="W917" s="10"/>
      <c r="X917" s="10"/>
      <c r="Y917" s="10"/>
      <c r="Z917" s="10"/>
      <c r="AA917" s="10"/>
      <c r="AB917" s="10"/>
      <c r="AC917" s="10"/>
      <c r="AD917" s="10"/>
      <c r="AE917" s="10"/>
    </row>
    <row r="918" spans="1:31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36"/>
      <c r="R918" s="36"/>
      <c r="S918" s="36"/>
      <c r="T918" s="36"/>
      <c r="U918" s="36"/>
      <c r="V918" s="36"/>
      <c r="W918" s="10"/>
      <c r="X918" s="10"/>
      <c r="Y918" s="10"/>
      <c r="Z918" s="10"/>
      <c r="AA918" s="10"/>
      <c r="AB918" s="10"/>
      <c r="AC918" s="10"/>
      <c r="AD918" s="10"/>
      <c r="AE918" s="10"/>
    </row>
    <row r="919" spans="1:31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36"/>
      <c r="R919" s="36"/>
      <c r="S919" s="36"/>
      <c r="T919" s="36"/>
      <c r="U919" s="36"/>
      <c r="V919" s="36"/>
      <c r="W919" s="10"/>
      <c r="X919" s="10"/>
      <c r="Y919" s="10"/>
      <c r="Z919" s="10"/>
      <c r="AA919" s="10"/>
      <c r="AB919" s="10"/>
      <c r="AC919" s="10"/>
      <c r="AD919" s="10"/>
      <c r="AE919" s="10"/>
    </row>
    <row r="920" spans="1:31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36"/>
      <c r="R920" s="36"/>
      <c r="S920" s="36"/>
      <c r="T920" s="36"/>
      <c r="U920" s="36"/>
      <c r="V920" s="36"/>
      <c r="W920" s="10"/>
      <c r="X920" s="10"/>
      <c r="Y920" s="10"/>
      <c r="Z920" s="10"/>
      <c r="AA920" s="10"/>
      <c r="AB920" s="10"/>
      <c r="AC920" s="10"/>
      <c r="AD920" s="10"/>
      <c r="AE920" s="10"/>
    </row>
    <row r="921" spans="1:3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36"/>
      <c r="R921" s="36"/>
      <c r="S921" s="36"/>
      <c r="T921" s="36"/>
      <c r="U921" s="36"/>
      <c r="V921" s="36"/>
      <c r="W921" s="10"/>
      <c r="X921" s="10"/>
      <c r="Y921" s="10"/>
      <c r="Z921" s="10"/>
      <c r="AA921" s="10"/>
      <c r="AB921" s="10"/>
      <c r="AC921" s="10"/>
      <c r="AD921" s="10"/>
      <c r="AE921" s="10"/>
    </row>
    <row r="922" spans="1:31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36"/>
      <c r="R922" s="36"/>
      <c r="S922" s="36"/>
      <c r="T922" s="36"/>
      <c r="U922" s="36"/>
      <c r="V922" s="36"/>
      <c r="W922" s="10"/>
      <c r="X922" s="10"/>
      <c r="Y922" s="10"/>
      <c r="Z922" s="10"/>
      <c r="AA922" s="10"/>
      <c r="AB922" s="10"/>
      <c r="AC922" s="10"/>
      <c r="AD922" s="10"/>
      <c r="AE922" s="10"/>
    </row>
    <row r="923" spans="1:31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36"/>
      <c r="R923" s="36"/>
      <c r="S923" s="36"/>
      <c r="T923" s="36"/>
      <c r="U923" s="36"/>
      <c r="V923" s="36"/>
      <c r="W923" s="10"/>
      <c r="X923" s="10"/>
      <c r="Y923" s="10"/>
      <c r="Z923" s="10"/>
      <c r="AA923" s="10"/>
      <c r="AB923" s="10"/>
      <c r="AC923" s="10"/>
      <c r="AD923" s="10"/>
      <c r="AE923" s="10"/>
    </row>
    <row r="924" spans="1:31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36"/>
      <c r="R924" s="36"/>
      <c r="S924" s="36"/>
      <c r="T924" s="36"/>
      <c r="U924" s="36"/>
      <c r="V924" s="36"/>
      <c r="W924" s="10"/>
      <c r="X924" s="10"/>
      <c r="Y924" s="10"/>
      <c r="Z924" s="10"/>
      <c r="AA924" s="10"/>
      <c r="AB924" s="10"/>
      <c r="AC924" s="10"/>
      <c r="AD924" s="10"/>
      <c r="AE924" s="10"/>
    </row>
    <row r="925" spans="1:31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36"/>
      <c r="R925" s="36"/>
      <c r="S925" s="36"/>
      <c r="T925" s="36"/>
      <c r="U925" s="36"/>
      <c r="V925" s="36"/>
      <c r="W925" s="10"/>
      <c r="X925" s="10"/>
      <c r="Y925" s="10"/>
      <c r="Z925" s="10"/>
      <c r="AA925" s="10"/>
      <c r="AB925" s="10"/>
      <c r="AC925" s="10"/>
      <c r="AD925" s="10"/>
      <c r="AE925" s="10"/>
    </row>
    <row r="926" spans="1:31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36"/>
      <c r="R926" s="36"/>
      <c r="S926" s="36"/>
      <c r="T926" s="36"/>
      <c r="U926" s="36"/>
      <c r="V926" s="36"/>
      <c r="W926" s="10"/>
      <c r="X926" s="10"/>
      <c r="Y926" s="10"/>
      <c r="Z926" s="10"/>
      <c r="AA926" s="10"/>
      <c r="AB926" s="10"/>
      <c r="AC926" s="10"/>
      <c r="AD926" s="10"/>
      <c r="AE926" s="10"/>
    </row>
    <row r="927" spans="1:31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36"/>
      <c r="R927" s="36"/>
      <c r="S927" s="36"/>
      <c r="T927" s="36"/>
      <c r="U927" s="36"/>
      <c r="V927" s="36"/>
      <c r="W927" s="10"/>
      <c r="X927" s="10"/>
      <c r="Y927" s="10"/>
      <c r="Z927" s="10"/>
      <c r="AA927" s="10"/>
      <c r="AB927" s="10"/>
      <c r="AC927" s="10"/>
      <c r="AD927" s="10"/>
      <c r="AE927" s="10"/>
    </row>
    <row r="928" spans="1:31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36"/>
      <c r="R928" s="36"/>
      <c r="S928" s="36"/>
      <c r="T928" s="36"/>
      <c r="U928" s="36"/>
      <c r="V928" s="36"/>
      <c r="W928" s="10"/>
      <c r="X928" s="10"/>
      <c r="Y928" s="10"/>
      <c r="Z928" s="10"/>
      <c r="AA928" s="10"/>
      <c r="AB928" s="10"/>
      <c r="AC928" s="10"/>
      <c r="AD928" s="10"/>
      <c r="AE928" s="10"/>
    </row>
    <row r="929" spans="1:31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36"/>
      <c r="R929" s="36"/>
      <c r="S929" s="36"/>
      <c r="T929" s="36"/>
      <c r="U929" s="36"/>
      <c r="V929" s="36"/>
      <c r="W929" s="10"/>
      <c r="X929" s="10"/>
      <c r="Y929" s="10"/>
      <c r="Z929" s="10"/>
      <c r="AA929" s="10"/>
      <c r="AB929" s="10"/>
      <c r="AC929" s="10"/>
      <c r="AD929" s="10"/>
      <c r="AE929" s="10"/>
    </row>
    <row r="930" spans="1:31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36"/>
      <c r="R930" s="36"/>
      <c r="S930" s="36"/>
      <c r="T930" s="36"/>
      <c r="U930" s="36"/>
      <c r="V930" s="36"/>
      <c r="W930" s="10"/>
      <c r="X930" s="10"/>
      <c r="Y930" s="10"/>
      <c r="Z930" s="10"/>
      <c r="AA930" s="10"/>
      <c r="AB930" s="10"/>
      <c r="AC930" s="10"/>
      <c r="AD930" s="10"/>
      <c r="AE930" s="10"/>
    </row>
    <row r="931" spans="1: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36"/>
      <c r="R931" s="36"/>
      <c r="S931" s="36"/>
      <c r="T931" s="36"/>
      <c r="U931" s="36"/>
      <c r="V931" s="36"/>
      <c r="W931" s="10"/>
      <c r="X931" s="10"/>
      <c r="Y931" s="10"/>
      <c r="Z931" s="10"/>
      <c r="AA931" s="10"/>
      <c r="AB931" s="10"/>
      <c r="AC931" s="10"/>
      <c r="AD931" s="10"/>
      <c r="AE931" s="10"/>
    </row>
    <row r="932" spans="1:31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36"/>
      <c r="R932" s="36"/>
      <c r="S932" s="36"/>
      <c r="T932" s="36"/>
      <c r="U932" s="36"/>
      <c r="V932" s="36"/>
      <c r="W932" s="10"/>
      <c r="X932" s="10"/>
      <c r="Y932" s="10"/>
      <c r="Z932" s="10"/>
      <c r="AA932" s="10"/>
      <c r="AB932" s="10"/>
      <c r="AC932" s="10"/>
      <c r="AD932" s="10"/>
      <c r="AE932" s="10"/>
    </row>
    <row r="933" spans="1:31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36"/>
      <c r="R933" s="36"/>
      <c r="S933" s="36"/>
      <c r="T933" s="36"/>
      <c r="U933" s="36"/>
      <c r="V933" s="36"/>
      <c r="W933" s="10"/>
      <c r="X933" s="10"/>
      <c r="Y933" s="10"/>
      <c r="Z933" s="10"/>
      <c r="AA933" s="10"/>
      <c r="AB933" s="10"/>
      <c r="AC933" s="10"/>
      <c r="AD933" s="10"/>
      <c r="AE933" s="10"/>
    </row>
    <row r="934" spans="1:31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36"/>
      <c r="R934" s="36"/>
      <c r="S934" s="36"/>
      <c r="T934" s="36"/>
      <c r="U934" s="36"/>
      <c r="V934" s="36"/>
      <c r="W934" s="10"/>
      <c r="X934" s="10"/>
      <c r="Y934" s="10"/>
      <c r="Z934" s="10"/>
      <c r="AA934" s="10"/>
      <c r="AB934" s="10"/>
      <c r="AC934" s="10"/>
      <c r="AD934" s="10"/>
      <c r="AE934" s="10"/>
    </row>
    <row r="935" spans="1:31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36"/>
      <c r="R935" s="36"/>
      <c r="S935" s="36"/>
      <c r="T935" s="36"/>
      <c r="U935" s="36"/>
      <c r="V935" s="36"/>
      <c r="W935" s="10"/>
      <c r="X935" s="10"/>
      <c r="Y935" s="10"/>
      <c r="Z935" s="10"/>
      <c r="AA935" s="10"/>
      <c r="AB935" s="10"/>
      <c r="AC935" s="10"/>
      <c r="AD935" s="10"/>
      <c r="AE935" s="10"/>
    </row>
    <row r="936" spans="1:31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36"/>
      <c r="R936" s="36"/>
      <c r="S936" s="36"/>
      <c r="T936" s="36"/>
      <c r="U936" s="36"/>
      <c r="V936" s="36"/>
      <c r="W936" s="10"/>
      <c r="X936" s="10"/>
      <c r="Y936" s="10"/>
      <c r="Z936" s="10"/>
      <c r="AA936" s="10"/>
      <c r="AB936" s="10"/>
      <c r="AC936" s="10"/>
      <c r="AD936" s="10"/>
      <c r="AE936" s="10"/>
    </row>
    <row r="937" spans="1:31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36"/>
      <c r="R937" s="36"/>
      <c r="S937" s="36"/>
      <c r="T937" s="36"/>
      <c r="U937" s="36"/>
      <c r="V937" s="36"/>
      <c r="W937" s="10"/>
      <c r="X937" s="10"/>
      <c r="Y937" s="10"/>
      <c r="Z937" s="10"/>
      <c r="AA937" s="10"/>
      <c r="AB937" s="10"/>
      <c r="AC937" s="10"/>
      <c r="AD937" s="10"/>
      <c r="AE937" s="10"/>
    </row>
    <row r="938" spans="1:31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36"/>
      <c r="R938" s="36"/>
      <c r="S938" s="36"/>
      <c r="T938" s="36"/>
      <c r="U938" s="36"/>
      <c r="V938" s="36"/>
      <c r="W938" s="10"/>
      <c r="X938" s="10"/>
      <c r="Y938" s="10"/>
      <c r="Z938" s="10"/>
      <c r="AA938" s="10"/>
      <c r="AB938" s="10"/>
      <c r="AC938" s="10"/>
      <c r="AD938" s="10"/>
      <c r="AE938" s="10"/>
    </row>
    <row r="939" spans="1:31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36"/>
      <c r="R939" s="36"/>
      <c r="S939" s="36"/>
      <c r="T939" s="36"/>
      <c r="U939" s="36"/>
      <c r="V939" s="36"/>
      <c r="W939" s="10"/>
      <c r="X939" s="10"/>
      <c r="Y939" s="10"/>
      <c r="Z939" s="10"/>
      <c r="AA939" s="10"/>
      <c r="AB939" s="10"/>
      <c r="AC939" s="10"/>
      <c r="AD939" s="10"/>
      <c r="AE939" s="10"/>
    </row>
    <row r="940" spans="1:31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36"/>
      <c r="R940" s="36"/>
      <c r="S940" s="36"/>
      <c r="T940" s="36"/>
      <c r="U940" s="36"/>
      <c r="V940" s="36"/>
      <c r="W940" s="10"/>
      <c r="X940" s="10"/>
      <c r="Y940" s="10"/>
      <c r="Z940" s="10"/>
      <c r="AA940" s="10"/>
      <c r="AB940" s="10"/>
      <c r="AC940" s="10"/>
      <c r="AD940" s="10"/>
      <c r="AE940" s="10"/>
    </row>
    <row r="941" spans="1:3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36"/>
      <c r="R941" s="36"/>
      <c r="S941" s="36"/>
      <c r="T941" s="36"/>
      <c r="U941" s="36"/>
      <c r="V941" s="36"/>
      <c r="W941" s="10"/>
      <c r="X941" s="10"/>
      <c r="Y941" s="10"/>
      <c r="Z941" s="10"/>
      <c r="AA941" s="10"/>
      <c r="AB941" s="10"/>
      <c r="AC941" s="10"/>
      <c r="AD941" s="10"/>
      <c r="AE941" s="10"/>
    </row>
    <row r="942" spans="1:31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36"/>
      <c r="R942" s="36"/>
      <c r="S942" s="36"/>
      <c r="T942" s="36"/>
      <c r="U942" s="36"/>
      <c r="V942" s="36"/>
      <c r="W942" s="10"/>
      <c r="X942" s="10"/>
      <c r="Y942" s="10"/>
      <c r="Z942" s="10"/>
      <c r="AA942" s="10"/>
      <c r="AB942" s="10"/>
      <c r="AC942" s="10"/>
      <c r="AD942" s="10"/>
      <c r="AE942" s="10"/>
    </row>
    <row r="943" spans="1:31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36"/>
      <c r="R943" s="36"/>
      <c r="S943" s="36"/>
      <c r="T943" s="36"/>
      <c r="U943" s="36"/>
      <c r="V943" s="36"/>
      <c r="W943" s="10"/>
      <c r="X943" s="10"/>
      <c r="Y943" s="10"/>
      <c r="Z943" s="10"/>
      <c r="AA943" s="10"/>
      <c r="AB943" s="10"/>
      <c r="AC943" s="10"/>
      <c r="AD943" s="10"/>
      <c r="AE943" s="10"/>
    </row>
    <row r="944" spans="1:31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36"/>
      <c r="R944" s="36"/>
      <c r="S944" s="36"/>
      <c r="T944" s="36"/>
      <c r="U944" s="36"/>
      <c r="V944" s="36"/>
      <c r="W944" s="10"/>
      <c r="X944" s="10"/>
      <c r="Y944" s="10"/>
      <c r="Z944" s="10"/>
      <c r="AA944" s="10"/>
      <c r="AB944" s="10"/>
      <c r="AC944" s="10"/>
      <c r="AD944" s="10"/>
      <c r="AE944" s="10"/>
    </row>
    <row r="945" spans="1:31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36"/>
      <c r="R945" s="36"/>
      <c r="S945" s="36"/>
      <c r="T945" s="36"/>
      <c r="U945" s="36"/>
      <c r="V945" s="36"/>
      <c r="W945" s="10"/>
      <c r="X945" s="10"/>
      <c r="Y945" s="10"/>
      <c r="Z945" s="10"/>
      <c r="AA945" s="10"/>
      <c r="AB945" s="10"/>
      <c r="AC945" s="10"/>
      <c r="AD945" s="10"/>
      <c r="AE945" s="10"/>
    </row>
    <row r="946" spans="1:31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36"/>
      <c r="R946" s="36"/>
      <c r="S946" s="36"/>
      <c r="T946" s="36"/>
      <c r="U946" s="36"/>
      <c r="V946" s="36"/>
      <c r="W946" s="10"/>
      <c r="X946" s="10"/>
      <c r="Y946" s="10"/>
      <c r="Z946" s="10"/>
      <c r="AA946" s="10"/>
      <c r="AB946" s="10"/>
      <c r="AC946" s="10"/>
      <c r="AD946" s="10"/>
      <c r="AE946" s="10"/>
    </row>
    <row r="947" spans="1:31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36"/>
      <c r="R947" s="36"/>
      <c r="S947" s="36"/>
      <c r="T947" s="36"/>
      <c r="U947" s="36"/>
      <c r="V947" s="36"/>
      <c r="W947" s="10"/>
      <c r="X947" s="10"/>
      <c r="Y947" s="10"/>
      <c r="Z947" s="10"/>
      <c r="AA947" s="10"/>
      <c r="AB947" s="10"/>
      <c r="AC947" s="10"/>
      <c r="AD947" s="10"/>
      <c r="AE947" s="10"/>
    </row>
    <row r="948" spans="1:31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36"/>
      <c r="R948" s="36"/>
      <c r="S948" s="36"/>
      <c r="T948" s="36"/>
      <c r="U948" s="36"/>
      <c r="V948" s="36"/>
      <c r="W948" s="10"/>
      <c r="X948" s="10"/>
      <c r="Y948" s="10"/>
      <c r="Z948" s="10"/>
      <c r="AA948" s="10"/>
      <c r="AB948" s="10"/>
      <c r="AC948" s="10"/>
      <c r="AD948" s="10"/>
      <c r="AE948" s="10"/>
    </row>
    <row r="949" spans="1:31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36"/>
      <c r="R949" s="36"/>
      <c r="S949" s="36"/>
      <c r="T949" s="36"/>
      <c r="U949" s="36"/>
      <c r="V949" s="36"/>
      <c r="W949" s="10"/>
      <c r="X949" s="10"/>
      <c r="Y949" s="10"/>
      <c r="Z949" s="10"/>
      <c r="AA949" s="10"/>
      <c r="AB949" s="10"/>
      <c r="AC949" s="10"/>
      <c r="AD949" s="10"/>
      <c r="AE949" s="10"/>
    </row>
    <row r="950" spans="1:31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36"/>
      <c r="R950" s="36"/>
      <c r="S950" s="36"/>
      <c r="T950" s="36"/>
      <c r="U950" s="36"/>
      <c r="V950" s="36"/>
      <c r="W950" s="10"/>
      <c r="X950" s="10"/>
      <c r="Y950" s="10"/>
      <c r="Z950" s="10"/>
      <c r="AA950" s="10"/>
      <c r="AB950" s="10"/>
      <c r="AC950" s="10"/>
      <c r="AD950" s="10"/>
      <c r="AE950" s="10"/>
    </row>
    <row r="951" spans="1:3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36"/>
      <c r="R951" s="36"/>
      <c r="S951" s="36"/>
      <c r="T951" s="36"/>
      <c r="U951" s="36"/>
      <c r="V951" s="36"/>
      <c r="W951" s="10"/>
      <c r="X951" s="10"/>
      <c r="Y951" s="10"/>
      <c r="Z951" s="10"/>
      <c r="AA951" s="10"/>
      <c r="AB951" s="10"/>
      <c r="AC951" s="10"/>
      <c r="AD951" s="10"/>
      <c r="AE951" s="10"/>
    </row>
    <row r="952" spans="1:31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36"/>
      <c r="R952" s="36"/>
      <c r="S952" s="36"/>
      <c r="T952" s="36"/>
      <c r="U952" s="36"/>
      <c r="V952" s="36"/>
      <c r="W952" s="10"/>
      <c r="X952" s="10"/>
      <c r="Y952" s="10"/>
      <c r="Z952" s="10"/>
      <c r="AA952" s="10"/>
      <c r="AB952" s="10"/>
      <c r="AC952" s="10"/>
      <c r="AD952" s="10"/>
      <c r="AE952" s="10"/>
    </row>
    <row r="953" spans="1:31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36"/>
      <c r="R953" s="36"/>
      <c r="S953" s="36"/>
      <c r="T953" s="36"/>
      <c r="U953" s="36"/>
      <c r="V953" s="36"/>
      <c r="W953" s="10"/>
      <c r="X953" s="10"/>
      <c r="Y953" s="10"/>
      <c r="Z953" s="10"/>
      <c r="AA953" s="10"/>
      <c r="AB953" s="10"/>
      <c r="AC953" s="10"/>
      <c r="AD953" s="10"/>
      <c r="AE953" s="10"/>
    </row>
    <row r="954" spans="1:31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36"/>
      <c r="R954" s="36"/>
      <c r="S954" s="36"/>
      <c r="T954" s="36"/>
      <c r="U954" s="36"/>
      <c r="V954" s="36"/>
      <c r="W954" s="10"/>
      <c r="X954" s="10"/>
      <c r="Y954" s="10"/>
      <c r="Z954" s="10"/>
      <c r="AA954" s="10"/>
      <c r="AB954" s="10"/>
      <c r="AC954" s="10"/>
      <c r="AD954" s="10"/>
      <c r="AE954" s="10"/>
    </row>
    <row r="955" spans="1:31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36"/>
      <c r="R955" s="36"/>
      <c r="S955" s="36"/>
      <c r="T955" s="36"/>
      <c r="U955" s="36"/>
      <c r="V955" s="36"/>
      <c r="W955" s="10"/>
      <c r="X955" s="10"/>
      <c r="Y955" s="10"/>
      <c r="Z955" s="10"/>
      <c r="AA955" s="10"/>
      <c r="AB955" s="10"/>
      <c r="AC955" s="10"/>
      <c r="AD955" s="10"/>
      <c r="AE955" s="10"/>
    </row>
    <row r="956" spans="1:31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36"/>
      <c r="R956" s="36"/>
      <c r="S956" s="36"/>
      <c r="T956" s="36"/>
      <c r="U956" s="36"/>
      <c r="V956" s="36"/>
      <c r="W956" s="10"/>
      <c r="X956" s="10"/>
      <c r="Y956" s="10"/>
      <c r="Z956" s="10"/>
      <c r="AA956" s="10"/>
      <c r="AB956" s="10"/>
      <c r="AC956" s="10"/>
      <c r="AD956" s="10"/>
      <c r="AE956" s="10"/>
    </row>
    <row r="957" spans="1:31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36"/>
      <c r="R957" s="36"/>
      <c r="S957" s="36"/>
      <c r="T957" s="36"/>
      <c r="U957" s="36"/>
      <c r="V957" s="36"/>
      <c r="W957" s="10"/>
      <c r="X957" s="10"/>
      <c r="Y957" s="10"/>
      <c r="Z957" s="10"/>
      <c r="AA957" s="10"/>
      <c r="AB957" s="10"/>
      <c r="AC957" s="10"/>
      <c r="AD957" s="10"/>
      <c r="AE957" s="10"/>
    </row>
    <row r="958" spans="1:31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36"/>
      <c r="R958" s="36"/>
      <c r="S958" s="36"/>
      <c r="T958" s="36"/>
      <c r="U958" s="36"/>
      <c r="V958" s="36"/>
      <c r="W958" s="10"/>
      <c r="X958" s="10"/>
      <c r="Y958" s="10"/>
      <c r="Z958" s="10"/>
      <c r="AA958" s="10"/>
      <c r="AB958" s="10"/>
      <c r="AC958" s="10"/>
      <c r="AD958" s="10"/>
      <c r="AE958" s="10"/>
    </row>
    <row r="959" spans="1:31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36"/>
      <c r="R959" s="36"/>
      <c r="S959" s="36"/>
      <c r="T959" s="36"/>
      <c r="U959" s="36"/>
      <c r="V959" s="36"/>
      <c r="W959" s="10"/>
      <c r="X959" s="10"/>
      <c r="Y959" s="10"/>
      <c r="Z959" s="10"/>
      <c r="AA959" s="10"/>
      <c r="AB959" s="10"/>
      <c r="AC959" s="10"/>
      <c r="AD959" s="10"/>
      <c r="AE959" s="10"/>
    </row>
    <row r="960" spans="1:31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36"/>
      <c r="R960" s="36"/>
      <c r="S960" s="36"/>
      <c r="T960" s="36"/>
      <c r="U960" s="36"/>
      <c r="V960" s="36"/>
      <c r="W960" s="10"/>
      <c r="X960" s="10"/>
      <c r="Y960" s="10"/>
      <c r="Z960" s="10"/>
      <c r="AA960" s="10"/>
      <c r="AB960" s="10"/>
      <c r="AC960" s="10"/>
      <c r="AD960" s="10"/>
      <c r="AE960" s="10"/>
    </row>
    <row r="961" spans="1:3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36"/>
      <c r="R961" s="36"/>
      <c r="S961" s="36"/>
      <c r="T961" s="36"/>
      <c r="U961" s="36"/>
      <c r="V961" s="36"/>
      <c r="W961" s="10"/>
      <c r="X961" s="10"/>
      <c r="Y961" s="10"/>
      <c r="Z961" s="10"/>
      <c r="AA961" s="10"/>
      <c r="AB961" s="10"/>
      <c r="AC961" s="10"/>
      <c r="AD961" s="10"/>
      <c r="AE961" s="10"/>
    </row>
    <row r="962" spans="1:31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36"/>
      <c r="R962" s="36"/>
      <c r="S962" s="36"/>
      <c r="T962" s="36"/>
      <c r="U962" s="36"/>
      <c r="V962" s="36"/>
      <c r="W962" s="10"/>
      <c r="X962" s="10"/>
      <c r="Y962" s="10"/>
      <c r="Z962" s="10"/>
      <c r="AA962" s="10"/>
      <c r="AB962" s="10"/>
      <c r="AC962" s="10"/>
      <c r="AD962" s="10"/>
      <c r="AE962" s="10"/>
    </row>
    <row r="963" spans="1:31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36"/>
      <c r="R963" s="36"/>
      <c r="S963" s="36"/>
      <c r="T963" s="36"/>
      <c r="U963" s="36"/>
      <c r="V963" s="36"/>
      <c r="W963" s="10"/>
      <c r="X963" s="10"/>
      <c r="Y963" s="10"/>
      <c r="Z963" s="10"/>
      <c r="AA963" s="10"/>
      <c r="AB963" s="10"/>
      <c r="AC963" s="10"/>
      <c r="AD963" s="10"/>
      <c r="AE963" s="10"/>
    </row>
    <row r="964" spans="1:31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36"/>
      <c r="R964" s="36"/>
      <c r="S964" s="36"/>
      <c r="T964" s="36"/>
      <c r="U964" s="36"/>
      <c r="V964" s="36"/>
      <c r="W964" s="10"/>
      <c r="X964" s="10"/>
      <c r="Y964" s="10"/>
      <c r="Z964" s="10"/>
      <c r="AA964" s="10"/>
      <c r="AB964" s="10"/>
      <c r="AC964" s="10"/>
      <c r="AD964" s="10"/>
      <c r="AE964" s="10"/>
    </row>
    <row r="965" spans="1:31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36"/>
      <c r="R965" s="36"/>
      <c r="S965" s="36"/>
      <c r="T965" s="36"/>
      <c r="U965" s="36"/>
      <c r="V965" s="36"/>
      <c r="W965" s="10"/>
      <c r="X965" s="10"/>
      <c r="Y965" s="10"/>
      <c r="Z965" s="10"/>
      <c r="AA965" s="10"/>
      <c r="AB965" s="10"/>
      <c r="AC965" s="10"/>
      <c r="AD965" s="10"/>
      <c r="AE965" s="10"/>
    </row>
    <row r="966" spans="1:31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36"/>
      <c r="R966" s="36"/>
      <c r="S966" s="36"/>
      <c r="T966" s="36"/>
      <c r="U966" s="36"/>
      <c r="V966" s="36"/>
      <c r="W966" s="10"/>
      <c r="X966" s="10"/>
      <c r="Y966" s="10"/>
      <c r="Z966" s="10"/>
      <c r="AA966" s="10"/>
      <c r="AB966" s="10"/>
      <c r="AC966" s="10"/>
      <c r="AD966" s="10"/>
      <c r="AE966" s="10"/>
    </row>
    <row r="967" spans="1:31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36"/>
      <c r="R967" s="36"/>
      <c r="S967" s="36"/>
      <c r="T967" s="36"/>
      <c r="U967" s="36"/>
      <c r="V967" s="36"/>
      <c r="W967" s="10"/>
      <c r="X967" s="10"/>
      <c r="Y967" s="10"/>
      <c r="Z967" s="10"/>
      <c r="AA967" s="10"/>
      <c r="AB967" s="10"/>
      <c r="AC967" s="10"/>
      <c r="AD967" s="10"/>
      <c r="AE967" s="10"/>
    </row>
    <row r="968" spans="1:31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36"/>
      <c r="R968" s="36"/>
      <c r="S968" s="36"/>
      <c r="T968" s="36"/>
      <c r="U968" s="36"/>
      <c r="V968" s="36"/>
      <c r="W968" s="10"/>
      <c r="X968" s="10"/>
      <c r="Y968" s="10"/>
      <c r="Z968" s="10"/>
      <c r="AA968" s="10"/>
      <c r="AB968" s="10"/>
      <c r="AC968" s="10"/>
      <c r="AD968" s="10"/>
      <c r="AE968" s="10"/>
    </row>
    <row r="969" spans="1:31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36"/>
      <c r="R969" s="36"/>
      <c r="S969" s="36"/>
      <c r="T969" s="36"/>
      <c r="U969" s="36"/>
      <c r="V969" s="36"/>
      <c r="W969" s="10"/>
      <c r="X969" s="10"/>
      <c r="Y969" s="10"/>
      <c r="Z969" s="10"/>
      <c r="AA969" s="10"/>
      <c r="AB969" s="10"/>
      <c r="AC969" s="10"/>
      <c r="AD969" s="10"/>
      <c r="AE969" s="10"/>
    </row>
    <row r="970" spans="1:31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36"/>
      <c r="R970" s="36"/>
      <c r="S970" s="36"/>
      <c r="T970" s="36"/>
      <c r="U970" s="36"/>
      <c r="V970" s="36"/>
      <c r="W970" s="10"/>
      <c r="X970" s="10"/>
      <c r="Y970" s="10"/>
      <c r="Z970" s="10"/>
      <c r="AA970" s="10"/>
      <c r="AB970" s="10"/>
      <c r="AC970" s="10"/>
      <c r="AD970" s="10"/>
      <c r="AE970" s="10"/>
    </row>
    <row r="971" spans="1:3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36"/>
      <c r="R971" s="36"/>
      <c r="S971" s="36"/>
      <c r="T971" s="36"/>
      <c r="U971" s="36"/>
      <c r="V971" s="36"/>
      <c r="W971" s="10"/>
      <c r="X971" s="10"/>
      <c r="Y971" s="10"/>
      <c r="Z971" s="10"/>
      <c r="AA971" s="10"/>
      <c r="AB971" s="10"/>
      <c r="AC971" s="10"/>
      <c r="AD971" s="10"/>
      <c r="AE971" s="10"/>
    </row>
    <row r="972" spans="1:31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36"/>
      <c r="R972" s="36"/>
      <c r="S972" s="36"/>
      <c r="T972" s="36"/>
      <c r="U972" s="36"/>
      <c r="V972" s="36"/>
      <c r="W972" s="10"/>
      <c r="X972" s="10"/>
      <c r="Y972" s="10"/>
      <c r="Z972" s="10"/>
      <c r="AA972" s="10"/>
      <c r="AB972" s="10"/>
      <c r="AC972" s="10"/>
      <c r="AD972" s="10"/>
      <c r="AE972" s="10"/>
    </row>
    <row r="973" spans="1:31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36"/>
      <c r="R973" s="36"/>
      <c r="S973" s="36"/>
      <c r="T973" s="36"/>
      <c r="U973" s="36"/>
      <c r="V973" s="36"/>
      <c r="W973" s="10"/>
      <c r="X973" s="10"/>
      <c r="Y973" s="10"/>
      <c r="Z973" s="10"/>
      <c r="AA973" s="10"/>
      <c r="AB973" s="10"/>
      <c r="AC973" s="10"/>
      <c r="AD973" s="10"/>
      <c r="AE973" s="10"/>
    </row>
    <row r="974" spans="1:31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36"/>
      <c r="R974" s="36"/>
      <c r="S974" s="36"/>
      <c r="T974" s="36"/>
      <c r="U974" s="36"/>
      <c r="V974" s="36"/>
      <c r="W974" s="10"/>
      <c r="X974" s="10"/>
      <c r="Y974" s="10"/>
      <c r="Z974" s="10"/>
      <c r="AA974" s="10"/>
      <c r="AB974" s="10"/>
      <c r="AC974" s="10"/>
      <c r="AD974" s="10"/>
      <c r="AE974" s="10"/>
    </row>
    <row r="975" spans="1:31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36"/>
      <c r="R975" s="36"/>
      <c r="S975" s="36"/>
      <c r="T975" s="36"/>
      <c r="U975" s="36"/>
      <c r="V975" s="36"/>
      <c r="W975" s="10"/>
      <c r="X975" s="10"/>
      <c r="Y975" s="10"/>
      <c r="Z975" s="10"/>
      <c r="AA975" s="10"/>
      <c r="AB975" s="10"/>
      <c r="AC975" s="10"/>
      <c r="AD975" s="10"/>
      <c r="AE975" s="10"/>
    </row>
    <row r="976" spans="1:31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36"/>
      <c r="R976" s="36"/>
      <c r="S976" s="36"/>
      <c r="T976" s="36"/>
      <c r="U976" s="36"/>
      <c r="V976" s="36"/>
      <c r="W976" s="10"/>
      <c r="X976" s="10"/>
      <c r="Y976" s="10"/>
      <c r="Z976" s="10"/>
      <c r="AA976" s="10"/>
      <c r="AB976" s="10"/>
      <c r="AC976" s="10"/>
      <c r="AD976" s="10"/>
      <c r="AE976" s="10"/>
    </row>
    <row r="977" spans="1:31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36"/>
      <c r="R977" s="36"/>
      <c r="S977" s="36"/>
      <c r="T977" s="36"/>
      <c r="U977" s="36"/>
      <c r="V977" s="36"/>
      <c r="W977" s="10"/>
      <c r="X977" s="10"/>
      <c r="Y977" s="10"/>
      <c r="Z977" s="10"/>
      <c r="AA977" s="10"/>
      <c r="AB977" s="10"/>
      <c r="AC977" s="10"/>
      <c r="AD977" s="10"/>
      <c r="AE977" s="10"/>
    </row>
    <row r="978" spans="1:31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36"/>
      <c r="R978" s="36"/>
      <c r="S978" s="36"/>
      <c r="T978" s="36"/>
      <c r="U978" s="36"/>
      <c r="V978" s="36"/>
      <c r="W978" s="10"/>
      <c r="X978" s="10"/>
      <c r="Y978" s="10"/>
      <c r="Z978" s="10"/>
      <c r="AA978" s="10"/>
      <c r="AB978" s="10"/>
      <c r="AC978" s="10"/>
      <c r="AD978" s="10"/>
      <c r="AE978" s="10"/>
    </row>
    <row r="979" spans="1:31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36"/>
      <c r="R979" s="36"/>
      <c r="S979" s="36"/>
      <c r="T979" s="36"/>
      <c r="U979" s="36"/>
      <c r="V979" s="36"/>
      <c r="W979" s="10"/>
      <c r="X979" s="10"/>
      <c r="Y979" s="10"/>
      <c r="Z979" s="10"/>
      <c r="AA979" s="10"/>
      <c r="AB979" s="10"/>
      <c r="AC979" s="10"/>
      <c r="AD979" s="10"/>
      <c r="AE979" s="10"/>
    </row>
    <row r="980" spans="1:31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36"/>
      <c r="R980" s="36"/>
      <c r="S980" s="36"/>
      <c r="T980" s="36"/>
      <c r="U980" s="36"/>
      <c r="V980" s="36"/>
      <c r="W980" s="10"/>
      <c r="X980" s="10"/>
      <c r="Y980" s="10"/>
      <c r="Z980" s="10"/>
      <c r="AA980" s="10"/>
      <c r="AB980" s="10"/>
      <c r="AC980" s="10"/>
      <c r="AD980" s="10"/>
      <c r="AE980" s="10"/>
    </row>
    <row r="981" spans="1:3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36"/>
      <c r="R981" s="36"/>
      <c r="S981" s="36"/>
      <c r="T981" s="36"/>
      <c r="U981" s="36"/>
      <c r="V981" s="36"/>
      <c r="W981" s="10"/>
      <c r="X981" s="10"/>
      <c r="Y981" s="10"/>
      <c r="Z981" s="10"/>
      <c r="AA981" s="10"/>
      <c r="AB981" s="10"/>
      <c r="AC981" s="10"/>
      <c r="AD981" s="10"/>
      <c r="AE981" s="10"/>
    </row>
    <row r="982" spans="1:31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36"/>
      <c r="R982" s="36"/>
      <c r="S982" s="36"/>
      <c r="T982" s="36"/>
      <c r="U982" s="36"/>
      <c r="V982" s="36"/>
      <c r="W982" s="10"/>
      <c r="X982" s="10"/>
      <c r="Y982" s="10"/>
      <c r="Z982" s="10"/>
      <c r="AA982" s="10"/>
      <c r="AB982" s="10"/>
      <c r="AC982" s="10"/>
      <c r="AD982" s="10"/>
      <c r="AE982" s="10"/>
    </row>
    <row r="983" spans="1:31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36"/>
      <c r="R983" s="36"/>
      <c r="S983" s="36"/>
      <c r="T983" s="36"/>
      <c r="U983" s="36"/>
      <c r="V983" s="36"/>
      <c r="W983" s="10"/>
      <c r="X983" s="10"/>
      <c r="Y983" s="10"/>
      <c r="Z983" s="10"/>
      <c r="AA983" s="10"/>
      <c r="AB983" s="10"/>
      <c r="AC983" s="10"/>
      <c r="AD983" s="10"/>
      <c r="AE983" s="10"/>
    </row>
    <row r="984" spans="1:31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36"/>
      <c r="R984" s="36"/>
      <c r="S984" s="36"/>
      <c r="T984" s="36"/>
      <c r="U984" s="36"/>
      <c r="V984" s="36"/>
      <c r="W984" s="10"/>
      <c r="X984" s="10"/>
      <c r="Y984" s="10"/>
      <c r="Z984" s="10"/>
      <c r="AA984" s="10"/>
      <c r="AB984" s="10"/>
      <c r="AC984" s="10"/>
      <c r="AD984" s="10"/>
      <c r="AE984" s="10"/>
    </row>
    <row r="985" spans="1:31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36"/>
      <c r="R985" s="36"/>
      <c r="S985" s="36"/>
      <c r="T985" s="36"/>
      <c r="U985" s="36"/>
      <c r="V985" s="36"/>
      <c r="W985" s="10"/>
      <c r="X985" s="10"/>
      <c r="Y985" s="10"/>
      <c r="Z985" s="10"/>
      <c r="AA985" s="10"/>
      <c r="AB985" s="10"/>
      <c r="AC985" s="10"/>
      <c r="AD985" s="10"/>
      <c r="AE985" s="10"/>
    </row>
    <row r="986" spans="1:31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36"/>
      <c r="R986" s="36"/>
      <c r="S986" s="36"/>
      <c r="T986" s="36"/>
      <c r="U986" s="36"/>
      <c r="V986" s="36"/>
      <c r="W986" s="10"/>
      <c r="X986" s="10"/>
      <c r="Y986" s="10"/>
      <c r="Z986" s="10"/>
      <c r="AA986" s="10"/>
      <c r="AB986" s="10"/>
      <c r="AC986" s="10"/>
      <c r="AD986" s="10"/>
      <c r="AE986" s="10"/>
    </row>
    <row r="987" spans="1:31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36"/>
      <c r="R987" s="36"/>
      <c r="S987" s="36"/>
      <c r="T987" s="36"/>
      <c r="U987" s="36"/>
      <c r="V987" s="36"/>
      <c r="W987" s="10"/>
      <c r="X987" s="10"/>
      <c r="Y987" s="10"/>
      <c r="Z987" s="10"/>
      <c r="AA987" s="10"/>
      <c r="AB987" s="10"/>
      <c r="AC987" s="10"/>
      <c r="AD987" s="10"/>
      <c r="AE987" s="10"/>
    </row>
    <row r="988" spans="1:31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36"/>
      <c r="R988" s="36"/>
      <c r="S988" s="36"/>
      <c r="T988" s="36"/>
      <c r="U988" s="36"/>
      <c r="V988" s="36"/>
      <c r="W988" s="10"/>
      <c r="X988" s="10"/>
      <c r="Y988" s="10"/>
      <c r="Z988" s="10"/>
      <c r="AA988" s="10"/>
      <c r="AB988" s="10"/>
      <c r="AC988" s="10"/>
      <c r="AD988" s="10"/>
      <c r="AE988" s="10"/>
    </row>
    <row r="989" spans="1:31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36"/>
      <c r="R989" s="36"/>
      <c r="S989" s="36"/>
      <c r="T989" s="36"/>
      <c r="U989" s="36"/>
      <c r="V989" s="36"/>
      <c r="W989" s="10"/>
      <c r="X989" s="10"/>
      <c r="Y989" s="10"/>
      <c r="Z989" s="10"/>
      <c r="AA989" s="10"/>
      <c r="AB989" s="10"/>
      <c r="AC989" s="10"/>
      <c r="AD989" s="10"/>
      <c r="AE989" s="10"/>
    </row>
    <row r="990" spans="1:31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36"/>
      <c r="R990" s="36"/>
      <c r="S990" s="36"/>
      <c r="T990" s="36"/>
      <c r="U990" s="36"/>
      <c r="V990" s="36"/>
      <c r="W990" s="10"/>
      <c r="X990" s="10"/>
      <c r="Y990" s="10"/>
      <c r="Z990" s="10"/>
      <c r="AA990" s="10"/>
      <c r="AB990" s="10"/>
      <c r="AC990" s="10"/>
      <c r="AD990" s="10"/>
      <c r="AE990" s="10"/>
    </row>
    <row r="991" spans="1:3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36"/>
      <c r="R991" s="36"/>
      <c r="S991" s="36"/>
      <c r="T991" s="36"/>
      <c r="U991" s="36"/>
      <c r="V991" s="36"/>
      <c r="W991" s="10"/>
      <c r="X991" s="10"/>
      <c r="Y991" s="10"/>
      <c r="Z991" s="10"/>
      <c r="AA991" s="10"/>
      <c r="AB991" s="10"/>
      <c r="AC991" s="10"/>
      <c r="AD991" s="10"/>
      <c r="AE991" s="10"/>
    </row>
    <row r="992" spans="1:31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36"/>
      <c r="R992" s="36"/>
      <c r="S992" s="36"/>
      <c r="T992" s="36"/>
      <c r="U992" s="36"/>
      <c r="V992" s="36"/>
      <c r="W992" s="10"/>
      <c r="X992" s="10"/>
      <c r="Y992" s="10"/>
      <c r="Z992" s="10"/>
      <c r="AA992" s="10"/>
      <c r="AB992" s="10"/>
      <c r="AC992" s="10"/>
      <c r="AD992" s="10"/>
      <c r="AE992" s="10"/>
    </row>
    <row r="993" spans="1:31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36"/>
      <c r="R993" s="36"/>
      <c r="S993" s="36"/>
      <c r="T993" s="36"/>
      <c r="U993" s="36"/>
      <c r="V993" s="36"/>
      <c r="W993" s="10"/>
      <c r="X993" s="10"/>
      <c r="Y993" s="10"/>
      <c r="Z993" s="10"/>
      <c r="AA993" s="10"/>
      <c r="AB993" s="10"/>
      <c r="AC993" s="10"/>
      <c r="AD993" s="10"/>
      <c r="AE993" s="10"/>
    </row>
    <row r="994" spans="1:31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36"/>
      <c r="R994" s="36"/>
      <c r="S994" s="36"/>
      <c r="T994" s="36"/>
      <c r="U994" s="36"/>
      <c r="V994" s="36"/>
      <c r="W994" s="10"/>
      <c r="X994" s="10"/>
      <c r="Y994" s="10"/>
      <c r="Z994" s="10"/>
      <c r="AA994" s="10"/>
      <c r="AB994" s="10"/>
      <c r="AC994" s="10"/>
      <c r="AD994" s="10"/>
      <c r="AE994" s="10"/>
    </row>
    <row r="995" spans="1:31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36"/>
      <c r="R995" s="36"/>
      <c r="S995" s="36"/>
      <c r="T995" s="36"/>
      <c r="U995" s="36"/>
      <c r="V995" s="36"/>
      <c r="W995" s="10"/>
      <c r="X995" s="10"/>
      <c r="Y995" s="10"/>
      <c r="Z995" s="10"/>
      <c r="AA995" s="10"/>
      <c r="AB995" s="10"/>
      <c r="AC995" s="10"/>
      <c r="AD995" s="10"/>
      <c r="AE995" s="10"/>
    </row>
    <row r="996" spans="1:31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36"/>
      <c r="R996" s="36"/>
      <c r="S996" s="36"/>
      <c r="T996" s="36"/>
      <c r="U996" s="36"/>
      <c r="V996" s="36"/>
      <c r="W996" s="10"/>
      <c r="X996" s="10"/>
      <c r="Y996" s="10"/>
      <c r="Z996" s="10"/>
      <c r="AA996" s="10"/>
      <c r="AB996" s="10"/>
      <c r="AC996" s="10"/>
      <c r="AD996" s="10"/>
      <c r="AE996" s="10"/>
    </row>
    <row r="997" spans="1:31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36"/>
      <c r="R997" s="36"/>
      <c r="S997" s="36"/>
      <c r="T997" s="36"/>
      <c r="U997" s="36"/>
      <c r="V997" s="36"/>
      <c r="W997" s="10"/>
      <c r="X997" s="10"/>
      <c r="Y997" s="10"/>
      <c r="Z997" s="10"/>
      <c r="AA997" s="10"/>
      <c r="AB997" s="10"/>
      <c r="AC997" s="10"/>
      <c r="AD997" s="10"/>
      <c r="AE997" s="10"/>
    </row>
    <row r="998" spans="1:31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36"/>
      <c r="R998" s="36"/>
      <c r="S998" s="36"/>
      <c r="T998" s="36"/>
      <c r="U998" s="36"/>
      <c r="V998" s="36"/>
      <c r="W998" s="10"/>
      <c r="X998" s="10"/>
      <c r="Y998" s="10"/>
      <c r="Z998" s="10"/>
      <c r="AA998" s="10"/>
      <c r="AB998" s="10"/>
      <c r="AC998" s="10"/>
      <c r="AD998" s="10"/>
      <c r="AE998" s="10"/>
    </row>
    <row r="999" spans="1:31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36"/>
      <c r="R999" s="36"/>
      <c r="S999" s="36"/>
      <c r="T999" s="36"/>
      <c r="U999" s="36"/>
      <c r="V999" s="36"/>
      <c r="W999" s="10"/>
      <c r="X999" s="10"/>
      <c r="Y999" s="10"/>
      <c r="Z999" s="10"/>
      <c r="AA999" s="10"/>
      <c r="AB999" s="10"/>
      <c r="AC999" s="10"/>
      <c r="AD999" s="10"/>
      <c r="AE999" s="10"/>
    </row>
    <row r="1000" spans="1:31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36"/>
      <c r="R1000" s="36"/>
      <c r="S1000" s="36"/>
      <c r="T1000" s="36"/>
      <c r="U1000" s="36"/>
      <c r="V1000" s="36"/>
      <c r="W1000" s="10"/>
      <c r="X1000" s="10"/>
      <c r="Y1000" s="10"/>
      <c r="Z1000" s="10"/>
      <c r="AA1000" s="10"/>
      <c r="AB1000" s="10"/>
      <c r="AC1000" s="10"/>
      <c r="AD1000" s="10"/>
      <c r="AE1000" s="10"/>
    </row>
    <row r="1001" spans="1:3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36"/>
      <c r="R1001" s="36"/>
      <c r="S1001" s="36"/>
      <c r="T1001" s="36"/>
      <c r="U1001" s="36"/>
      <c r="V1001" s="36"/>
      <c r="W1001" s="10"/>
      <c r="X1001" s="10"/>
      <c r="Y1001" s="10"/>
      <c r="Z1001" s="10"/>
      <c r="AA1001" s="10"/>
      <c r="AB1001" s="10"/>
      <c r="AC1001" s="10"/>
      <c r="AD1001" s="10"/>
      <c r="AE1001" s="10"/>
    </row>
    <row r="1002" spans="1:31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36"/>
      <c r="R1002" s="36"/>
      <c r="S1002" s="36"/>
      <c r="T1002" s="36"/>
      <c r="U1002" s="36"/>
      <c r="V1002" s="36"/>
      <c r="W1002" s="10"/>
      <c r="X1002" s="10"/>
      <c r="Y1002" s="10"/>
      <c r="Z1002" s="10"/>
      <c r="AA1002" s="10"/>
      <c r="AB1002" s="10"/>
      <c r="AC1002" s="10"/>
      <c r="AD1002" s="10"/>
      <c r="AE1002" s="10"/>
    </row>
    <row r="1003" spans="1:31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36"/>
      <c r="R1003" s="36"/>
      <c r="S1003" s="36"/>
      <c r="T1003" s="36"/>
      <c r="U1003" s="36"/>
      <c r="V1003" s="36"/>
      <c r="W1003" s="10"/>
      <c r="X1003" s="10"/>
      <c r="Y1003" s="10"/>
      <c r="Z1003" s="10"/>
      <c r="AA1003" s="10"/>
      <c r="AB1003" s="10"/>
      <c r="AC1003" s="10"/>
      <c r="AD1003" s="10"/>
      <c r="AE1003" s="10"/>
    </row>
    <row r="1004" spans="1:31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36"/>
      <c r="R1004" s="36"/>
      <c r="S1004" s="36"/>
      <c r="T1004" s="36"/>
      <c r="U1004" s="36"/>
      <c r="V1004" s="36"/>
      <c r="W1004" s="10"/>
      <c r="X1004" s="10"/>
      <c r="Y1004" s="10"/>
      <c r="Z1004" s="10"/>
      <c r="AA1004" s="10"/>
      <c r="AB1004" s="10"/>
      <c r="AC1004" s="10"/>
      <c r="AD1004" s="10"/>
      <c r="AE1004" s="10"/>
    </row>
    <row r="1005" spans="1:31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36"/>
      <c r="R1005" s="36"/>
      <c r="S1005" s="36"/>
      <c r="T1005" s="36"/>
      <c r="U1005" s="36"/>
      <c r="V1005" s="36"/>
      <c r="W1005" s="10"/>
      <c r="X1005" s="10"/>
      <c r="Y1005" s="10"/>
      <c r="Z1005" s="10"/>
      <c r="AA1005" s="10"/>
      <c r="AB1005" s="10"/>
      <c r="AC1005" s="10"/>
      <c r="AD1005" s="10"/>
      <c r="AE1005" s="10"/>
    </row>
    <row r="1006" spans="1:31" ht="15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36"/>
      <c r="R1006" s="36"/>
      <c r="S1006" s="36"/>
      <c r="T1006" s="36"/>
      <c r="U1006" s="36"/>
      <c r="V1006" s="36"/>
      <c r="W1006" s="10"/>
      <c r="X1006" s="10"/>
      <c r="Y1006" s="10"/>
      <c r="Z1006" s="10"/>
      <c r="AA1006" s="10"/>
      <c r="AB1006" s="10"/>
      <c r="AC1006" s="10"/>
      <c r="AD1006" s="10"/>
      <c r="AE1006" s="10"/>
    </row>
  </sheetData>
  <mergeCells count="11">
    <mergeCell ref="B100:P100"/>
    <mergeCell ref="B108:P108"/>
    <mergeCell ref="B132:P132"/>
    <mergeCell ref="B151:P151"/>
    <mergeCell ref="B1:P1"/>
    <mergeCell ref="B3:T3"/>
    <mergeCell ref="B25:T25"/>
    <mergeCell ref="B70:P70"/>
    <mergeCell ref="L74:M74"/>
    <mergeCell ref="L75:M75"/>
    <mergeCell ref="B95:P95"/>
  </mergeCells>
  <conditionalFormatting sqref="A1:AE2 A3:U3 AA3:AE3 V4:Z4 B5:U5 A25:AE25 B27:U27 A70:AE70 A95:AE95 A100:AE100 A108:AE108">
    <cfRule type="expression" dxfId="5" priority="1">
      <formula>_xludf.ISFORMULA(A1)</formula>
    </cfRule>
  </conditionalFormatting>
  <conditionalFormatting sqref="A132:AE132 A151:P151">
    <cfRule type="expression" dxfId="4" priority="2">
      <formula>_xludf.ISFORMULA(A132)</formula>
    </cfRule>
  </conditionalFormatting>
  <conditionalFormatting sqref="B111:B118">
    <cfRule type="expression" dxfId="3" priority="3">
      <formula>_xludf.ISFORMULA(B111)</formula>
    </cfRule>
  </conditionalFormatting>
  <conditionalFormatting sqref="B135:B139 B142">
    <cfRule type="expression" dxfId="2" priority="4">
      <formula>_xludf.ISFORMULA(B135)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33"/>
  <sheetViews>
    <sheetView workbookViewId="0"/>
  </sheetViews>
  <sheetFormatPr defaultColWidth="12.6328125" defaultRowHeight="15" customHeight="1"/>
  <sheetData>
    <row r="1" spans="1:6">
      <c r="A1" s="91" t="s">
        <v>186</v>
      </c>
      <c r="B1" s="92"/>
      <c r="C1" s="92"/>
      <c r="D1" s="92"/>
      <c r="E1" s="92"/>
      <c r="F1" s="92"/>
    </row>
    <row r="2" spans="1:6">
      <c r="A2" s="93" t="s">
        <v>187</v>
      </c>
      <c r="B2" s="94">
        <v>0.99580000000000002</v>
      </c>
      <c r="C2" s="92"/>
      <c r="D2" s="92"/>
      <c r="E2" s="92"/>
      <c r="F2" s="92"/>
    </row>
    <row r="3" spans="1:6">
      <c r="A3" s="93" t="s">
        <v>188</v>
      </c>
      <c r="B3" s="95">
        <v>4.02E-2</v>
      </c>
      <c r="C3" s="92"/>
      <c r="D3" s="92"/>
      <c r="E3" s="92"/>
      <c r="F3" s="92"/>
    </row>
    <row r="4" spans="1:6">
      <c r="A4" s="93" t="s">
        <v>189</v>
      </c>
      <c r="B4" s="95">
        <v>5.5E-2</v>
      </c>
      <c r="C4" s="96" t="s">
        <v>190</v>
      </c>
      <c r="D4" s="92"/>
      <c r="E4" s="92"/>
      <c r="F4" s="92"/>
    </row>
    <row r="5" spans="1:6">
      <c r="A5" s="91" t="s">
        <v>186</v>
      </c>
      <c r="B5" s="95">
        <f>B3+B2*B4</f>
        <v>9.4968999999999998E-2</v>
      </c>
      <c r="C5" s="96" t="s">
        <v>191</v>
      </c>
      <c r="D5" s="92"/>
      <c r="E5" s="92"/>
      <c r="F5" s="92"/>
    </row>
    <row r="6" spans="1:6">
      <c r="A6" s="97"/>
      <c r="B6" s="97"/>
      <c r="C6" s="92"/>
      <c r="D6" s="92"/>
      <c r="E6" s="92"/>
      <c r="F6" s="92"/>
    </row>
    <row r="7" spans="1:6">
      <c r="A7" s="97"/>
      <c r="B7" s="97"/>
      <c r="C7" s="92"/>
      <c r="D7" s="92"/>
      <c r="E7" s="92"/>
      <c r="F7" s="92"/>
    </row>
    <row r="8" spans="1:6">
      <c r="A8" s="91" t="s">
        <v>192</v>
      </c>
      <c r="B8" s="92"/>
      <c r="C8" s="92"/>
      <c r="D8" s="92"/>
      <c r="E8" s="92"/>
      <c r="F8" s="92"/>
    </row>
    <row r="9" spans="1:6">
      <c r="A9" s="96" t="s">
        <v>193</v>
      </c>
      <c r="B9" s="92"/>
      <c r="C9" s="92"/>
      <c r="D9" s="92"/>
      <c r="E9" s="92"/>
      <c r="F9" s="92"/>
    </row>
    <row r="10" spans="1:6">
      <c r="A10" s="92"/>
      <c r="B10" s="92"/>
      <c r="C10" s="92"/>
      <c r="D10" s="92"/>
      <c r="E10" s="92"/>
      <c r="F10" s="92"/>
    </row>
    <row r="11" spans="1:6">
      <c r="A11" s="98" t="s">
        <v>194</v>
      </c>
      <c r="B11" s="98" t="s">
        <v>37</v>
      </c>
      <c r="C11" s="98" t="s">
        <v>195</v>
      </c>
      <c r="D11" s="98" t="s">
        <v>196</v>
      </c>
      <c r="E11" s="98" t="s">
        <v>197</v>
      </c>
      <c r="F11" s="92"/>
    </row>
    <row r="12" spans="1:6">
      <c r="A12" s="93" t="s">
        <v>198</v>
      </c>
      <c r="B12" s="95">
        <v>4.6300000000000001E-2</v>
      </c>
      <c r="C12" s="99">
        <v>78</v>
      </c>
      <c r="D12" s="100">
        <f t="shared" ref="D12:D20" si="0">C12/$C$21</f>
        <v>7.8376205787781348E-3</v>
      </c>
      <c r="E12" s="95">
        <f t="shared" ref="E12:E20" si="1">B12*D12</f>
        <v>3.6288183279742766E-4</v>
      </c>
      <c r="F12" s="92"/>
    </row>
    <row r="13" spans="1:6">
      <c r="A13" s="93" t="s">
        <v>199</v>
      </c>
      <c r="B13" s="95">
        <v>4.6300000000000001E-2</v>
      </c>
      <c r="C13" s="99">
        <v>1401</v>
      </c>
      <c r="D13" s="100">
        <f t="shared" si="0"/>
        <v>0.14077572347266881</v>
      </c>
      <c r="E13" s="95">
        <f t="shared" si="1"/>
        <v>6.5179159967845663E-3</v>
      </c>
      <c r="F13" s="92"/>
    </row>
    <row r="14" spans="1:6">
      <c r="A14" s="93" t="s">
        <v>200</v>
      </c>
      <c r="B14" s="95">
        <v>3.0499999999999999E-2</v>
      </c>
      <c r="C14" s="99">
        <v>208</v>
      </c>
      <c r="D14" s="100">
        <f t="shared" si="0"/>
        <v>2.0900321543408359E-2</v>
      </c>
      <c r="E14" s="95">
        <f t="shared" si="1"/>
        <v>6.3745980707395492E-4</v>
      </c>
      <c r="F14" s="92"/>
    </row>
    <row r="15" spans="1:6">
      <c r="A15" s="93" t="s">
        <v>201</v>
      </c>
      <c r="B15" s="95">
        <v>3.0499999999999999E-2</v>
      </c>
      <c r="C15" s="99">
        <v>2460</v>
      </c>
      <c r="D15" s="100">
        <f t="shared" si="0"/>
        <v>0.24718649517684887</v>
      </c>
      <c r="E15" s="95">
        <f t="shared" si="1"/>
        <v>7.5391881028938909E-3</v>
      </c>
      <c r="F15" s="92"/>
    </row>
    <row r="16" spans="1:6">
      <c r="A16" s="93" t="s">
        <v>202</v>
      </c>
      <c r="B16" s="95">
        <v>0.03</v>
      </c>
      <c r="C16" s="99">
        <v>1000</v>
      </c>
      <c r="D16" s="100">
        <f t="shared" si="0"/>
        <v>0.10048231511254019</v>
      </c>
      <c r="E16" s="95">
        <f t="shared" si="1"/>
        <v>3.0144694533762056E-3</v>
      </c>
      <c r="F16" s="92"/>
    </row>
    <row r="17" spans="1:6">
      <c r="A17" s="93" t="s">
        <v>203</v>
      </c>
      <c r="B17" s="95">
        <v>1.375E-2</v>
      </c>
      <c r="C17" s="99">
        <v>1250</v>
      </c>
      <c r="D17" s="100">
        <f t="shared" si="0"/>
        <v>0.12560289389067525</v>
      </c>
      <c r="E17" s="95">
        <f t="shared" si="1"/>
        <v>1.7270397909967847E-3</v>
      </c>
      <c r="F17" s="92"/>
    </row>
    <row r="18" spans="1:6">
      <c r="A18" s="93" t="s">
        <v>204</v>
      </c>
      <c r="B18" s="95">
        <v>1.6E-2</v>
      </c>
      <c r="C18" s="99">
        <v>1750</v>
      </c>
      <c r="D18" s="100">
        <f t="shared" si="0"/>
        <v>0.17584405144694534</v>
      </c>
      <c r="E18" s="95">
        <f t="shared" si="1"/>
        <v>2.8135048231511255E-3</v>
      </c>
      <c r="F18" s="92"/>
    </row>
    <row r="19" spans="1:6">
      <c r="A19" s="93" t="s">
        <v>205</v>
      </c>
      <c r="B19" s="95">
        <v>1.7500000000000002E-2</v>
      </c>
      <c r="C19" s="99">
        <v>1000</v>
      </c>
      <c r="D19" s="100">
        <f t="shared" si="0"/>
        <v>0.10048231511254019</v>
      </c>
      <c r="E19" s="95">
        <f t="shared" si="1"/>
        <v>1.7584405144694534E-3</v>
      </c>
      <c r="F19" s="92"/>
    </row>
    <row r="20" spans="1:6">
      <c r="A20" s="93" t="s">
        <v>206</v>
      </c>
      <c r="B20" s="95">
        <v>2.12E-2</v>
      </c>
      <c r="C20" s="99">
        <v>805</v>
      </c>
      <c r="D20" s="100">
        <f t="shared" si="0"/>
        <v>8.0888263665594859E-2</v>
      </c>
      <c r="E20" s="95">
        <f t="shared" si="1"/>
        <v>1.7148311897106109E-3</v>
      </c>
      <c r="F20" s="92"/>
    </row>
    <row r="21" spans="1:6">
      <c r="A21" s="101"/>
      <c r="B21" s="101"/>
      <c r="C21" s="102">
        <f>SUM(C12:C20)</f>
        <v>9952</v>
      </c>
      <c r="D21" s="101"/>
      <c r="E21" s="103">
        <f>SUM(E12:E20)</f>
        <v>2.6085731511254023E-2</v>
      </c>
      <c r="F21" s="104" t="s">
        <v>207</v>
      </c>
    </row>
    <row r="22" spans="1:6">
      <c r="A22" s="92"/>
      <c r="B22" s="92"/>
      <c r="C22" s="105"/>
      <c r="D22" s="96" t="s">
        <v>208</v>
      </c>
      <c r="E22" s="106">
        <v>0.25</v>
      </c>
      <c r="F22" s="107"/>
    </row>
    <row r="23" spans="1:6">
      <c r="A23" s="92"/>
      <c r="B23" s="92"/>
      <c r="C23" s="105"/>
      <c r="D23" s="92"/>
      <c r="E23" s="106">
        <f>E21*(1-E22)</f>
        <v>1.9564298633440516E-2</v>
      </c>
      <c r="F23" s="108" t="s">
        <v>209</v>
      </c>
    </row>
    <row r="24" spans="1:6">
      <c r="A24" s="92"/>
      <c r="B24" s="92"/>
      <c r="C24" s="92"/>
      <c r="D24" s="92"/>
      <c r="E24" s="92"/>
      <c r="F24" s="92"/>
    </row>
    <row r="25" spans="1:6">
      <c r="A25" s="109" t="s">
        <v>210</v>
      </c>
      <c r="B25" s="92"/>
      <c r="C25" s="92"/>
      <c r="D25" s="92"/>
      <c r="E25" s="92"/>
      <c r="F25" s="92"/>
    </row>
    <row r="26" spans="1:6">
      <c r="A26" s="93" t="s">
        <v>211</v>
      </c>
      <c r="B26" s="99">
        <v>443870000</v>
      </c>
      <c r="C26" s="93" t="s">
        <v>212</v>
      </c>
      <c r="D26" s="92"/>
      <c r="E26" s="92"/>
      <c r="F26" s="92"/>
    </row>
    <row r="27" spans="1:6">
      <c r="A27" s="93" t="s">
        <v>213</v>
      </c>
      <c r="B27" s="110">
        <v>1011.17</v>
      </c>
      <c r="C27" s="93" t="s">
        <v>214</v>
      </c>
      <c r="D27" s="92"/>
      <c r="E27" s="92"/>
      <c r="F27" s="92"/>
    </row>
    <row r="28" spans="1:6">
      <c r="A28" s="96" t="s">
        <v>215</v>
      </c>
      <c r="B28" s="111">
        <f>B27*B26/1000000</f>
        <v>448828.02789999999</v>
      </c>
      <c r="C28" s="96" t="s">
        <v>216</v>
      </c>
      <c r="D28" s="92"/>
      <c r="E28" s="92"/>
      <c r="F28" s="92"/>
    </row>
    <row r="29" spans="1:6">
      <c r="A29" s="92"/>
      <c r="B29" s="92"/>
      <c r="C29" s="92"/>
      <c r="D29" s="92"/>
      <c r="E29" s="92"/>
      <c r="F29" s="92"/>
    </row>
    <row r="30" spans="1:6">
      <c r="A30" s="92"/>
      <c r="B30" s="92"/>
      <c r="C30" s="98" t="s">
        <v>217</v>
      </c>
      <c r="D30" s="98" t="s">
        <v>197</v>
      </c>
      <c r="E30" s="92"/>
      <c r="F30" s="92"/>
    </row>
    <row r="31" spans="1:6">
      <c r="A31" s="93" t="s">
        <v>218</v>
      </c>
      <c r="B31" s="100">
        <f>E23</f>
        <v>1.9564298633440516E-2</v>
      </c>
      <c r="C31" s="100">
        <f>C21/(B28+C21)</f>
        <v>2.169231307987372E-2</v>
      </c>
      <c r="D31" s="100">
        <f t="shared" ref="D31:D32" si="2">B31*C31</f>
        <v>4.2439489114473724E-4</v>
      </c>
      <c r="E31" s="92"/>
      <c r="F31" s="92"/>
    </row>
    <row r="32" spans="1:6">
      <c r="A32" s="93" t="s">
        <v>186</v>
      </c>
      <c r="B32" s="100">
        <f>B5</f>
        <v>9.4968999999999998E-2</v>
      </c>
      <c r="C32" s="100">
        <f>B28/(B28+C21)</f>
        <v>0.97830768692012626</v>
      </c>
      <c r="D32" s="100">
        <f t="shared" si="2"/>
        <v>9.2908902719117475E-2</v>
      </c>
      <c r="E32" s="92"/>
      <c r="F32" s="92"/>
    </row>
    <row r="33" spans="1:6">
      <c r="A33" s="112" t="s">
        <v>8</v>
      </c>
      <c r="B33" s="113"/>
      <c r="C33" s="113"/>
      <c r="D33" s="114">
        <f>SUM(D31:D32)</f>
        <v>9.3333297610262211E-2</v>
      </c>
      <c r="E33" s="92"/>
      <c r="F33" s="9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0"/>
  <sheetViews>
    <sheetView workbookViewId="0">
      <selection activeCell="H5" sqref="H5"/>
    </sheetView>
  </sheetViews>
  <sheetFormatPr defaultColWidth="12.6328125" defaultRowHeight="15" customHeight="1"/>
  <cols>
    <col min="1" max="5" width="8.7265625" customWidth="1"/>
    <col min="6" max="6" width="8.984375E-2" hidden="1" customWidth="1"/>
    <col min="7" max="7" width="8.7265625" customWidth="1"/>
    <col min="8" max="9" width="10.08984375" customWidth="1"/>
    <col min="10" max="10" width="9" customWidth="1"/>
    <col min="11" max="12" width="8.7265625" hidden="1" customWidth="1"/>
    <col min="13" max="13" width="8.7265625" customWidth="1"/>
    <col min="14" max="14" width="18" customWidth="1"/>
    <col min="15" max="18" width="9.453125" customWidth="1"/>
    <col min="19" max="19" width="11.26953125" customWidth="1"/>
    <col min="20" max="22" width="9.453125" customWidth="1"/>
    <col min="23" max="28" width="8.6328125" customWidth="1"/>
  </cols>
  <sheetData>
    <row r="1" spans="1:28" ht="13.5" customHeight="1">
      <c r="A1" s="115" t="s">
        <v>20</v>
      </c>
      <c r="B1" s="115" t="s">
        <v>219</v>
      </c>
      <c r="C1" s="115" t="s">
        <v>220</v>
      </c>
      <c r="D1" s="115" t="s">
        <v>221</v>
      </c>
      <c r="E1" s="115" t="s">
        <v>222</v>
      </c>
      <c r="F1" s="10"/>
      <c r="G1" s="116" t="s">
        <v>223</v>
      </c>
      <c r="H1" s="116" t="s">
        <v>224</v>
      </c>
      <c r="I1" s="116" t="s">
        <v>225</v>
      </c>
      <c r="J1" s="116" t="s">
        <v>226</v>
      </c>
      <c r="K1" s="10"/>
      <c r="L1" s="10"/>
      <c r="M1" s="10"/>
      <c r="N1" s="117" t="s">
        <v>227</v>
      </c>
      <c r="O1" s="117">
        <f>O20</f>
        <v>0.99585145273373021</v>
      </c>
      <c r="P1" s="118"/>
      <c r="Q1" s="118"/>
      <c r="R1" s="118"/>
      <c r="S1" s="118"/>
      <c r="T1" s="118"/>
      <c r="U1" s="118"/>
      <c r="V1" s="118"/>
      <c r="W1" s="10"/>
      <c r="X1" s="10"/>
      <c r="Y1" s="10"/>
      <c r="Z1" s="10"/>
      <c r="AA1" s="10"/>
      <c r="AB1" s="10"/>
    </row>
    <row r="2" spans="1:28" ht="13.5" hidden="1" customHeight="1">
      <c r="A2" s="119">
        <v>46064</v>
      </c>
      <c r="B2" s="120">
        <v>978.14</v>
      </c>
      <c r="C2" s="16"/>
      <c r="D2" s="120">
        <v>6941.47</v>
      </c>
      <c r="E2" s="16"/>
      <c r="F2" s="90">
        <v>4.1399999999999997</v>
      </c>
      <c r="G2" s="121"/>
      <c r="H2" s="121"/>
      <c r="I2" s="16"/>
      <c r="J2" s="16"/>
      <c r="K2" s="10"/>
      <c r="L2" s="10"/>
      <c r="M2" s="10"/>
      <c r="N2" s="118"/>
      <c r="O2" s="118"/>
      <c r="P2" s="118"/>
      <c r="Q2" s="118"/>
      <c r="R2" s="118"/>
      <c r="S2" s="118"/>
      <c r="T2" s="118"/>
      <c r="U2" s="118"/>
      <c r="V2" s="118"/>
      <c r="W2" s="10"/>
      <c r="X2" s="10"/>
      <c r="Y2" s="10"/>
      <c r="Z2" s="10"/>
      <c r="AA2" s="10"/>
      <c r="AB2" s="10"/>
    </row>
    <row r="3" spans="1:28" ht="13.5" customHeight="1">
      <c r="A3" s="119">
        <v>46052</v>
      </c>
      <c r="B3" s="120">
        <v>940.25</v>
      </c>
      <c r="C3" s="20">
        <f t="shared" ref="C3:C62" si="0">B3/B2-1</f>
        <v>-3.873678614513254E-2</v>
      </c>
      <c r="D3" s="120">
        <v>6939.0295201634999</v>
      </c>
      <c r="E3" s="122">
        <f t="shared" ref="E3:E62" si="1">D3/D2-1</f>
        <v>-3.5157968506671633E-4</v>
      </c>
      <c r="F3" s="90">
        <v>4.21</v>
      </c>
      <c r="G3" s="121">
        <f t="shared" ref="G3:G62" si="2">F3/100</f>
        <v>4.2099999999999999E-2</v>
      </c>
      <c r="H3" s="121">
        <f t="shared" ref="H3:H62" si="3">G3/12</f>
        <v>3.5083333333333334E-3</v>
      </c>
      <c r="I3" s="20">
        <f t="shared" ref="I3:I62" si="4">E3-H3</f>
        <v>-3.8599130184000497E-3</v>
      </c>
      <c r="J3" s="20">
        <f t="shared" ref="J3:J62" si="5">C3-H3</f>
        <v>-4.2245119478465876E-2</v>
      </c>
      <c r="K3" s="10"/>
      <c r="L3" s="10"/>
      <c r="M3" s="10"/>
      <c r="N3" s="118" t="s">
        <v>228</v>
      </c>
      <c r="O3" s="118"/>
      <c r="P3" s="118"/>
      <c r="Q3" s="118"/>
      <c r="R3" s="118"/>
      <c r="S3" s="118"/>
      <c r="T3" s="118"/>
      <c r="U3" s="118"/>
      <c r="V3" s="118"/>
      <c r="W3" s="10"/>
      <c r="X3" s="10"/>
      <c r="Y3" s="10"/>
      <c r="Z3" s="10"/>
      <c r="AA3" s="10"/>
      <c r="AB3" s="10"/>
    </row>
    <row r="4" spans="1:28" ht="13.5" hidden="1" customHeight="1">
      <c r="A4" s="119">
        <v>46022</v>
      </c>
      <c r="B4" s="120">
        <v>862.34</v>
      </c>
      <c r="C4" s="20">
        <f t="shared" si="0"/>
        <v>-8.2860941239032093E-2</v>
      </c>
      <c r="D4" s="120">
        <v>6845.5047061575797</v>
      </c>
      <c r="E4" s="20">
        <f t="shared" si="1"/>
        <v>-1.3478082739690755E-2</v>
      </c>
      <c r="F4" s="90">
        <v>4.1399999999999997</v>
      </c>
      <c r="G4" s="121">
        <f t="shared" si="2"/>
        <v>4.1399999999999999E-2</v>
      </c>
      <c r="H4" s="121">
        <f t="shared" si="3"/>
        <v>3.4499999999999999E-3</v>
      </c>
      <c r="I4" s="20">
        <f t="shared" si="4"/>
        <v>-1.6928082739690757E-2</v>
      </c>
      <c r="J4" s="20">
        <f t="shared" si="5"/>
        <v>-8.6310941239032088E-2</v>
      </c>
      <c r="K4" s="10"/>
      <c r="L4" s="10"/>
      <c r="M4" s="10"/>
      <c r="N4" s="118"/>
      <c r="O4" s="118"/>
      <c r="P4" s="118"/>
      <c r="Q4" s="118"/>
      <c r="R4" s="118"/>
      <c r="S4" s="118"/>
      <c r="T4" s="118"/>
      <c r="U4" s="118"/>
      <c r="V4" s="118"/>
      <c r="W4" s="10"/>
      <c r="X4" s="10"/>
      <c r="Y4" s="10"/>
      <c r="Z4" s="10"/>
      <c r="AA4" s="10"/>
      <c r="AB4" s="10"/>
    </row>
    <row r="5" spans="1:28" ht="13.5" customHeight="1">
      <c r="A5" s="119">
        <v>45989</v>
      </c>
      <c r="B5" s="120">
        <v>913.59</v>
      </c>
      <c r="C5" s="20">
        <f t="shared" si="0"/>
        <v>5.9431314794628598E-2</v>
      </c>
      <c r="D5" s="120">
        <v>6849.0873723464601</v>
      </c>
      <c r="E5" s="20">
        <f t="shared" si="1"/>
        <v>5.2336041572775827E-4</v>
      </c>
      <c r="F5" s="90">
        <v>4.09</v>
      </c>
      <c r="G5" s="121">
        <f t="shared" si="2"/>
        <v>4.0899999999999999E-2</v>
      </c>
      <c r="H5" s="121">
        <f t="shared" si="3"/>
        <v>3.4083333333333331E-3</v>
      </c>
      <c r="I5" s="20">
        <f t="shared" si="4"/>
        <v>-2.8849729176055748E-3</v>
      </c>
      <c r="J5" s="20">
        <f t="shared" si="5"/>
        <v>5.6022981461295265E-2</v>
      </c>
      <c r="K5" s="10"/>
      <c r="L5" s="10"/>
      <c r="M5" s="10"/>
      <c r="N5" s="252" t="s">
        <v>229</v>
      </c>
      <c r="O5" s="253"/>
      <c r="P5" s="118"/>
      <c r="Q5" s="118"/>
      <c r="R5" s="118"/>
      <c r="S5" s="118"/>
      <c r="T5" s="118"/>
      <c r="U5" s="118"/>
      <c r="V5" s="118"/>
      <c r="W5" s="10"/>
      <c r="X5" s="10"/>
      <c r="Y5" s="10"/>
      <c r="Z5" s="10"/>
      <c r="AA5" s="10"/>
      <c r="AB5" s="10"/>
    </row>
    <row r="6" spans="1:28" ht="13.5" customHeight="1">
      <c r="A6" s="119">
        <v>45961</v>
      </c>
      <c r="B6" s="120">
        <v>911.45</v>
      </c>
      <c r="C6" s="20">
        <f t="shared" si="0"/>
        <v>-2.3424074256503946E-3</v>
      </c>
      <c r="D6" s="120">
        <v>6840.1987413872303</v>
      </c>
      <c r="E6" s="20">
        <f t="shared" si="1"/>
        <v>-1.2977832630838293E-3</v>
      </c>
      <c r="F6" s="90">
        <v>4.0599999999999996</v>
      </c>
      <c r="G6" s="121">
        <f t="shared" si="2"/>
        <v>4.0599999999999997E-2</v>
      </c>
      <c r="H6" s="121">
        <f t="shared" si="3"/>
        <v>3.3833333333333332E-3</v>
      </c>
      <c r="I6" s="20">
        <f t="shared" si="4"/>
        <v>-4.681116596417163E-3</v>
      </c>
      <c r="J6" s="20">
        <f t="shared" si="5"/>
        <v>-5.7257407589837283E-3</v>
      </c>
      <c r="K6" s="10"/>
      <c r="L6" s="10"/>
      <c r="M6" s="10"/>
      <c r="N6" s="118" t="s">
        <v>230</v>
      </c>
      <c r="O6" s="118">
        <v>0.65393237217961198</v>
      </c>
      <c r="P6" s="118"/>
      <c r="Q6" s="118"/>
      <c r="R6" s="118"/>
      <c r="S6" s="118"/>
      <c r="T6" s="118"/>
      <c r="U6" s="118"/>
      <c r="V6" s="118"/>
      <c r="W6" s="10"/>
      <c r="X6" s="10"/>
      <c r="Y6" s="10"/>
      <c r="Z6" s="10"/>
      <c r="AA6" s="10"/>
      <c r="AB6" s="10"/>
    </row>
    <row r="7" spans="1:28" ht="13.5" customHeight="1">
      <c r="A7" s="119">
        <v>45930</v>
      </c>
      <c r="B7" s="120">
        <v>925.63</v>
      </c>
      <c r="C7" s="20">
        <f t="shared" si="0"/>
        <v>1.5557627955455455E-2</v>
      </c>
      <c r="D7" s="120">
        <v>6688.45903689016</v>
      </c>
      <c r="E7" s="20">
        <f t="shared" si="1"/>
        <v>-2.2183522765055863E-2</v>
      </c>
      <c r="F7" s="90">
        <v>4.12</v>
      </c>
      <c r="G7" s="121">
        <f t="shared" si="2"/>
        <v>4.1200000000000001E-2</v>
      </c>
      <c r="H7" s="121">
        <f t="shared" si="3"/>
        <v>3.4333333333333334E-3</v>
      </c>
      <c r="I7" s="20">
        <f t="shared" si="4"/>
        <v>-2.5616856098389196E-2</v>
      </c>
      <c r="J7" s="20">
        <f t="shared" si="5"/>
        <v>1.2124294622122122E-2</v>
      </c>
      <c r="K7" s="10"/>
      <c r="L7" s="10"/>
      <c r="M7" s="10"/>
      <c r="N7" s="118" t="s">
        <v>231</v>
      </c>
      <c r="O7" s="118">
        <v>0.42762754738445452</v>
      </c>
      <c r="P7" s="118"/>
      <c r="Q7" s="118"/>
      <c r="R7" s="118"/>
      <c r="S7" s="118"/>
      <c r="T7" s="118"/>
      <c r="U7" s="118"/>
      <c r="V7" s="118"/>
      <c r="W7" s="10"/>
      <c r="X7" s="10"/>
      <c r="Y7" s="10"/>
      <c r="Z7" s="10"/>
      <c r="AA7" s="10"/>
      <c r="AB7" s="10"/>
    </row>
    <row r="8" spans="1:28" ht="13.5" customHeight="1">
      <c r="A8" s="119">
        <v>45898</v>
      </c>
      <c r="B8" s="120">
        <v>943.32</v>
      </c>
      <c r="C8" s="20">
        <f t="shared" si="0"/>
        <v>1.9111307974028602E-2</v>
      </c>
      <c r="D8" s="120">
        <v>6460.2626670192003</v>
      </c>
      <c r="E8" s="20">
        <f t="shared" si="1"/>
        <v>-3.4117928899966898E-2</v>
      </c>
      <c r="F8" s="90">
        <v>4.26</v>
      </c>
      <c r="G8" s="121">
        <f t="shared" si="2"/>
        <v>4.2599999999999999E-2</v>
      </c>
      <c r="H8" s="121">
        <f t="shared" si="3"/>
        <v>3.5499999999999998E-3</v>
      </c>
      <c r="I8" s="20">
        <f t="shared" si="4"/>
        <v>-3.7667928899966896E-2</v>
      </c>
      <c r="J8" s="20">
        <f t="shared" si="5"/>
        <v>1.5561307974028602E-2</v>
      </c>
      <c r="K8" s="10"/>
      <c r="L8" s="10"/>
      <c r="M8" s="10"/>
      <c r="N8" s="118" t="s">
        <v>232</v>
      </c>
      <c r="O8" s="118">
        <v>0.41775905682211756</v>
      </c>
      <c r="P8" s="118"/>
      <c r="Q8" s="118"/>
      <c r="R8" s="118"/>
      <c r="S8" s="118"/>
      <c r="T8" s="118"/>
      <c r="U8" s="118"/>
      <c r="V8" s="118"/>
      <c r="W8" s="10"/>
      <c r="X8" s="10"/>
      <c r="Y8" s="10"/>
      <c r="Z8" s="10"/>
      <c r="AA8" s="10"/>
      <c r="AB8" s="10"/>
    </row>
    <row r="9" spans="1:28" ht="13.5" customHeight="1">
      <c r="A9" s="119">
        <v>45869</v>
      </c>
      <c r="B9" s="120">
        <v>939.64</v>
      </c>
      <c r="C9" s="20">
        <f t="shared" si="0"/>
        <v>-3.9011152101090518E-3</v>
      </c>
      <c r="D9" s="120">
        <v>6339.3945671658003</v>
      </c>
      <c r="E9" s="20">
        <f t="shared" si="1"/>
        <v>-1.8709471438437486E-2</v>
      </c>
      <c r="F9" s="90">
        <v>4.3899999999999997</v>
      </c>
      <c r="G9" s="121">
        <f t="shared" si="2"/>
        <v>4.3899999999999995E-2</v>
      </c>
      <c r="H9" s="121">
        <f t="shared" si="3"/>
        <v>3.6583333333333329E-3</v>
      </c>
      <c r="I9" s="20">
        <f t="shared" si="4"/>
        <v>-2.2367804771770819E-2</v>
      </c>
      <c r="J9" s="20">
        <f t="shared" si="5"/>
        <v>-7.5594485434423847E-3</v>
      </c>
      <c r="K9" s="10"/>
      <c r="L9" s="10"/>
      <c r="M9" s="10"/>
      <c r="N9" s="118" t="s">
        <v>233</v>
      </c>
      <c r="O9" s="118">
        <v>5.0870853250924754E-2</v>
      </c>
      <c r="P9" s="118"/>
      <c r="Q9" s="118"/>
      <c r="R9" s="118"/>
      <c r="S9" s="118"/>
      <c r="T9" s="118"/>
      <c r="U9" s="118"/>
      <c r="V9" s="118"/>
      <c r="W9" s="10"/>
      <c r="X9" s="10"/>
      <c r="Y9" s="10"/>
      <c r="Z9" s="10"/>
      <c r="AA9" s="10"/>
      <c r="AB9" s="10"/>
    </row>
    <row r="10" spans="1:28" ht="13.5" customHeight="1">
      <c r="A10" s="119">
        <v>45838</v>
      </c>
      <c r="B10" s="120">
        <v>989.94</v>
      </c>
      <c r="C10" s="20">
        <f t="shared" si="0"/>
        <v>5.3531139585373255E-2</v>
      </c>
      <c r="D10" s="120">
        <v>6204.9539523896201</v>
      </c>
      <c r="E10" s="20">
        <f t="shared" si="1"/>
        <v>-2.1207169446827101E-2</v>
      </c>
      <c r="F10" s="90">
        <v>4.38</v>
      </c>
      <c r="G10" s="121">
        <f t="shared" si="2"/>
        <v>4.3799999999999999E-2</v>
      </c>
      <c r="H10" s="121">
        <f t="shared" si="3"/>
        <v>3.65E-3</v>
      </c>
      <c r="I10" s="20">
        <f t="shared" si="4"/>
        <v>-2.4857169446827101E-2</v>
      </c>
      <c r="J10" s="20">
        <f t="shared" si="5"/>
        <v>4.9881139585373255E-2</v>
      </c>
      <c r="K10" s="10"/>
      <c r="L10" s="10"/>
      <c r="M10" s="10"/>
      <c r="N10" s="124" t="s">
        <v>234</v>
      </c>
      <c r="O10" s="124">
        <v>60</v>
      </c>
      <c r="P10" s="118"/>
      <c r="Q10" s="118"/>
      <c r="R10" s="118"/>
      <c r="S10" s="118"/>
      <c r="T10" s="118"/>
      <c r="U10" s="118"/>
      <c r="V10" s="118"/>
      <c r="W10" s="10"/>
      <c r="X10" s="10"/>
      <c r="Y10" s="10"/>
      <c r="Z10" s="10"/>
      <c r="AA10" s="10"/>
      <c r="AB10" s="10"/>
    </row>
    <row r="11" spans="1:28" ht="13.5" hidden="1" customHeight="1">
      <c r="A11" s="119">
        <v>45807</v>
      </c>
      <c r="B11" s="120">
        <v>1040.18</v>
      </c>
      <c r="C11" s="20">
        <f t="shared" si="0"/>
        <v>5.0750550538416483E-2</v>
      </c>
      <c r="D11" s="120">
        <v>5911.6867231263304</v>
      </c>
      <c r="E11" s="20">
        <f t="shared" si="1"/>
        <v>-4.7263401390810977E-2</v>
      </c>
      <c r="F11" s="90">
        <v>4.42</v>
      </c>
      <c r="G11" s="121">
        <f t="shared" si="2"/>
        <v>4.4199999999999996E-2</v>
      </c>
      <c r="H11" s="121">
        <f t="shared" si="3"/>
        <v>3.6833333333333332E-3</v>
      </c>
      <c r="I11" s="20">
        <f t="shared" si="4"/>
        <v>-5.0946734724144307E-2</v>
      </c>
      <c r="J11" s="20">
        <f t="shared" si="5"/>
        <v>4.7067217205083153E-2</v>
      </c>
      <c r="K11" s="10"/>
      <c r="L11" s="10"/>
      <c r="M11" s="10"/>
      <c r="N11" s="118"/>
      <c r="O11" s="118"/>
      <c r="P11" s="118"/>
      <c r="Q11" s="118"/>
      <c r="R11" s="118"/>
      <c r="S11" s="118"/>
      <c r="T11" s="118"/>
      <c r="U11" s="118"/>
      <c r="V11" s="118"/>
      <c r="W11" s="10"/>
      <c r="X11" s="10"/>
      <c r="Y11" s="10"/>
      <c r="Z11" s="10"/>
      <c r="AA11" s="10"/>
      <c r="AB11" s="10"/>
    </row>
    <row r="12" spans="1:28" ht="13.5" customHeight="1">
      <c r="A12" s="119">
        <v>45777</v>
      </c>
      <c r="B12" s="120">
        <v>994.5</v>
      </c>
      <c r="C12" s="20">
        <f t="shared" si="0"/>
        <v>-4.3915476167586398E-2</v>
      </c>
      <c r="D12" s="120">
        <v>5569.0646749468096</v>
      </c>
      <c r="E12" s="20">
        <f t="shared" si="1"/>
        <v>-5.7956732862584626E-2</v>
      </c>
      <c r="F12" s="90">
        <v>4.28</v>
      </c>
      <c r="G12" s="121">
        <f t="shared" si="2"/>
        <v>4.2800000000000005E-2</v>
      </c>
      <c r="H12" s="121">
        <f t="shared" si="3"/>
        <v>3.5666666666666672E-3</v>
      </c>
      <c r="I12" s="20">
        <f t="shared" si="4"/>
        <v>-6.1523399529251295E-2</v>
      </c>
      <c r="J12" s="20">
        <f t="shared" si="5"/>
        <v>-4.7482142834253067E-2</v>
      </c>
      <c r="K12" s="10"/>
      <c r="L12" s="10"/>
      <c r="M12" s="10"/>
      <c r="N12" s="118" t="s">
        <v>235</v>
      </c>
      <c r="O12" s="118"/>
      <c r="P12" s="118"/>
      <c r="Q12" s="118"/>
      <c r="R12" s="118"/>
      <c r="S12" s="118"/>
      <c r="T12" s="118"/>
      <c r="U12" s="118"/>
      <c r="V12" s="118"/>
      <c r="W12" s="10"/>
      <c r="X12" s="10"/>
      <c r="Y12" s="10"/>
      <c r="Z12" s="10"/>
      <c r="AA12" s="10"/>
      <c r="AB12" s="10"/>
    </row>
    <row r="13" spans="1:28" ht="13.5" customHeight="1">
      <c r="A13" s="119">
        <v>45747</v>
      </c>
      <c r="B13" s="120">
        <v>945.78</v>
      </c>
      <c r="C13" s="20">
        <f t="shared" si="0"/>
        <v>-4.8989441930618383E-2</v>
      </c>
      <c r="D13" s="120">
        <v>5611.8526068176297</v>
      </c>
      <c r="E13" s="20">
        <f t="shared" si="1"/>
        <v>7.6831450823884317E-3</v>
      </c>
      <c r="F13" s="90">
        <v>4.28</v>
      </c>
      <c r="G13" s="121">
        <f t="shared" si="2"/>
        <v>4.2800000000000005E-2</v>
      </c>
      <c r="H13" s="121">
        <f t="shared" si="3"/>
        <v>3.5666666666666672E-3</v>
      </c>
      <c r="I13" s="20">
        <f t="shared" si="4"/>
        <v>4.1164784157217641E-3</v>
      </c>
      <c r="J13" s="20">
        <f t="shared" si="5"/>
        <v>-5.2556108597285052E-2</v>
      </c>
      <c r="K13" s="10"/>
      <c r="L13" s="10"/>
      <c r="M13" s="10"/>
      <c r="N13" s="123"/>
      <c r="O13" s="123" t="s">
        <v>236</v>
      </c>
      <c r="P13" s="123" t="s">
        <v>237</v>
      </c>
      <c r="Q13" s="123" t="s">
        <v>238</v>
      </c>
      <c r="R13" s="123" t="s">
        <v>239</v>
      </c>
      <c r="S13" s="123" t="s">
        <v>240</v>
      </c>
      <c r="T13" s="118"/>
      <c r="U13" s="118"/>
      <c r="V13" s="118"/>
      <c r="W13" s="10"/>
      <c r="X13" s="10"/>
      <c r="Y13" s="10"/>
      <c r="Z13" s="10"/>
      <c r="AA13" s="10"/>
      <c r="AB13" s="10"/>
    </row>
    <row r="14" spans="1:28" ht="13.5" customHeight="1">
      <c r="A14" s="119">
        <v>45716</v>
      </c>
      <c r="B14" s="120">
        <v>1048.6099999999999</v>
      </c>
      <c r="C14" s="20">
        <f t="shared" si="0"/>
        <v>0.1087250734843197</v>
      </c>
      <c r="D14" s="120">
        <v>5954.5048269650797</v>
      </c>
      <c r="E14" s="20">
        <f t="shared" si="1"/>
        <v>6.1058663538521074E-2</v>
      </c>
      <c r="F14" s="90">
        <v>4.45</v>
      </c>
      <c r="G14" s="121">
        <f t="shared" si="2"/>
        <v>4.4500000000000005E-2</v>
      </c>
      <c r="H14" s="121">
        <f t="shared" si="3"/>
        <v>3.7083333333333339E-3</v>
      </c>
      <c r="I14" s="20">
        <f t="shared" si="4"/>
        <v>5.735033020518774E-2</v>
      </c>
      <c r="J14" s="20">
        <f t="shared" si="5"/>
        <v>0.10501674015098637</v>
      </c>
      <c r="K14" s="10"/>
      <c r="L14" s="10"/>
      <c r="M14" s="10"/>
      <c r="N14" s="118" t="s">
        <v>241</v>
      </c>
      <c r="O14" s="118">
        <v>1</v>
      </c>
      <c r="P14" s="118">
        <v>0.11213804704329089</v>
      </c>
      <c r="Q14" s="118">
        <v>0.11213804704329089</v>
      </c>
      <c r="R14" s="118">
        <v>43.332619581812367</v>
      </c>
      <c r="S14" s="118">
        <v>1.4665226983498349E-8</v>
      </c>
      <c r="T14" s="118"/>
      <c r="U14" s="118"/>
      <c r="V14" s="118"/>
      <c r="W14" s="10"/>
      <c r="X14" s="10"/>
      <c r="Y14" s="10"/>
      <c r="Z14" s="10"/>
      <c r="AA14" s="10"/>
      <c r="AB14" s="10"/>
    </row>
    <row r="15" spans="1:28" ht="13.5" customHeight="1">
      <c r="A15" s="119">
        <v>45688</v>
      </c>
      <c r="B15" s="120">
        <v>979.88</v>
      </c>
      <c r="C15" s="20">
        <f t="shared" si="0"/>
        <v>-6.5543910510103776E-2</v>
      </c>
      <c r="D15" s="120">
        <v>6040.5259338818596</v>
      </c>
      <c r="E15" s="20">
        <f t="shared" si="1"/>
        <v>1.4446391331690789E-2</v>
      </c>
      <c r="F15" s="90">
        <v>4.63</v>
      </c>
      <c r="G15" s="121">
        <f t="shared" si="2"/>
        <v>4.6300000000000001E-2</v>
      </c>
      <c r="H15" s="121">
        <f t="shared" si="3"/>
        <v>3.8583333333333334E-3</v>
      </c>
      <c r="I15" s="20">
        <f t="shared" si="4"/>
        <v>1.0588057998357455E-2</v>
      </c>
      <c r="J15" s="20">
        <f t="shared" si="5"/>
        <v>-6.9402243843437114E-2</v>
      </c>
      <c r="K15" s="10"/>
      <c r="L15" s="10"/>
      <c r="M15" s="10"/>
      <c r="N15" s="118" t="s">
        <v>242</v>
      </c>
      <c r="O15" s="118">
        <v>58</v>
      </c>
      <c r="P15" s="118">
        <v>0.15009493520767303</v>
      </c>
      <c r="Q15" s="118">
        <v>2.5878437104771214E-3</v>
      </c>
      <c r="R15" s="118"/>
      <c r="S15" s="118"/>
      <c r="T15" s="118"/>
      <c r="U15" s="118"/>
      <c r="V15" s="118"/>
      <c r="W15" s="10"/>
      <c r="X15" s="10"/>
      <c r="Y15" s="10"/>
      <c r="Z15" s="10"/>
      <c r="AA15" s="10"/>
      <c r="AB15" s="10"/>
    </row>
    <row r="16" spans="1:28" ht="13.5" customHeight="1">
      <c r="A16" s="119">
        <v>45657</v>
      </c>
      <c r="B16" s="120">
        <v>916.27</v>
      </c>
      <c r="C16" s="20">
        <f t="shared" si="0"/>
        <v>-6.4916112177001328E-2</v>
      </c>
      <c r="D16" s="120">
        <v>5881.6276482140902</v>
      </c>
      <c r="E16" s="20">
        <f t="shared" si="1"/>
        <v>-2.6305372645864189E-2</v>
      </c>
      <c r="F16" s="90">
        <v>4.3899999999999997</v>
      </c>
      <c r="G16" s="121">
        <f t="shared" si="2"/>
        <v>4.3899999999999995E-2</v>
      </c>
      <c r="H16" s="121">
        <f t="shared" si="3"/>
        <v>3.6583333333333329E-3</v>
      </c>
      <c r="I16" s="20">
        <f t="shared" si="4"/>
        <v>-2.9963705979197522E-2</v>
      </c>
      <c r="J16" s="20">
        <f t="shared" si="5"/>
        <v>-6.8574445510334661E-2</v>
      </c>
      <c r="K16" s="10"/>
      <c r="L16" s="10"/>
      <c r="M16" s="10"/>
      <c r="N16" s="124" t="s">
        <v>122</v>
      </c>
      <c r="O16" s="124">
        <v>59</v>
      </c>
      <c r="P16" s="124">
        <v>0.26223298225096392</v>
      </c>
      <c r="Q16" s="124"/>
      <c r="R16" s="124"/>
      <c r="S16" s="124"/>
      <c r="T16" s="118"/>
      <c r="U16" s="118"/>
      <c r="V16" s="118"/>
      <c r="W16" s="10"/>
      <c r="X16" s="10"/>
      <c r="Y16" s="10"/>
      <c r="Z16" s="10"/>
      <c r="AA16" s="10"/>
      <c r="AB16" s="10"/>
    </row>
    <row r="17" spans="1:28" ht="13.5" customHeight="1">
      <c r="A17" s="119">
        <v>45625</v>
      </c>
      <c r="B17" s="120">
        <v>971.88</v>
      </c>
      <c r="C17" s="20">
        <f t="shared" si="0"/>
        <v>6.069171750684843E-2</v>
      </c>
      <c r="D17" s="120">
        <v>6032.3844122739201</v>
      </c>
      <c r="E17" s="20">
        <f t="shared" si="1"/>
        <v>2.5631810287345624E-2</v>
      </c>
      <c r="F17" s="90">
        <v>4.3600000000000003</v>
      </c>
      <c r="G17" s="121">
        <f t="shared" si="2"/>
        <v>4.36E-2</v>
      </c>
      <c r="H17" s="121">
        <f t="shared" si="3"/>
        <v>3.6333333333333335E-3</v>
      </c>
      <c r="I17" s="20">
        <f t="shared" si="4"/>
        <v>2.1998476954012292E-2</v>
      </c>
      <c r="J17" s="20">
        <f t="shared" si="5"/>
        <v>5.7058384173515095E-2</v>
      </c>
      <c r="K17" s="10"/>
      <c r="L17" s="10"/>
      <c r="M17" s="10"/>
      <c r="N17" s="118"/>
      <c r="O17" s="118"/>
      <c r="P17" s="118"/>
      <c r="Q17" s="118"/>
      <c r="R17" s="118"/>
      <c r="S17" s="118"/>
      <c r="T17" s="118"/>
      <c r="U17" s="118"/>
      <c r="V17" s="118"/>
      <c r="W17" s="10"/>
      <c r="X17" s="10"/>
      <c r="Y17" s="10"/>
      <c r="Z17" s="10"/>
      <c r="AA17" s="10"/>
      <c r="AB17" s="10"/>
    </row>
    <row r="18" spans="1:28" ht="13.5" customHeight="1">
      <c r="A18" s="119">
        <v>45596</v>
      </c>
      <c r="B18" s="120">
        <v>874.18</v>
      </c>
      <c r="C18" s="20">
        <f t="shared" si="0"/>
        <v>-0.10052681400996011</v>
      </c>
      <c r="D18" s="120">
        <v>5705.4479206697297</v>
      </c>
      <c r="E18" s="20">
        <f t="shared" si="1"/>
        <v>-5.4196892847044431E-2</v>
      </c>
      <c r="F18" s="90">
        <v>4.0999999999999996</v>
      </c>
      <c r="G18" s="121">
        <f t="shared" si="2"/>
        <v>4.0999999999999995E-2</v>
      </c>
      <c r="H18" s="121">
        <f t="shared" si="3"/>
        <v>3.4166666666666664E-3</v>
      </c>
      <c r="I18" s="20">
        <f t="shared" si="4"/>
        <v>-5.7613559513711096E-2</v>
      </c>
      <c r="J18" s="20">
        <f t="shared" si="5"/>
        <v>-0.10394348067662677</v>
      </c>
      <c r="K18" s="10"/>
      <c r="L18" s="10"/>
      <c r="M18" s="10"/>
      <c r="N18" s="123"/>
      <c r="O18" s="123" t="s">
        <v>243</v>
      </c>
      <c r="P18" s="123" t="s">
        <v>233</v>
      </c>
      <c r="Q18" s="123" t="s">
        <v>244</v>
      </c>
      <c r="R18" s="123" t="s">
        <v>245</v>
      </c>
      <c r="S18" s="123" t="s">
        <v>246</v>
      </c>
      <c r="T18" s="123" t="s">
        <v>247</v>
      </c>
      <c r="U18" s="123" t="s">
        <v>248</v>
      </c>
      <c r="V18" s="123" t="s">
        <v>249</v>
      </c>
      <c r="W18" s="10"/>
      <c r="X18" s="10"/>
      <c r="Y18" s="10"/>
      <c r="Z18" s="10"/>
      <c r="AA18" s="10"/>
      <c r="AB18" s="10"/>
    </row>
    <row r="19" spans="1:28" ht="13.5" customHeight="1">
      <c r="A19" s="119">
        <v>45565</v>
      </c>
      <c r="B19" s="120">
        <v>886.52</v>
      </c>
      <c r="C19" s="20">
        <f t="shared" si="0"/>
        <v>1.4116085931959121E-2</v>
      </c>
      <c r="D19" s="120">
        <v>5762.4848833691203</v>
      </c>
      <c r="E19" s="20">
        <f t="shared" si="1"/>
        <v>9.9969298629047909E-3</v>
      </c>
      <c r="F19" s="90">
        <v>3.72</v>
      </c>
      <c r="G19" s="121">
        <f t="shared" si="2"/>
        <v>3.7200000000000004E-2</v>
      </c>
      <c r="H19" s="121">
        <f t="shared" si="3"/>
        <v>3.1000000000000003E-3</v>
      </c>
      <c r="I19" s="20">
        <f t="shared" si="4"/>
        <v>6.8969298629047906E-3</v>
      </c>
      <c r="J19" s="20">
        <f t="shared" si="5"/>
        <v>1.1016085931959121E-2</v>
      </c>
      <c r="K19" s="10"/>
      <c r="L19" s="10"/>
      <c r="M19" s="10"/>
      <c r="N19" s="118" t="s">
        <v>250</v>
      </c>
      <c r="O19" s="118">
        <v>-6.7776039396076349E-3</v>
      </c>
      <c r="P19" s="118">
        <v>6.8083311559386066E-3</v>
      </c>
      <c r="Q19" s="118">
        <v>-0.99548682112735221</v>
      </c>
      <c r="R19" s="118">
        <v>0.32363469014051882</v>
      </c>
      <c r="S19" s="118">
        <v>-2.0405959452300684E-2</v>
      </c>
      <c r="T19" s="118">
        <v>6.8507515730854129E-3</v>
      </c>
      <c r="U19" s="118">
        <v>-2.0405959452300684E-2</v>
      </c>
      <c r="V19" s="118">
        <v>6.8507515730854129E-3</v>
      </c>
      <c r="W19" s="10"/>
      <c r="X19" s="10"/>
      <c r="Y19" s="10"/>
      <c r="Z19" s="10"/>
      <c r="AA19" s="10"/>
      <c r="AB19" s="10"/>
    </row>
    <row r="20" spans="1:28" ht="13.5" customHeight="1">
      <c r="A20" s="119">
        <v>45534</v>
      </c>
      <c r="B20" s="120">
        <v>892.38</v>
      </c>
      <c r="C20" s="20">
        <f t="shared" si="0"/>
        <v>6.6101159590308267E-3</v>
      </c>
      <c r="D20" s="120">
        <v>5648.3972363167604</v>
      </c>
      <c r="E20" s="20">
        <f t="shared" si="1"/>
        <v>-1.9798342097455901E-2</v>
      </c>
      <c r="F20" s="90">
        <v>3.87</v>
      </c>
      <c r="G20" s="121">
        <f t="shared" si="2"/>
        <v>3.8699999999999998E-2</v>
      </c>
      <c r="H20" s="121">
        <f t="shared" si="3"/>
        <v>3.225E-3</v>
      </c>
      <c r="I20" s="20">
        <f t="shared" si="4"/>
        <v>-2.30233420974559E-2</v>
      </c>
      <c r="J20" s="20">
        <f t="shared" si="5"/>
        <v>3.3851159590308267E-3</v>
      </c>
      <c r="K20" s="10"/>
      <c r="L20" s="10"/>
      <c r="M20" s="10"/>
      <c r="N20" s="124" t="s">
        <v>251</v>
      </c>
      <c r="O20" s="124">
        <v>0.99585145273373021</v>
      </c>
      <c r="P20" s="124">
        <v>0.151281941394487</v>
      </c>
      <c r="Q20" s="124">
        <v>6.5827516725008195</v>
      </c>
      <c r="R20" s="124">
        <v>1.4665226983498457E-8</v>
      </c>
      <c r="S20" s="124">
        <v>0.69302774560895075</v>
      </c>
      <c r="T20" s="124">
        <v>1.2986751598585098</v>
      </c>
      <c r="U20" s="124">
        <v>0.69302774560895075</v>
      </c>
      <c r="V20" s="124">
        <v>1.2986751598585098</v>
      </c>
      <c r="W20" s="10"/>
      <c r="X20" s="10"/>
      <c r="Y20" s="10"/>
      <c r="Z20" s="10"/>
      <c r="AA20" s="10"/>
      <c r="AB20" s="10"/>
    </row>
    <row r="21" spans="1:28" ht="13.5" customHeight="1">
      <c r="A21" s="119">
        <v>45504</v>
      </c>
      <c r="B21" s="120">
        <v>822</v>
      </c>
      <c r="C21" s="20">
        <f t="shared" si="0"/>
        <v>-7.886774692395615E-2</v>
      </c>
      <c r="D21" s="120">
        <v>5522.3018368946596</v>
      </c>
      <c r="E21" s="20">
        <f t="shared" si="1"/>
        <v>-2.2324102598762274E-2</v>
      </c>
      <c r="F21" s="90">
        <v>4.25</v>
      </c>
      <c r="G21" s="121">
        <f t="shared" si="2"/>
        <v>4.2500000000000003E-2</v>
      </c>
      <c r="H21" s="121">
        <f t="shared" si="3"/>
        <v>3.5416666666666669E-3</v>
      </c>
      <c r="I21" s="20">
        <f t="shared" si="4"/>
        <v>-2.586576926542894E-2</v>
      </c>
      <c r="J21" s="20">
        <f t="shared" si="5"/>
        <v>-8.2409413590622815E-2</v>
      </c>
      <c r="K21" s="10"/>
      <c r="L21" s="10"/>
      <c r="M21" s="10"/>
      <c r="N21" s="125"/>
      <c r="O21" s="125"/>
      <c r="P21" s="125"/>
      <c r="Q21" s="125"/>
      <c r="R21" s="125"/>
      <c r="S21" s="125"/>
      <c r="T21" s="125"/>
      <c r="U21" s="125"/>
      <c r="V21" s="125"/>
      <c r="W21" s="10"/>
      <c r="X21" s="10"/>
      <c r="Y21" s="10"/>
      <c r="Z21" s="10"/>
      <c r="AA21" s="10"/>
      <c r="AB21" s="10"/>
    </row>
    <row r="22" spans="1:28" ht="13.5" customHeight="1">
      <c r="A22" s="119">
        <v>45471</v>
      </c>
      <c r="B22" s="120">
        <v>849.99</v>
      </c>
      <c r="C22" s="20">
        <f t="shared" si="0"/>
        <v>3.4051094890511058E-2</v>
      </c>
      <c r="D22" s="120">
        <v>5460.4826211495201</v>
      </c>
      <c r="E22" s="20">
        <f t="shared" si="1"/>
        <v>-1.1194465201471493E-2</v>
      </c>
      <c r="F22" s="90">
        <v>4.3099999999999996</v>
      </c>
      <c r="G22" s="121">
        <f t="shared" si="2"/>
        <v>4.3099999999999999E-2</v>
      </c>
      <c r="H22" s="121">
        <f t="shared" si="3"/>
        <v>3.5916666666666666E-3</v>
      </c>
      <c r="I22" s="20">
        <f t="shared" si="4"/>
        <v>-1.478613186813816E-2</v>
      </c>
      <c r="J22" s="20">
        <f t="shared" si="5"/>
        <v>3.0459428223844391E-2</v>
      </c>
      <c r="K22" s="10"/>
      <c r="L22" s="10"/>
      <c r="M22" s="10"/>
      <c r="N22" s="126" t="s">
        <v>252</v>
      </c>
      <c r="O22" s="126" t="s">
        <v>253</v>
      </c>
      <c r="P22" s="126"/>
      <c r="Q22" s="126"/>
      <c r="R22" s="126"/>
      <c r="S22" s="125"/>
      <c r="T22" s="125"/>
      <c r="U22" s="125"/>
      <c r="V22" s="125"/>
      <c r="W22" s="10"/>
      <c r="X22" s="10"/>
      <c r="Y22" s="10"/>
      <c r="Z22" s="10"/>
      <c r="AA22" s="10"/>
      <c r="AB22" s="10"/>
    </row>
    <row r="23" spans="1:28" ht="13.5" customHeight="1">
      <c r="A23" s="119">
        <v>45443</v>
      </c>
      <c r="B23" s="120">
        <v>809.89</v>
      </c>
      <c r="C23" s="20">
        <f t="shared" si="0"/>
        <v>-4.7177025612066048E-2</v>
      </c>
      <c r="D23" s="120">
        <v>5277.5073452655797</v>
      </c>
      <c r="E23" s="20">
        <f t="shared" si="1"/>
        <v>-3.3508993358067118E-2</v>
      </c>
      <c r="F23" s="90">
        <v>4.4800000000000004</v>
      </c>
      <c r="G23" s="121">
        <f t="shared" si="2"/>
        <v>4.4800000000000006E-2</v>
      </c>
      <c r="H23" s="121">
        <f t="shared" si="3"/>
        <v>3.7333333333333337E-3</v>
      </c>
      <c r="I23" s="20">
        <f t="shared" si="4"/>
        <v>-3.724232669140045E-2</v>
      </c>
      <c r="J23" s="20">
        <f t="shared" si="5"/>
        <v>-5.091035894539938E-2</v>
      </c>
      <c r="K23" s="10"/>
      <c r="L23" s="10"/>
      <c r="M23" s="10"/>
      <c r="N23" s="125"/>
      <c r="O23" s="125"/>
      <c r="P23" s="125"/>
      <c r="Q23" s="125"/>
      <c r="R23" s="125"/>
      <c r="S23" s="125"/>
      <c r="T23" s="125"/>
      <c r="U23" s="125"/>
      <c r="V23" s="125"/>
      <c r="W23" s="10"/>
      <c r="X23" s="10"/>
      <c r="Y23" s="10"/>
      <c r="Z23" s="10"/>
      <c r="AA23" s="10"/>
      <c r="AB23" s="10"/>
    </row>
    <row r="24" spans="1:28" ht="13.5" customHeight="1">
      <c r="A24" s="119">
        <v>45412</v>
      </c>
      <c r="B24" s="120">
        <v>722.9</v>
      </c>
      <c r="C24" s="20">
        <f t="shared" si="0"/>
        <v>-0.10740964822383292</v>
      </c>
      <c r="D24" s="120">
        <v>5035.6916784595196</v>
      </c>
      <c r="E24" s="20">
        <f t="shared" si="1"/>
        <v>-4.5820053101961356E-2</v>
      </c>
      <c r="F24" s="90">
        <v>4.54</v>
      </c>
      <c r="G24" s="121">
        <f t="shared" si="2"/>
        <v>4.5400000000000003E-2</v>
      </c>
      <c r="H24" s="121">
        <f t="shared" si="3"/>
        <v>3.7833333333333334E-3</v>
      </c>
      <c r="I24" s="20">
        <f t="shared" si="4"/>
        <v>-4.9603386435294688E-2</v>
      </c>
      <c r="J24" s="20">
        <f t="shared" si="5"/>
        <v>-0.11119298155716625</v>
      </c>
      <c r="K24" s="10"/>
      <c r="L24" s="10"/>
      <c r="M24" s="10"/>
      <c r="N24" s="125"/>
      <c r="O24" s="125"/>
      <c r="P24" s="125"/>
      <c r="Q24" s="125"/>
      <c r="R24" s="125"/>
      <c r="S24" s="125"/>
      <c r="T24" s="125"/>
      <c r="U24" s="125"/>
      <c r="V24" s="125"/>
      <c r="W24" s="10"/>
      <c r="X24" s="10"/>
      <c r="Y24" s="10"/>
      <c r="Z24" s="10"/>
      <c r="AA24" s="10"/>
      <c r="AB24" s="10"/>
    </row>
    <row r="25" spans="1:28" ht="13.5" customHeight="1">
      <c r="A25" s="119">
        <v>45379</v>
      </c>
      <c r="B25" s="120">
        <v>732.63</v>
      </c>
      <c r="C25" s="20">
        <f t="shared" si="0"/>
        <v>1.3459676303776424E-2</v>
      </c>
      <c r="D25" s="120">
        <v>5254.3544012624097</v>
      </c>
      <c r="E25" s="20">
        <f t="shared" si="1"/>
        <v>4.3422579610708389E-2</v>
      </c>
      <c r="F25" s="90">
        <v>4.21</v>
      </c>
      <c r="G25" s="121">
        <f t="shared" si="2"/>
        <v>4.2099999999999999E-2</v>
      </c>
      <c r="H25" s="121">
        <f t="shared" si="3"/>
        <v>3.5083333333333334E-3</v>
      </c>
      <c r="I25" s="20">
        <f t="shared" si="4"/>
        <v>3.9914246277375054E-2</v>
      </c>
      <c r="J25" s="20">
        <f t="shared" si="5"/>
        <v>9.9513429704430906E-3</v>
      </c>
      <c r="K25" s="10"/>
      <c r="L25" s="10"/>
      <c r="M25" s="10"/>
      <c r="N25" s="125"/>
      <c r="O25" s="125"/>
      <c r="P25" s="125"/>
      <c r="Q25" s="125"/>
      <c r="R25" s="125"/>
      <c r="S25" s="125"/>
      <c r="T25" s="125"/>
      <c r="U25" s="125"/>
      <c r="V25" s="125"/>
      <c r="W25" s="10"/>
      <c r="X25" s="10"/>
      <c r="Y25" s="10"/>
      <c r="Z25" s="10"/>
      <c r="AA25" s="10"/>
      <c r="AB25" s="10"/>
    </row>
    <row r="26" spans="1:28" ht="13.5" customHeight="1">
      <c r="A26" s="119">
        <v>45351</v>
      </c>
      <c r="B26" s="120">
        <v>743.89</v>
      </c>
      <c r="C26" s="20">
        <f t="shared" si="0"/>
        <v>1.5369285997024473E-2</v>
      </c>
      <c r="D26" s="120">
        <v>5096.2694998622401</v>
      </c>
      <c r="E26" s="20">
        <f t="shared" si="1"/>
        <v>-3.0086455790303779E-2</v>
      </c>
      <c r="F26" s="90">
        <v>4.21</v>
      </c>
      <c r="G26" s="121">
        <f t="shared" si="2"/>
        <v>4.2099999999999999E-2</v>
      </c>
      <c r="H26" s="121">
        <f t="shared" si="3"/>
        <v>3.5083333333333334E-3</v>
      </c>
      <c r="I26" s="20">
        <f t="shared" si="4"/>
        <v>-3.3594789123637114E-2</v>
      </c>
      <c r="J26" s="20">
        <f t="shared" si="5"/>
        <v>1.1860952663691139E-2</v>
      </c>
      <c r="K26" s="10"/>
      <c r="L26" s="10"/>
      <c r="M26" s="10"/>
      <c r="N26" s="125"/>
      <c r="O26" s="125"/>
      <c r="P26" s="125"/>
      <c r="Q26" s="125"/>
      <c r="R26" s="125"/>
      <c r="S26" s="125"/>
      <c r="T26" s="125"/>
      <c r="U26" s="125"/>
      <c r="V26" s="125"/>
      <c r="W26" s="10"/>
      <c r="X26" s="10"/>
      <c r="Y26" s="10"/>
      <c r="Z26" s="10"/>
      <c r="AA26" s="10"/>
      <c r="AB26" s="10"/>
    </row>
    <row r="27" spans="1:28" ht="13.5" customHeight="1">
      <c r="A27" s="119">
        <v>45322</v>
      </c>
      <c r="B27" s="120">
        <v>694.88</v>
      </c>
      <c r="C27" s="20">
        <f t="shared" si="0"/>
        <v>-6.5883396738765088E-2</v>
      </c>
      <c r="D27" s="120">
        <v>4845.6471757314503</v>
      </c>
      <c r="E27" s="20">
        <f t="shared" si="1"/>
        <v>-4.9177604154875376E-2</v>
      </c>
      <c r="F27" s="90">
        <v>4.0599999999999996</v>
      </c>
      <c r="G27" s="121">
        <f t="shared" si="2"/>
        <v>4.0599999999999997E-2</v>
      </c>
      <c r="H27" s="121">
        <f t="shared" si="3"/>
        <v>3.3833333333333332E-3</v>
      </c>
      <c r="I27" s="20">
        <f t="shared" si="4"/>
        <v>-5.2560937488208712E-2</v>
      </c>
      <c r="J27" s="20">
        <f t="shared" si="5"/>
        <v>-6.9266730072098423E-2</v>
      </c>
      <c r="K27" s="10"/>
      <c r="L27" s="10"/>
      <c r="M27" s="10"/>
      <c r="N27" s="125"/>
      <c r="O27" s="125"/>
      <c r="P27" s="125"/>
      <c r="Q27" s="125"/>
      <c r="R27" s="125"/>
      <c r="S27" s="125"/>
      <c r="T27" s="125"/>
      <c r="U27" s="125"/>
      <c r="V27" s="125"/>
      <c r="W27" s="10"/>
      <c r="X27" s="10"/>
      <c r="Y27" s="10"/>
      <c r="Z27" s="10"/>
      <c r="AA27" s="10"/>
      <c r="AB27" s="10"/>
    </row>
    <row r="28" spans="1:28" ht="13.5" customHeight="1">
      <c r="A28" s="119">
        <v>45289</v>
      </c>
      <c r="B28" s="120">
        <v>660.08</v>
      </c>
      <c r="C28" s="20">
        <f t="shared" si="0"/>
        <v>-5.0080589454294167E-2</v>
      </c>
      <c r="D28" s="120">
        <v>4769.8294107906704</v>
      </c>
      <c r="E28" s="20">
        <f t="shared" si="1"/>
        <v>-1.564657148801496E-2</v>
      </c>
      <c r="F28" s="90">
        <v>4.0199999999999996</v>
      </c>
      <c r="G28" s="121">
        <f t="shared" si="2"/>
        <v>4.0199999999999993E-2</v>
      </c>
      <c r="H28" s="121">
        <f t="shared" si="3"/>
        <v>3.3499999999999992E-3</v>
      </c>
      <c r="I28" s="20">
        <f t="shared" si="4"/>
        <v>-1.8996571488014959E-2</v>
      </c>
      <c r="J28" s="20">
        <f t="shared" si="5"/>
        <v>-5.3430589454294165E-2</v>
      </c>
      <c r="K28" s="10"/>
      <c r="L28" s="10"/>
      <c r="M28" s="10"/>
      <c r="N28" s="125"/>
      <c r="O28" s="125"/>
      <c r="P28" s="125"/>
      <c r="Q28" s="125"/>
      <c r="R28" s="125"/>
      <c r="S28" s="125"/>
      <c r="T28" s="125"/>
      <c r="U28" s="125"/>
      <c r="V28" s="125"/>
      <c r="W28" s="10"/>
      <c r="X28" s="10"/>
      <c r="Y28" s="10"/>
      <c r="Z28" s="10"/>
      <c r="AA28" s="10"/>
      <c r="AB28" s="10"/>
    </row>
    <row r="29" spans="1:28" ht="13.5" customHeight="1">
      <c r="A29" s="119">
        <v>45260</v>
      </c>
      <c r="B29" s="120">
        <v>592.74</v>
      </c>
      <c r="C29" s="20">
        <f t="shared" si="0"/>
        <v>-0.10201793721973096</v>
      </c>
      <c r="D29" s="120">
        <v>4567.7986422755303</v>
      </c>
      <c r="E29" s="20">
        <f t="shared" si="1"/>
        <v>-4.2355973582218875E-2</v>
      </c>
      <c r="F29" s="90">
        <v>4.5</v>
      </c>
      <c r="G29" s="121">
        <f t="shared" si="2"/>
        <v>4.4999999999999998E-2</v>
      </c>
      <c r="H29" s="121">
        <f t="shared" si="3"/>
        <v>3.7499999999999999E-3</v>
      </c>
      <c r="I29" s="20">
        <f t="shared" si="4"/>
        <v>-4.6105973582218879E-2</v>
      </c>
      <c r="J29" s="20">
        <f t="shared" si="5"/>
        <v>-0.10576793721973096</v>
      </c>
      <c r="K29" s="10"/>
      <c r="L29" s="10"/>
      <c r="M29" s="10"/>
      <c r="N29" s="125"/>
      <c r="O29" s="125"/>
      <c r="P29" s="125"/>
      <c r="Q29" s="125"/>
      <c r="R29" s="125"/>
      <c r="S29" s="125"/>
      <c r="T29" s="125"/>
      <c r="U29" s="125"/>
      <c r="V29" s="125"/>
      <c r="W29" s="10"/>
      <c r="X29" s="10"/>
      <c r="Y29" s="10"/>
      <c r="Z29" s="10"/>
      <c r="AA29" s="10"/>
      <c r="AB29" s="10"/>
    </row>
    <row r="30" spans="1:28" ht="13.5" customHeight="1">
      <c r="A30" s="119">
        <v>45230</v>
      </c>
      <c r="B30" s="120">
        <v>552.44000000000005</v>
      </c>
      <c r="C30" s="20">
        <f t="shared" si="0"/>
        <v>-6.7989337652258897E-2</v>
      </c>
      <c r="D30" s="120">
        <v>4193.8009552474696</v>
      </c>
      <c r="E30" s="20">
        <f t="shared" si="1"/>
        <v>-8.1877008230324955E-2</v>
      </c>
      <c r="F30" s="90">
        <v>4.8</v>
      </c>
      <c r="G30" s="121">
        <f t="shared" si="2"/>
        <v>4.8000000000000001E-2</v>
      </c>
      <c r="H30" s="121">
        <f t="shared" si="3"/>
        <v>4.0000000000000001E-3</v>
      </c>
      <c r="I30" s="20">
        <f t="shared" si="4"/>
        <v>-8.5877008230324958E-2</v>
      </c>
      <c r="J30" s="20">
        <f t="shared" si="5"/>
        <v>-7.19893376522589E-2</v>
      </c>
      <c r="K30" s="10"/>
      <c r="L30" s="10"/>
      <c r="M30" s="10"/>
      <c r="N30" s="125"/>
      <c r="O30" s="125"/>
      <c r="P30" s="125"/>
      <c r="Q30" s="125"/>
      <c r="R30" s="125"/>
      <c r="S30" s="125"/>
      <c r="T30" s="125"/>
      <c r="U30" s="125"/>
      <c r="V30" s="125"/>
      <c r="W30" s="10"/>
      <c r="X30" s="10"/>
      <c r="Y30" s="10"/>
      <c r="Z30" s="10"/>
      <c r="AA30" s="10"/>
      <c r="AB30" s="10"/>
    </row>
    <row r="31" spans="1:28" ht="13.5" customHeight="1">
      <c r="A31" s="119">
        <v>45198</v>
      </c>
      <c r="B31" s="120">
        <v>564.96</v>
      </c>
      <c r="C31" s="20">
        <f t="shared" si="0"/>
        <v>2.26630946347115E-2</v>
      </c>
      <c r="D31" s="120">
        <v>4288.05412263992</v>
      </c>
      <c r="E31" s="20">
        <f t="shared" si="1"/>
        <v>2.2474401717734516E-2</v>
      </c>
      <c r="F31" s="90">
        <v>4.38</v>
      </c>
      <c r="G31" s="121">
        <f t="shared" si="2"/>
        <v>4.3799999999999999E-2</v>
      </c>
      <c r="H31" s="121">
        <f t="shared" si="3"/>
        <v>3.65E-3</v>
      </c>
      <c r="I31" s="20">
        <f t="shared" si="4"/>
        <v>1.8824401717734515E-2</v>
      </c>
      <c r="J31" s="20">
        <f t="shared" si="5"/>
        <v>1.90130946347115E-2</v>
      </c>
      <c r="K31" s="10"/>
      <c r="L31" s="10"/>
      <c r="M31" s="10"/>
      <c r="N31" s="125"/>
      <c r="O31" s="125"/>
      <c r="P31" s="125"/>
      <c r="Q31" s="125"/>
      <c r="R31" s="125"/>
      <c r="S31" s="125"/>
      <c r="T31" s="125"/>
      <c r="U31" s="125"/>
      <c r="V31" s="125"/>
      <c r="W31" s="10"/>
      <c r="X31" s="10"/>
      <c r="Y31" s="10"/>
      <c r="Z31" s="10"/>
      <c r="AA31" s="10"/>
      <c r="AB31" s="10"/>
    </row>
    <row r="32" spans="1:28" ht="13.5" customHeight="1">
      <c r="A32" s="119">
        <v>45169</v>
      </c>
      <c r="B32" s="120">
        <v>549.28</v>
      </c>
      <c r="C32" s="20">
        <f t="shared" si="0"/>
        <v>-2.7754177286887671E-2</v>
      </c>
      <c r="D32" s="120">
        <v>4507.66179195929</v>
      </c>
      <c r="E32" s="20">
        <f t="shared" si="1"/>
        <v>5.1213828706100806E-2</v>
      </c>
      <c r="F32" s="90">
        <v>4.17</v>
      </c>
      <c r="G32" s="121">
        <f t="shared" si="2"/>
        <v>4.1700000000000001E-2</v>
      </c>
      <c r="H32" s="121">
        <f t="shared" si="3"/>
        <v>3.4750000000000002E-3</v>
      </c>
      <c r="I32" s="20">
        <f t="shared" si="4"/>
        <v>4.7738828706100807E-2</v>
      </c>
      <c r="J32" s="20">
        <f t="shared" si="5"/>
        <v>-3.122917728688767E-2</v>
      </c>
      <c r="K32" s="10"/>
      <c r="L32" s="10"/>
      <c r="M32" s="10"/>
      <c r="N32" s="125"/>
      <c r="O32" s="125"/>
      <c r="P32" s="125"/>
      <c r="Q32" s="125"/>
      <c r="R32" s="125"/>
      <c r="S32" s="125"/>
      <c r="T32" s="125"/>
      <c r="U32" s="125"/>
      <c r="V32" s="125"/>
      <c r="W32" s="10"/>
      <c r="X32" s="10"/>
      <c r="Y32" s="10"/>
      <c r="Z32" s="10"/>
      <c r="AA32" s="10"/>
      <c r="AB32" s="10"/>
    </row>
    <row r="33" spans="1:28" ht="13.5" customHeight="1">
      <c r="A33" s="119">
        <v>45138</v>
      </c>
      <c r="B33" s="120">
        <v>560.66999999999996</v>
      </c>
      <c r="C33" s="20">
        <f t="shared" si="0"/>
        <v>2.0736236527818308E-2</v>
      </c>
      <c r="D33" s="120">
        <v>4588.9611384978498</v>
      </c>
      <c r="E33" s="20">
        <f t="shared" si="1"/>
        <v>1.8035813308704851E-2</v>
      </c>
      <c r="F33" s="90">
        <v>3.9</v>
      </c>
      <c r="G33" s="121">
        <f t="shared" si="2"/>
        <v>3.9E-2</v>
      </c>
      <c r="H33" s="121">
        <f t="shared" si="3"/>
        <v>3.2499999999999999E-3</v>
      </c>
      <c r="I33" s="20">
        <f t="shared" si="4"/>
        <v>1.4785813308704852E-2</v>
      </c>
      <c r="J33" s="20">
        <f t="shared" si="5"/>
        <v>1.7486236527818309E-2</v>
      </c>
      <c r="K33" s="10"/>
      <c r="L33" s="10"/>
      <c r="M33" s="10"/>
      <c r="N33" s="125"/>
      <c r="O33" s="125"/>
      <c r="P33" s="125"/>
      <c r="Q33" s="125"/>
      <c r="R33" s="125"/>
      <c r="S33" s="125"/>
      <c r="T33" s="125"/>
      <c r="U33" s="125"/>
      <c r="V33" s="125"/>
      <c r="W33" s="10"/>
      <c r="X33" s="10"/>
      <c r="Y33" s="10"/>
      <c r="Z33" s="10"/>
      <c r="AA33" s="10"/>
      <c r="AB33" s="10"/>
    </row>
    <row r="34" spans="1:28" ht="13.5" customHeight="1">
      <c r="A34" s="119">
        <v>45107</v>
      </c>
      <c r="B34" s="120">
        <v>538.38</v>
      </c>
      <c r="C34" s="20">
        <f t="shared" si="0"/>
        <v>-3.9756006206859595E-2</v>
      </c>
      <c r="D34" s="120">
        <v>4450.3813118092103</v>
      </c>
      <c r="E34" s="20">
        <f t="shared" si="1"/>
        <v>-3.019851824981945E-2</v>
      </c>
      <c r="F34" s="90">
        <v>3.75</v>
      </c>
      <c r="G34" s="121">
        <f t="shared" si="2"/>
        <v>3.7499999999999999E-2</v>
      </c>
      <c r="H34" s="121">
        <f t="shared" si="3"/>
        <v>3.1249999999999997E-3</v>
      </c>
      <c r="I34" s="20">
        <f t="shared" si="4"/>
        <v>-3.3323518249819453E-2</v>
      </c>
      <c r="J34" s="20">
        <f t="shared" si="5"/>
        <v>-4.2881006206859598E-2</v>
      </c>
      <c r="K34" s="10"/>
      <c r="L34" s="10"/>
      <c r="M34" s="10"/>
      <c r="N34" s="125"/>
      <c r="O34" s="125"/>
      <c r="P34" s="125"/>
      <c r="Q34" s="125"/>
      <c r="R34" s="125"/>
      <c r="S34" s="125"/>
      <c r="T34" s="125"/>
      <c r="U34" s="125"/>
      <c r="V34" s="125"/>
      <c r="W34" s="10"/>
      <c r="X34" s="10"/>
      <c r="Y34" s="10"/>
      <c r="Z34" s="10"/>
      <c r="AA34" s="10"/>
      <c r="AB34" s="10"/>
    </row>
    <row r="35" spans="1:28" ht="13.5" customHeight="1">
      <c r="A35" s="119">
        <v>45077</v>
      </c>
      <c r="B35" s="120">
        <v>511.56</v>
      </c>
      <c r="C35" s="20">
        <f t="shared" si="0"/>
        <v>-4.98161150117018E-2</v>
      </c>
      <c r="D35" s="120">
        <v>4179.8254616673503</v>
      </c>
      <c r="E35" s="20">
        <f t="shared" si="1"/>
        <v>-6.0793858140634538E-2</v>
      </c>
      <c r="F35" s="90">
        <v>3.57</v>
      </c>
      <c r="G35" s="121">
        <f t="shared" si="2"/>
        <v>3.5699999999999996E-2</v>
      </c>
      <c r="H35" s="121">
        <f t="shared" si="3"/>
        <v>2.9749999999999998E-3</v>
      </c>
      <c r="I35" s="20">
        <f t="shared" si="4"/>
        <v>-6.3768858140634543E-2</v>
      </c>
      <c r="J35" s="20">
        <f t="shared" si="5"/>
        <v>-5.2791115011701799E-2</v>
      </c>
      <c r="K35" s="10"/>
      <c r="L35" s="10"/>
      <c r="M35" s="10"/>
      <c r="N35" s="125"/>
      <c r="O35" s="125"/>
      <c r="P35" s="125"/>
      <c r="Q35" s="125"/>
      <c r="R35" s="125"/>
      <c r="S35" s="125"/>
      <c r="T35" s="125"/>
      <c r="U35" s="125"/>
      <c r="V35" s="125"/>
      <c r="W35" s="10"/>
      <c r="X35" s="10"/>
      <c r="Y35" s="10"/>
      <c r="Z35" s="10"/>
      <c r="AA35" s="10"/>
      <c r="AB35" s="10"/>
    </row>
    <row r="36" spans="1:28" ht="13.5" customHeight="1">
      <c r="A36" s="119">
        <v>45044</v>
      </c>
      <c r="B36" s="120">
        <v>503.22</v>
      </c>
      <c r="C36" s="20">
        <f t="shared" si="0"/>
        <v>-1.6303072953319231E-2</v>
      </c>
      <c r="D36" s="120">
        <v>4169.4814006359802</v>
      </c>
      <c r="E36" s="20">
        <f t="shared" si="1"/>
        <v>-2.4747590841374123E-3</v>
      </c>
      <c r="F36" s="90">
        <v>3.46</v>
      </c>
      <c r="G36" s="121">
        <f t="shared" si="2"/>
        <v>3.4599999999999999E-2</v>
      </c>
      <c r="H36" s="121">
        <f t="shared" si="3"/>
        <v>2.8833333333333332E-3</v>
      </c>
      <c r="I36" s="20">
        <f t="shared" si="4"/>
        <v>-5.3580924174707455E-3</v>
      </c>
      <c r="J36" s="20">
        <f t="shared" si="5"/>
        <v>-1.9186406286652566E-2</v>
      </c>
      <c r="K36" s="10"/>
      <c r="L36" s="10"/>
      <c r="M36" s="10"/>
      <c r="N36" s="125"/>
      <c r="O36" s="125"/>
      <c r="P36" s="125"/>
      <c r="Q36" s="125"/>
      <c r="R36" s="125"/>
      <c r="S36" s="125"/>
      <c r="T36" s="125"/>
      <c r="U36" s="125"/>
      <c r="V36" s="125"/>
      <c r="W36" s="10"/>
      <c r="X36" s="10"/>
      <c r="Y36" s="10"/>
      <c r="Z36" s="10"/>
      <c r="AA36" s="10"/>
      <c r="AB36" s="10"/>
    </row>
    <row r="37" spans="1:28" ht="13.5" customHeight="1">
      <c r="A37" s="119">
        <v>45016</v>
      </c>
      <c r="B37" s="120">
        <v>496.87</v>
      </c>
      <c r="C37" s="20">
        <f t="shared" si="0"/>
        <v>-1.2618735344382181E-2</v>
      </c>
      <c r="D37" s="120">
        <v>4109.3124446214697</v>
      </c>
      <c r="E37" s="20">
        <f t="shared" si="1"/>
        <v>-1.443080091575244E-2</v>
      </c>
      <c r="F37" s="90">
        <v>3.66</v>
      </c>
      <c r="G37" s="121">
        <f t="shared" si="2"/>
        <v>3.6600000000000001E-2</v>
      </c>
      <c r="H37" s="121">
        <f t="shared" si="3"/>
        <v>3.0500000000000002E-3</v>
      </c>
      <c r="I37" s="20">
        <f t="shared" si="4"/>
        <v>-1.748080091575244E-2</v>
      </c>
      <c r="J37" s="20">
        <f t="shared" si="5"/>
        <v>-1.5668735344382182E-2</v>
      </c>
      <c r="K37" s="10"/>
      <c r="L37" s="10"/>
      <c r="M37" s="10"/>
      <c r="N37" s="125"/>
      <c r="O37" s="125"/>
      <c r="P37" s="125"/>
      <c r="Q37" s="125"/>
      <c r="R37" s="125"/>
      <c r="S37" s="125"/>
      <c r="T37" s="125"/>
      <c r="U37" s="125"/>
      <c r="V37" s="125"/>
      <c r="W37" s="10"/>
      <c r="X37" s="10"/>
      <c r="Y37" s="10"/>
      <c r="Z37" s="10"/>
      <c r="AA37" s="10"/>
      <c r="AB37" s="10"/>
    </row>
    <row r="38" spans="1:28" ht="13.5" customHeight="1">
      <c r="A38" s="119">
        <v>44985</v>
      </c>
      <c r="B38" s="120">
        <v>484.18</v>
      </c>
      <c r="C38" s="20">
        <f t="shared" si="0"/>
        <v>-2.553987964658766E-2</v>
      </c>
      <c r="D38" s="120">
        <v>3970.15344248664</v>
      </c>
      <c r="E38" s="20">
        <f t="shared" si="1"/>
        <v>-3.3864303094540804E-2</v>
      </c>
      <c r="F38" s="90">
        <v>3.75</v>
      </c>
      <c r="G38" s="121">
        <f t="shared" si="2"/>
        <v>3.7499999999999999E-2</v>
      </c>
      <c r="H38" s="121">
        <f t="shared" si="3"/>
        <v>3.1249999999999997E-3</v>
      </c>
      <c r="I38" s="20">
        <f t="shared" si="4"/>
        <v>-3.6989303094540807E-2</v>
      </c>
      <c r="J38" s="20">
        <f t="shared" si="5"/>
        <v>-2.8664879646587659E-2</v>
      </c>
      <c r="K38" s="10"/>
      <c r="L38" s="10"/>
      <c r="M38" s="10"/>
      <c r="N38" s="125"/>
      <c r="O38" s="125"/>
      <c r="P38" s="125"/>
      <c r="Q38" s="125"/>
      <c r="R38" s="125"/>
      <c r="S38" s="125"/>
      <c r="T38" s="125"/>
      <c r="U38" s="125"/>
      <c r="V38" s="125"/>
      <c r="W38" s="10"/>
      <c r="X38" s="10"/>
      <c r="Y38" s="10"/>
      <c r="Z38" s="10"/>
      <c r="AA38" s="10"/>
      <c r="AB38" s="10"/>
    </row>
    <row r="39" spans="1:28" ht="13.5" customHeight="1">
      <c r="A39" s="119">
        <v>44957</v>
      </c>
      <c r="B39" s="120">
        <v>511.14</v>
      </c>
      <c r="C39" s="20">
        <f t="shared" si="0"/>
        <v>5.5681771242100053E-2</v>
      </c>
      <c r="D39" s="120">
        <v>4076.6038194027801</v>
      </c>
      <c r="E39" s="20">
        <f t="shared" si="1"/>
        <v>2.6812660633455776E-2</v>
      </c>
      <c r="F39" s="90">
        <v>3.53</v>
      </c>
      <c r="G39" s="121">
        <f t="shared" si="2"/>
        <v>3.5299999999999998E-2</v>
      </c>
      <c r="H39" s="121">
        <f t="shared" si="3"/>
        <v>2.9416666666666666E-3</v>
      </c>
      <c r="I39" s="20">
        <f t="shared" si="4"/>
        <v>2.3870993966789111E-2</v>
      </c>
      <c r="J39" s="20">
        <f t="shared" si="5"/>
        <v>5.2740104575433384E-2</v>
      </c>
      <c r="K39" s="10"/>
      <c r="L39" s="10"/>
      <c r="M39" s="10"/>
      <c r="N39" s="125"/>
      <c r="O39" s="125"/>
      <c r="P39" s="125"/>
      <c r="Q39" s="125"/>
      <c r="R39" s="125"/>
      <c r="S39" s="125"/>
      <c r="T39" s="125"/>
      <c r="U39" s="125"/>
      <c r="V39" s="125"/>
      <c r="W39" s="10"/>
      <c r="X39" s="10"/>
      <c r="Y39" s="10"/>
      <c r="Z39" s="10"/>
      <c r="AA39" s="10"/>
      <c r="AB39" s="10"/>
    </row>
    <row r="40" spans="1:28" ht="13.5" customHeight="1">
      <c r="A40" s="119">
        <v>44925</v>
      </c>
      <c r="B40" s="120">
        <v>456.5</v>
      </c>
      <c r="C40" s="20">
        <f t="shared" si="0"/>
        <v>-0.10689830574793602</v>
      </c>
      <c r="D40" s="120">
        <v>3839.4965866768098</v>
      </c>
      <c r="E40" s="20">
        <f t="shared" si="1"/>
        <v>-5.8162932487441532E-2</v>
      </c>
      <c r="F40" s="90">
        <v>3.62</v>
      </c>
      <c r="G40" s="121">
        <f t="shared" si="2"/>
        <v>3.6200000000000003E-2</v>
      </c>
      <c r="H40" s="121">
        <f t="shared" si="3"/>
        <v>3.0166666666666671E-3</v>
      </c>
      <c r="I40" s="20">
        <f t="shared" si="4"/>
        <v>-6.11795991541082E-2</v>
      </c>
      <c r="J40" s="20">
        <f t="shared" si="5"/>
        <v>-0.10991497241460269</v>
      </c>
      <c r="K40" s="10"/>
      <c r="L40" s="10"/>
      <c r="M40" s="10"/>
      <c r="N40" s="125"/>
      <c r="O40" s="125"/>
      <c r="P40" s="125"/>
      <c r="Q40" s="125"/>
      <c r="R40" s="125"/>
      <c r="S40" s="125"/>
      <c r="T40" s="125"/>
      <c r="U40" s="125"/>
      <c r="V40" s="125"/>
      <c r="W40" s="10"/>
      <c r="X40" s="10"/>
      <c r="Y40" s="10"/>
      <c r="Z40" s="10"/>
      <c r="AA40" s="10"/>
      <c r="AB40" s="10"/>
    </row>
    <row r="41" spans="1:28" ht="13.5" customHeight="1">
      <c r="A41" s="119">
        <v>44895</v>
      </c>
      <c r="B41" s="120">
        <v>539.25</v>
      </c>
      <c r="C41" s="20">
        <f t="shared" si="0"/>
        <v>0.18127053669222337</v>
      </c>
      <c r="D41" s="120">
        <v>4080.1065521792402</v>
      </c>
      <c r="E41" s="20">
        <f t="shared" si="1"/>
        <v>6.266706066033656E-2</v>
      </c>
      <c r="F41" s="90">
        <v>3.89</v>
      </c>
      <c r="G41" s="121">
        <f t="shared" si="2"/>
        <v>3.8900000000000004E-2</v>
      </c>
      <c r="H41" s="121">
        <f t="shared" si="3"/>
        <v>3.241666666666667E-3</v>
      </c>
      <c r="I41" s="20">
        <f t="shared" si="4"/>
        <v>5.9425393993669889E-2</v>
      </c>
      <c r="J41" s="20">
        <f t="shared" si="5"/>
        <v>0.1780288700255567</v>
      </c>
      <c r="K41" s="10"/>
      <c r="L41" s="10"/>
      <c r="M41" s="10"/>
      <c r="N41" s="125"/>
      <c r="O41" s="125"/>
      <c r="P41" s="125"/>
      <c r="Q41" s="125"/>
      <c r="R41" s="125"/>
      <c r="S41" s="125"/>
      <c r="T41" s="125"/>
      <c r="U41" s="125"/>
      <c r="V41" s="125"/>
      <c r="W41" s="10"/>
      <c r="X41" s="10"/>
      <c r="Y41" s="10"/>
      <c r="Z41" s="10"/>
      <c r="AA41" s="10"/>
      <c r="AB41" s="10"/>
    </row>
    <row r="42" spans="1:28" ht="13.5" customHeight="1">
      <c r="A42" s="119">
        <v>44865</v>
      </c>
      <c r="B42" s="120">
        <v>501.5</v>
      </c>
      <c r="C42" s="20">
        <f t="shared" si="0"/>
        <v>-7.0004636068613846E-2</v>
      </c>
      <c r="D42" s="120">
        <v>3871.9772214167401</v>
      </c>
      <c r="E42" s="20">
        <f t="shared" si="1"/>
        <v>-5.1010758689950197E-2</v>
      </c>
      <c r="F42" s="90">
        <v>3.98</v>
      </c>
      <c r="G42" s="121">
        <f t="shared" si="2"/>
        <v>3.9800000000000002E-2</v>
      </c>
      <c r="H42" s="121">
        <f t="shared" si="3"/>
        <v>3.316666666666667E-3</v>
      </c>
      <c r="I42" s="20">
        <f t="shared" si="4"/>
        <v>-5.4327425356616867E-2</v>
      </c>
      <c r="J42" s="20">
        <f t="shared" si="5"/>
        <v>-7.3321302735280508E-2</v>
      </c>
      <c r="K42" s="10"/>
      <c r="L42" s="10"/>
      <c r="M42" s="10"/>
      <c r="N42" s="125"/>
      <c r="O42" s="125"/>
      <c r="P42" s="125"/>
      <c r="Q42" s="125"/>
      <c r="R42" s="125"/>
      <c r="S42" s="125"/>
      <c r="T42" s="125"/>
      <c r="U42" s="125"/>
      <c r="V42" s="125"/>
      <c r="W42" s="10"/>
      <c r="X42" s="10"/>
      <c r="Y42" s="10"/>
      <c r="Z42" s="10"/>
      <c r="AA42" s="10"/>
      <c r="AB42" s="10"/>
    </row>
    <row r="43" spans="1:28" ht="13.5" customHeight="1">
      <c r="A43" s="119">
        <v>44834</v>
      </c>
      <c r="B43" s="120">
        <v>472.27</v>
      </c>
      <c r="C43" s="20">
        <f t="shared" si="0"/>
        <v>-5.8285144566301184E-2</v>
      </c>
      <c r="D43" s="120">
        <v>3585.6241035486801</v>
      </c>
      <c r="E43" s="20">
        <f t="shared" si="1"/>
        <v>-7.3955269231486986E-2</v>
      </c>
      <c r="F43" s="90">
        <v>3.52</v>
      </c>
      <c r="G43" s="121">
        <f t="shared" si="2"/>
        <v>3.5200000000000002E-2</v>
      </c>
      <c r="H43" s="121">
        <f t="shared" si="3"/>
        <v>2.9333333333333334E-3</v>
      </c>
      <c r="I43" s="20">
        <f t="shared" si="4"/>
        <v>-7.6888602564820316E-2</v>
      </c>
      <c r="J43" s="20">
        <f t="shared" si="5"/>
        <v>-6.121847789963452E-2</v>
      </c>
      <c r="K43" s="10"/>
      <c r="L43" s="10"/>
      <c r="M43" s="10"/>
      <c r="N43" s="125"/>
      <c r="O43" s="125"/>
      <c r="P43" s="125"/>
      <c r="Q43" s="125"/>
      <c r="R43" s="125"/>
      <c r="S43" s="125"/>
      <c r="T43" s="125"/>
      <c r="U43" s="125"/>
      <c r="V43" s="125"/>
      <c r="W43" s="10"/>
      <c r="X43" s="10"/>
      <c r="Y43" s="10"/>
      <c r="Z43" s="10"/>
      <c r="AA43" s="10"/>
      <c r="AB43" s="10"/>
    </row>
    <row r="44" spans="1:28" ht="13.5" customHeight="1">
      <c r="A44" s="119">
        <v>44804</v>
      </c>
      <c r="B44" s="120">
        <v>522.1</v>
      </c>
      <c r="C44" s="20">
        <f t="shared" si="0"/>
        <v>0.10551167764202685</v>
      </c>
      <c r="D44" s="120">
        <v>3954.9990010277702</v>
      </c>
      <c r="E44" s="20">
        <f t="shared" si="1"/>
        <v>0.10301551049746704</v>
      </c>
      <c r="F44" s="90">
        <v>2.9</v>
      </c>
      <c r="G44" s="121">
        <f t="shared" si="2"/>
        <v>2.8999999999999998E-2</v>
      </c>
      <c r="H44" s="121">
        <f t="shared" si="3"/>
        <v>2.4166666666666664E-3</v>
      </c>
      <c r="I44" s="20">
        <f t="shared" si="4"/>
        <v>0.10059884383080038</v>
      </c>
      <c r="J44" s="20">
        <f t="shared" si="5"/>
        <v>0.10309501097536018</v>
      </c>
      <c r="K44" s="10"/>
      <c r="L44" s="10"/>
      <c r="M44" s="10"/>
      <c r="N44" s="125"/>
      <c r="O44" s="125"/>
      <c r="P44" s="125"/>
      <c r="Q44" s="125"/>
      <c r="R44" s="125"/>
      <c r="S44" s="125"/>
      <c r="T44" s="125"/>
      <c r="U44" s="125"/>
      <c r="V44" s="125"/>
      <c r="W44" s="10"/>
      <c r="X44" s="10"/>
      <c r="Y44" s="10"/>
      <c r="Z44" s="10"/>
      <c r="AA44" s="10"/>
      <c r="AB44" s="10"/>
    </row>
    <row r="45" spans="1:28" ht="13.5" customHeight="1">
      <c r="A45" s="119">
        <v>44771</v>
      </c>
      <c r="B45" s="120">
        <v>541.29999999999995</v>
      </c>
      <c r="C45" s="20">
        <f t="shared" si="0"/>
        <v>3.6774564259720144E-2</v>
      </c>
      <c r="D45" s="120">
        <v>4130.2857738191597</v>
      </c>
      <c r="E45" s="20">
        <f t="shared" si="1"/>
        <v>4.4320307728481945E-2</v>
      </c>
      <c r="F45" s="90">
        <v>2.9</v>
      </c>
      <c r="G45" s="121">
        <f t="shared" si="2"/>
        <v>2.8999999999999998E-2</v>
      </c>
      <c r="H45" s="121">
        <f t="shared" si="3"/>
        <v>2.4166666666666664E-3</v>
      </c>
      <c r="I45" s="20">
        <f t="shared" si="4"/>
        <v>4.190364106181528E-2</v>
      </c>
      <c r="J45" s="20">
        <f t="shared" si="5"/>
        <v>3.435789759305348E-2</v>
      </c>
      <c r="K45" s="10"/>
      <c r="L45" s="10"/>
      <c r="M45" s="10"/>
      <c r="N45" s="125"/>
      <c r="O45" s="125"/>
      <c r="P45" s="125"/>
      <c r="Q45" s="125"/>
      <c r="R45" s="125"/>
      <c r="S45" s="125"/>
      <c r="T45" s="125"/>
      <c r="U45" s="125"/>
      <c r="V45" s="125"/>
      <c r="W45" s="10"/>
      <c r="X45" s="10"/>
      <c r="Y45" s="10"/>
      <c r="Z45" s="10"/>
      <c r="AA45" s="10"/>
      <c r="AB45" s="10"/>
    </row>
    <row r="46" spans="1:28" ht="13.5" customHeight="1">
      <c r="A46" s="119">
        <v>44742</v>
      </c>
      <c r="B46" s="120">
        <v>479.28</v>
      </c>
      <c r="C46" s="20">
        <f t="shared" si="0"/>
        <v>-0.1145760206909292</v>
      </c>
      <c r="D46" s="120">
        <v>3785.3848459311398</v>
      </c>
      <c r="E46" s="20">
        <f t="shared" si="1"/>
        <v>-8.3505342432782736E-2</v>
      </c>
      <c r="F46" s="90">
        <v>3.14</v>
      </c>
      <c r="G46" s="121">
        <f t="shared" si="2"/>
        <v>3.1400000000000004E-2</v>
      </c>
      <c r="H46" s="121">
        <f t="shared" si="3"/>
        <v>2.6166666666666669E-3</v>
      </c>
      <c r="I46" s="20">
        <f t="shared" si="4"/>
        <v>-8.6122009099449406E-2</v>
      </c>
      <c r="J46" s="20">
        <f t="shared" si="5"/>
        <v>-0.11719268735759587</v>
      </c>
      <c r="K46" s="10"/>
      <c r="L46" s="10"/>
      <c r="M46" s="10"/>
      <c r="N46" s="125"/>
      <c r="O46" s="125"/>
      <c r="P46" s="125"/>
      <c r="Q46" s="125"/>
      <c r="R46" s="125"/>
      <c r="S46" s="125"/>
      <c r="T46" s="125"/>
      <c r="U46" s="125"/>
      <c r="V46" s="125"/>
      <c r="W46" s="10"/>
      <c r="X46" s="10"/>
      <c r="Y46" s="10"/>
      <c r="Z46" s="10"/>
      <c r="AA46" s="10"/>
      <c r="AB46" s="10"/>
    </row>
    <row r="47" spans="1:28" ht="13.5" customHeight="1">
      <c r="A47" s="119">
        <v>44712</v>
      </c>
      <c r="B47" s="120">
        <v>466.22</v>
      </c>
      <c r="C47" s="20">
        <f t="shared" si="0"/>
        <v>-2.7249207144049326E-2</v>
      </c>
      <c r="D47" s="120">
        <v>4132.1477819618904</v>
      </c>
      <c r="E47" s="20">
        <f t="shared" si="1"/>
        <v>9.1605728385445895E-2</v>
      </c>
      <c r="F47" s="90">
        <v>2.9</v>
      </c>
      <c r="G47" s="121">
        <f t="shared" si="2"/>
        <v>2.8999999999999998E-2</v>
      </c>
      <c r="H47" s="121">
        <f t="shared" si="3"/>
        <v>2.4166666666666664E-3</v>
      </c>
      <c r="I47" s="20">
        <f t="shared" si="4"/>
        <v>8.9189061718779231E-2</v>
      </c>
      <c r="J47" s="20">
        <f t="shared" si="5"/>
        <v>-2.9665873810715993E-2</v>
      </c>
      <c r="K47" s="10"/>
      <c r="L47" s="10"/>
      <c r="M47" s="10"/>
      <c r="N47" s="125"/>
      <c r="O47" s="125"/>
      <c r="P47" s="125"/>
      <c r="Q47" s="125"/>
      <c r="R47" s="125"/>
      <c r="S47" s="125"/>
      <c r="T47" s="125"/>
      <c r="U47" s="125"/>
      <c r="V47" s="125"/>
      <c r="W47" s="10"/>
      <c r="X47" s="10"/>
      <c r="Y47" s="10"/>
      <c r="Z47" s="10"/>
      <c r="AA47" s="10"/>
      <c r="AB47" s="10"/>
    </row>
    <row r="48" spans="1:28" ht="13.5" customHeight="1">
      <c r="A48" s="119">
        <v>44680</v>
      </c>
      <c r="B48" s="120">
        <v>531.72</v>
      </c>
      <c r="C48" s="20">
        <f t="shared" si="0"/>
        <v>0.14049161340139849</v>
      </c>
      <c r="D48" s="120">
        <v>4131.9264103776004</v>
      </c>
      <c r="E48" s="20">
        <f t="shared" si="1"/>
        <v>-5.357300754249561E-5</v>
      </c>
      <c r="F48" s="90">
        <v>2.75</v>
      </c>
      <c r="G48" s="121">
        <f t="shared" si="2"/>
        <v>2.75E-2</v>
      </c>
      <c r="H48" s="121">
        <f t="shared" si="3"/>
        <v>2.2916666666666667E-3</v>
      </c>
      <c r="I48" s="20">
        <f t="shared" si="4"/>
        <v>-2.3452396742091623E-3</v>
      </c>
      <c r="J48" s="20">
        <f t="shared" si="5"/>
        <v>0.13819994673473182</v>
      </c>
      <c r="K48" s="10"/>
      <c r="L48" s="10"/>
      <c r="M48" s="10"/>
      <c r="N48" s="125"/>
      <c r="O48" s="125"/>
      <c r="P48" s="125"/>
      <c r="Q48" s="125"/>
      <c r="R48" s="125"/>
      <c r="S48" s="125"/>
      <c r="T48" s="125"/>
      <c r="U48" s="125"/>
      <c r="V48" s="125"/>
      <c r="W48" s="10"/>
      <c r="X48" s="10"/>
      <c r="Y48" s="10"/>
      <c r="Z48" s="10"/>
      <c r="AA48" s="10"/>
      <c r="AB48" s="10"/>
    </row>
    <row r="49" spans="1:28" ht="13.5" customHeight="1">
      <c r="A49" s="119">
        <v>44651</v>
      </c>
      <c r="B49" s="120">
        <v>575.85</v>
      </c>
      <c r="C49" s="20">
        <f t="shared" si="0"/>
        <v>8.2994809298126748E-2</v>
      </c>
      <c r="D49" s="120">
        <v>4530.4134516834702</v>
      </c>
      <c r="E49" s="20">
        <f t="shared" si="1"/>
        <v>9.6440982178444434E-2</v>
      </c>
      <c r="F49" s="90">
        <v>2.13</v>
      </c>
      <c r="G49" s="121">
        <f t="shared" si="2"/>
        <v>2.1299999999999999E-2</v>
      </c>
      <c r="H49" s="121">
        <f t="shared" si="3"/>
        <v>1.7749999999999999E-3</v>
      </c>
      <c r="I49" s="20">
        <f t="shared" si="4"/>
        <v>9.4665982178444436E-2</v>
      </c>
      <c r="J49" s="20">
        <f t="shared" si="5"/>
        <v>8.1219809298126749E-2</v>
      </c>
      <c r="K49" s="10"/>
      <c r="L49" s="10"/>
      <c r="M49" s="10"/>
      <c r="N49" s="125"/>
      <c r="O49" s="125"/>
      <c r="P49" s="125"/>
      <c r="Q49" s="125"/>
      <c r="R49" s="125"/>
      <c r="S49" s="125"/>
      <c r="T49" s="125"/>
      <c r="U49" s="125"/>
      <c r="V49" s="125"/>
      <c r="W49" s="10"/>
      <c r="X49" s="10"/>
      <c r="Y49" s="10"/>
      <c r="Z49" s="10"/>
      <c r="AA49" s="10"/>
      <c r="AB49" s="10"/>
    </row>
    <row r="50" spans="1:28" ht="13.5" customHeight="1">
      <c r="A50" s="119">
        <v>44620</v>
      </c>
      <c r="B50" s="120">
        <v>519.25</v>
      </c>
      <c r="C50" s="20">
        <f t="shared" si="0"/>
        <v>-9.8289485108969399E-2</v>
      </c>
      <c r="D50" s="120">
        <v>4373.9391488044403</v>
      </c>
      <c r="E50" s="20">
        <f t="shared" si="1"/>
        <v>-3.4538636384475074E-2</v>
      </c>
      <c r="F50" s="90">
        <v>1.93</v>
      </c>
      <c r="G50" s="121">
        <f t="shared" si="2"/>
        <v>1.9299999999999998E-2</v>
      </c>
      <c r="H50" s="121">
        <f t="shared" si="3"/>
        <v>1.6083333333333331E-3</v>
      </c>
      <c r="I50" s="20">
        <f t="shared" si="4"/>
        <v>-3.6146969717808411E-2</v>
      </c>
      <c r="J50" s="20">
        <f t="shared" si="5"/>
        <v>-9.9897818442302735E-2</v>
      </c>
      <c r="K50" s="10"/>
      <c r="L50" s="10"/>
      <c r="M50" s="10"/>
      <c r="N50" s="125"/>
      <c r="O50" s="125"/>
      <c r="P50" s="125"/>
      <c r="Q50" s="125"/>
      <c r="R50" s="125"/>
      <c r="S50" s="125"/>
      <c r="T50" s="125"/>
      <c r="U50" s="125"/>
      <c r="V50" s="125"/>
      <c r="W50" s="10"/>
      <c r="X50" s="10"/>
      <c r="Y50" s="10"/>
      <c r="Z50" s="10"/>
      <c r="AA50" s="10"/>
      <c r="AB50" s="10"/>
    </row>
    <row r="51" spans="1:28" ht="13.5" customHeight="1">
      <c r="A51" s="119">
        <v>44592</v>
      </c>
      <c r="B51" s="120">
        <v>505.13</v>
      </c>
      <c r="C51" s="20">
        <f t="shared" si="0"/>
        <v>-2.7193066923447251E-2</v>
      </c>
      <c r="D51" s="120">
        <v>4515.5475786242396</v>
      </c>
      <c r="E51" s="20">
        <f t="shared" si="1"/>
        <v>3.2375491519699429E-2</v>
      </c>
      <c r="F51" s="90">
        <v>1.76</v>
      </c>
      <c r="G51" s="121">
        <f t="shared" si="2"/>
        <v>1.7600000000000001E-2</v>
      </c>
      <c r="H51" s="121">
        <f t="shared" si="3"/>
        <v>1.4666666666666667E-3</v>
      </c>
      <c r="I51" s="20">
        <f t="shared" si="4"/>
        <v>3.090882485303276E-2</v>
      </c>
      <c r="J51" s="20">
        <f t="shared" si="5"/>
        <v>-2.8659733590113919E-2</v>
      </c>
      <c r="K51" s="10"/>
      <c r="L51" s="10"/>
      <c r="M51" s="10"/>
      <c r="N51" s="125"/>
      <c r="O51" s="125"/>
      <c r="P51" s="125"/>
      <c r="Q51" s="125"/>
      <c r="R51" s="125"/>
      <c r="S51" s="125"/>
      <c r="T51" s="125"/>
      <c r="U51" s="125"/>
      <c r="V51" s="125"/>
      <c r="W51" s="10"/>
      <c r="X51" s="10"/>
      <c r="Y51" s="10"/>
      <c r="Z51" s="10"/>
      <c r="AA51" s="10"/>
      <c r="AB51" s="10"/>
    </row>
    <row r="52" spans="1:28" ht="13.5" customHeight="1">
      <c r="A52" s="119">
        <v>44561</v>
      </c>
      <c r="B52" s="120">
        <v>567.70000000000005</v>
      </c>
      <c r="C52" s="20">
        <f t="shared" si="0"/>
        <v>0.12386910300318732</v>
      </c>
      <c r="D52" s="120">
        <v>4766.1829724283098</v>
      </c>
      <c r="E52" s="20">
        <f t="shared" si="1"/>
        <v>5.5504983490935134E-2</v>
      </c>
      <c r="F52" s="90">
        <v>1.47</v>
      </c>
      <c r="G52" s="121">
        <f t="shared" si="2"/>
        <v>1.47E-2</v>
      </c>
      <c r="H52" s="121">
        <f t="shared" si="3"/>
        <v>1.225E-3</v>
      </c>
      <c r="I52" s="20">
        <f t="shared" si="4"/>
        <v>5.4279983490935137E-2</v>
      </c>
      <c r="J52" s="20">
        <f t="shared" si="5"/>
        <v>0.12264410300318732</v>
      </c>
      <c r="K52" s="10"/>
      <c r="L52" s="10"/>
      <c r="M52" s="10"/>
      <c r="N52" s="125"/>
      <c r="O52" s="125"/>
      <c r="P52" s="125"/>
      <c r="Q52" s="125"/>
      <c r="R52" s="125"/>
      <c r="S52" s="125"/>
      <c r="T52" s="125"/>
      <c r="U52" s="125"/>
      <c r="V52" s="125"/>
      <c r="W52" s="10"/>
      <c r="X52" s="10"/>
      <c r="Y52" s="10"/>
      <c r="Z52" s="10"/>
      <c r="AA52" s="10"/>
      <c r="AB52" s="10"/>
    </row>
    <row r="53" spans="1:28" ht="13.5" customHeight="1">
      <c r="A53" s="119">
        <v>44530</v>
      </c>
      <c r="B53" s="120">
        <v>539.38</v>
      </c>
      <c r="C53" s="20">
        <f t="shared" si="0"/>
        <v>-4.9885502906464763E-2</v>
      </c>
      <c r="D53" s="120">
        <v>4567.0014940092397</v>
      </c>
      <c r="E53" s="20">
        <f t="shared" si="1"/>
        <v>-4.1790564812829611E-2</v>
      </c>
      <c r="F53" s="90">
        <v>1.56</v>
      </c>
      <c r="G53" s="121">
        <f t="shared" si="2"/>
        <v>1.5600000000000001E-2</v>
      </c>
      <c r="H53" s="121">
        <f t="shared" si="3"/>
        <v>1.3000000000000002E-3</v>
      </c>
      <c r="I53" s="20">
        <f t="shared" si="4"/>
        <v>-4.3090564812829614E-2</v>
      </c>
      <c r="J53" s="20">
        <f t="shared" si="5"/>
        <v>-5.1185502906464765E-2</v>
      </c>
      <c r="K53" s="10"/>
      <c r="L53" s="10"/>
      <c r="M53" s="10"/>
      <c r="N53" s="125"/>
      <c r="O53" s="125"/>
      <c r="P53" s="125"/>
      <c r="Q53" s="125"/>
      <c r="R53" s="125"/>
      <c r="S53" s="125"/>
      <c r="T53" s="125"/>
      <c r="U53" s="125"/>
      <c r="V53" s="125"/>
      <c r="W53" s="10"/>
      <c r="X53" s="10"/>
      <c r="Y53" s="10"/>
      <c r="Z53" s="10"/>
      <c r="AA53" s="10"/>
      <c r="AB53" s="10"/>
    </row>
    <row r="54" spans="1:28" ht="13.5" customHeight="1">
      <c r="A54" s="119">
        <v>44498</v>
      </c>
      <c r="B54" s="120">
        <v>491.54</v>
      </c>
      <c r="C54" s="20">
        <f t="shared" si="0"/>
        <v>-8.869442693462859E-2</v>
      </c>
      <c r="D54" s="120">
        <v>4605.3766481776001</v>
      </c>
      <c r="E54" s="20">
        <f t="shared" si="1"/>
        <v>8.4027023461015204E-3</v>
      </c>
      <c r="F54" s="90">
        <v>1.58</v>
      </c>
      <c r="G54" s="121">
        <f t="shared" si="2"/>
        <v>1.5800000000000002E-2</v>
      </c>
      <c r="H54" s="121">
        <f t="shared" si="3"/>
        <v>1.3166666666666667E-3</v>
      </c>
      <c r="I54" s="20">
        <f t="shared" si="4"/>
        <v>7.0860356794348539E-3</v>
      </c>
      <c r="J54" s="20">
        <f t="shared" si="5"/>
        <v>-9.001109360129525E-2</v>
      </c>
      <c r="K54" s="10"/>
      <c r="L54" s="10"/>
      <c r="M54" s="10"/>
      <c r="N54" s="125"/>
      <c r="O54" s="125"/>
      <c r="P54" s="125"/>
      <c r="Q54" s="125"/>
      <c r="R54" s="125"/>
      <c r="S54" s="125"/>
      <c r="T54" s="125"/>
      <c r="U54" s="125"/>
      <c r="V54" s="125"/>
      <c r="W54" s="10"/>
      <c r="X54" s="10"/>
      <c r="Y54" s="10"/>
      <c r="Z54" s="10"/>
      <c r="AA54" s="10"/>
      <c r="AB54" s="10"/>
    </row>
    <row r="55" spans="1:28" ht="13.5" customHeight="1">
      <c r="A55" s="119">
        <v>44469</v>
      </c>
      <c r="B55" s="120">
        <v>449.35</v>
      </c>
      <c r="C55" s="20">
        <f t="shared" si="0"/>
        <v>-8.5832282215079103E-2</v>
      </c>
      <c r="D55" s="120">
        <v>4307.5387507897103</v>
      </c>
      <c r="E55" s="20">
        <f t="shared" si="1"/>
        <v>-6.4671778258516111E-2</v>
      </c>
      <c r="F55" s="90">
        <v>1.37</v>
      </c>
      <c r="G55" s="121">
        <f t="shared" si="2"/>
        <v>1.37E-2</v>
      </c>
      <c r="H55" s="121">
        <f t="shared" si="3"/>
        <v>1.1416666666666667E-3</v>
      </c>
      <c r="I55" s="20">
        <f t="shared" si="4"/>
        <v>-6.5813444925182776E-2</v>
      </c>
      <c r="J55" s="20">
        <f t="shared" si="5"/>
        <v>-8.6973948881745769E-2</v>
      </c>
      <c r="K55" s="10"/>
      <c r="L55" s="10"/>
      <c r="M55" s="10"/>
      <c r="N55" s="125"/>
      <c r="O55" s="125"/>
      <c r="P55" s="125"/>
      <c r="Q55" s="125"/>
      <c r="R55" s="125"/>
      <c r="S55" s="125"/>
      <c r="T55" s="125"/>
      <c r="U55" s="125"/>
      <c r="V55" s="125"/>
      <c r="W55" s="10"/>
      <c r="X55" s="10"/>
      <c r="Y55" s="10"/>
      <c r="Z55" s="10"/>
      <c r="AA55" s="10"/>
      <c r="AB55" s="10"/>
    </row>
    <row r="56" spans="1:28" ht="13.5" customHeight="1">
      <c r="A56" s="119">
        <v>44439</v>
      </c>
      <c r="B56" s="120">
        <v>455.49</v>
      </c>
      <c r="C56" s="20">
        <f t="shared" si="0"/>
        <v>1.3664181595638203E-2</v>
      </c>
      <c r="D56" s="120">
        <v>4522.6801193645497</v>
      </c>
      <c r="E56" s="20">
        <f t="shared" si="1"/>
        <v>4.9945312398036457E-2</v>
      </c>
      <c r="F56" s="90">
        <v>1.28</v>
      </c>
      <c r="G56" s="121">
        <f t="shared" si="2"/>
        <v>1.2800000000000001E-2</v>
      </c>
      <c r="H56" s="121">
        <f t="shared" si="3"/>
        <v>1.0666666666666667E-3</v>
      </c>
      <c r="I56" s="20">
        <f t="shared" si="4"/>
        <v>4.8878645731369789E-2</v>
      </c>
      <c r="J56" s="20">
        <f t="shared" si="5"/>
        <v>1.2597514928971536E-2</v>
      </c>
      <c r="K56" s="10"/>
      <c r="L56" s="10"/>
      <c r="M56" s="10"/>
      <c r="N56" s="125"/>
      <c r="O56" s="125"/>
      <c r="P56" s="125"/>
      <c r="Q56" s="125"/>
      <c r="R56" s="125"/>
      <c r="S56" s="125"/>
      <c r="T56" s="125"/>
      <c r="U56" s="125"/>
      <c r="V56" s="125"/>
      <c r="W56" s="10"/>
      <c r="X56" s="10"/>
      <c r="Y56" s="10"/>
      <c r="Z56" s="10"/>
      <c r="AA56" s="10"/>
      <c r="AB56" s="10"/>
    </row>
    <row r="57" spans="1:28" ht="13.5" customHeight="1">
      <c r="A57" s="119">
        <v>44407</v>
      </c>
      <c r="B57" s="120">
        <v>429.72</v>
      </c>
      <c r="C57" s="20">
        <f t="shared" si="0"/>
        <v>-5.6576434169795076E-2</v>
      </c>
      <c r="D57" s="120">
        <v>4395.2639721631804</v>
      </c>
      <c r="E57" s="20">
        <f t="shared" si="1"/>
        <v>-2.8172708181553152E-2</v>
      </c>
      <c r="F57" s="90">
        <v>1.32</v>
      </c>
      <c r="G57" s="121">
        <f t="shared" si="2"/>
        <v>1.32E-2</v>
      </c>
      <c r="H57" s="121">
        <f t="shared" si="3"/>
        <v>1.1000000000000001E-3</v>
      </c>
      <c r="I57" s="20">
        <f t="shared" si="4"/>
        <v>-2.9272708181553152E-2</v>
      </c>
      <c r="J57" s="20">
        <f t="shared" si="5"/>
        <v>-5.7676434169795072E-2</v>
      </c>
      <c r="K57" s="10"/>
      <c r="L57" s="10"/>
      <c r="M57" s="10"/>
      <c r="N57" s="125"/>
      <c r="O57" s="125"/>
      <c r="P57" s="125"/>
      <c r="Q57" s="125"/>
      <c r="R57" s="125"/>
      <c r="S57" s="125"/>
      <c r="T57" s="125"/>
      <c r="U57" s="125"/>
      <c r="V57" s="125"/>
      <c r="W57" s="10"/>
      <c r="X57" s="10"/>
      <c r="Y57" s="10"/>
      <c r="Z57" s="10"/>
      <c r="AA57" s="10"/>
      <c r="AB57" s="10"/>
    </row>
    <row r="58" spans="1:28" ht="13.5" customHeight="1">
      <c r="A58" s="119">
        <v>44377</v>
      </c>
      <c r="B58" s="120">
        <v>395.67</v>
      </c>
      <c r="C58" s="20">
        <f t="shared" si="0"/>
        <v>-7.9237643116447987E-2</v>
      </c>
      <c r="D58" s="120">
        <v>4297.4966318818797</v>
      </c>
      <c r="E58" s="20">
        <f t="shared" si="1"/>
        <v>-2.2243792614163094E-2</v>
      </c>
      <c r="F58" s="90">
        <v>1.52</v>
      </c>
      <c r="G58" s="121">
        <f t="shared" si="2"/>
        <v>1.52E-2</v>
      </c>
      <c r="H58" s="121">
        <f t="shared" si="3"/>
        <v>1.2666666666666666E-3</v>
      </c>
      <c r="I58" s="20">
        <f t="shared" si="4"/>
        <v>-2.351045928082976E-2</v>
      </c>
      <c r="J58" s="20">
        <f t="shared" si="5"/>
        <v>-8.0504309783114653E-2</v>
      </c>
      <c r="K58" s="10"/>
      <c r="L58" s="10"/>
      <c r="M58" s="10"/>
      <c r="N58" s="125"/>
      <c r="O58" s="125"/>
      <c r="P58" s="125"/>
      <c r="Q58" s="125"/>
      <c r="R58" s="125"/>
      <c r="S58" s="125"/>
      <c r="T58" s="125"/>
      <c r="U58" s="125"/>
      <c r="V58" s="125"/>
      <c r="W58" s="10"/>
      <c r="X58" s="10"/>
      <c r="Y58" s="10"/>
      <c r="Z58" s="10"/>
      <c r="AA58" s="10"/>
      <c r="AB58" s="10"/>
    </row>
    <row r="59" spans="1:28" ht="13.5" customHeight="1">
      <c r="A59" s="119">
        <v>44344</v>
      </c>
      <c r="B59" s="120">
        <v>378.27</v>
      </c>
      <c r="C59" s="20">
        <f t="shared" si="0"/>
        <v>-4.3976040639927327E-2</v>
      </c>
      <c r="D59" s="120">
        <v>4204.1105456536397</v>
      </c>
      <c r="E59" s="20">
        <f t="shared" si="1"/>
        <v>-2.1730345414452623E-2</v>
      </c>
      <c r="F59" s="90">
        <v>1.62</v>
      </c>
      <c r="G59" s="121">
        <f t="shared" si="2"/>
        <v>1.6200000000000003E-2</v>
      </c>
      <c r="H59" s="121">
        <f t="shared" si="3"/>
        <v>1.3500000000000003E-3</v>
      </c>
      <c r="I59" s="20">
        <f t="shared" si="4"/>
        <v>-2.3080345414452624E-2</v>
      </c>
      <c r="J59" s="20">
        <f t="shared" si="5"/>
        <v>-4.5326040639927324E-2</v>
      </c>
      <c r="K59" s="10"/>
      <c r="L59" s="10"/>
      <c r="M59" s="10"/>
      <c r="N59" s="125"/>
      <c r="O59" s="125"/>
      <c r="P59" s="125"/>
      <c r="Q59" s="125"/>
      <c r="R59" s="125"/>
      <c r="S59" s="125"/>
      <c r="T59" s="125"/>
      <c r="U59" s="125"/>
      <c r="V59" s="125"/>
      <c r="W59" s="10"/>
      <c r="X59" s="10"/>
      <c r="Y59" s="10"/>
      <c r="Z59" s="10"/>
      <c r="AA59" s="10"/>
      <c r="AB59" s="10"/>
    </row>
    <row r="60" spans="1:28" ht="13.5" customHeight="1">
      <c r="A60" s="119">
        <v>44316</v>
      </c>
      <c r="B60" s="120">
        <v>372.09</v>
      </c>
      <c r="C60" s="20">
        <f t="shared" si="0"/>
        <v>-1.6337536680149145E-2</v>
      </c>
      <c r="D60" s="120">
        <v>4181.1748954407904</v>
      </c>
      <c r="E60" s="20">
        <f t="shared" si="1"/>
        <v>-5.4555297639737876E-3</v>
      </c>
      <c r="F60" s="90">
        <v>1.64</v>
      </c>
      <c r="G60" s="121">
        <f t="shared" si="2"/>
        <v>1.6399999999999998E-2</v>
      </c>
      <c r="H60" s="121">
        <f t="shared" si="3"/>
        <v>1.3666666666666664E-3</v>
      </c>
      <c r="I60" s="20">
        <f t="shared" si="4"/>
        <v>-6.8221964306404538E-3</v>
      </c>
      <c r="J60" s="20">
        <f t="shared" si="5"/>
        <v>-1.770420334681581E-2</v>
      </c>
      <c r="K60" s="10"/>
      <c r="L60" s="10"/>
      <c r="M60" s="10"/>
      <c r="N60" s="125"/>
      <c r="O60" s="125"/>
      <c r="P60" s="125"/>
      <c r="Q60" s="125"/>
      <c r="R60" s="125"/>
      <c r="S60" s="125"/>
      <c r="T60" s="125"/>
      <c r="U60" s="125"/>
      <c r="V60" s="125"/>
      <c r="W60" s="10"/>
      <c r="X60" s="10"/>
      <c r="Y60" s="10"/>
      <c r="Z60" s="10"/>
      <c r="AA60" s="10"/>
      <c r="AB60" s="10"/>
    </row>
    <row r="61" spans="1:28" ht="13.5" customHeight="1">
      <c r="A61" s="119">
        <v>44286</v>
      </c>
      <c r="B61" s="120">
        <v>352.48</v>
      </c>
      <c r="C61" s="20">
        <f t="shared" si="0"/>
        <v>-5.2702303206213386E-2</v>
      </c>
      <c r="D61" s="120">
        <v>3972.8922084302499</v>
      </c>
      <c r="E61" s="20">
        <f t="shared" si="1"/>
        <v>-4.9814392418182418E-2</v>
      </c>
      <c r="F61" s="90">
        <v>1.61</v>
      </c>
      <c r="G61" s="121">
        <f t="shared" si="2"/>
        <v>1.61E-2</v>
      </c>
      <c r="H61" s="121">
        <f t="shared" si="3"/>
        <v>1.3416666666666666E-3</v>
      </c>
      <c r="I61" s="20">
        <f t="shared" si="4"/>
        <v>-5.1156059084849083E-2</v>
      </c>
      <c r="J61" s="20">
        <f t="shared" si="5"/>
        <v>-5.404396987288005E-2</v>
      </c>
      <c r="K61" s="10"/>
      <c r="L61" s="10"/>
      <c r="M61" s="10"/>
      <c r="N61" s="125"/>
      <c r="O61" s="125"/>
      <c r="P61" s="125"/>
      <c r="Q61" s="125"/>
      <c r="R61" s="125"/>
      <c r="S61" s="125"/>
      <c r="T61" s="125"/>
      <c r="U61" s="125"/>
      <c r="V61" s="125"/>
      <c r="W61" s="10"/>
      <c r="X61" s="10"/>
      <c r="Y61" s="10"/>
      <c r="Z61" s="10"/>
      <c r="AA61" s="10"/>
      <c r="AB61" s="10"/>
    </row>
    <row r="62" spans="1:28" ht="13.5" customHeight="1">
      <c r="A62" s="119">
        <v>44253</v>
      </c>
      <c r="B62" s="120">
        <v>331</v>
      </c>
      <c r="C62" s="20">
        <f t="shared" si="0"/>
        <v>-6.0939627780299599E-2</v>
      </c>
      <c r="D62" s="120">
        <v>3811.1497495982799</v>
      </c>
      <c r="E62" s="20">
        <f t="shared" si="1"/>
        <v>-4.0711514520520242E-2</v>
      </c>
      <c r="F62" s="90">
        <v>1.26</v>
      </c>
      <c r="G62" s="121">
        <f t="shared" si="2"/>
        <v>1.26E-2</v>
      </c>
      <c r="H62" s="121">
        <f t="shared" si="3"/>
        <v>1.0499999999999999E-3</v>
      </c>
      <c r="I62" s="20">
        <f t="shared" si="4"/>
        <v>-4.1761514520520245E-2</v>
      </c>
      <c r="J62" s="20">
        <f t="shared" si="5"/>
        <v>-6.1989627780299601E-2</v>
      </c>
      <c r="K62" s="10"/>
      <c r="L62" s="10"/>
      <c r="M62" s="10"/>
      <c r="N62" s="125"/>
      <c r="O62" s="125"/>
      <c r="P62" s="125"/>
      <c r="Q62" s="125"/>
      <c r="R62" s="125"/>
      <c r="S62" s="125"/>
      <c r="T62" s="125"/>
      <c r="U62" s="125"/>
      <c r="V62" s="125"/>
      <c r="W62" s="10"/>
      <c r="X62" s="10"/>
      <c r="Y62" s="10"/>
      <c r="Z62" s="10"/>
      <c r="AA62" s="10"/>
      <c r="AB62" s="10"/>
    </row>
    <row r="63" spans="1:28" ht="13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25"/>
      <c r="O63" s="125"/>
      <c r="P63" s="125"/>
      <c r="Q63" s="125"/>
      <c r="R63" s="125"/>
      <c r="S63" s="125"/>
      <c r="T63" s="125"/>
      <c r="U63" s="125"/>
      <c r="V63" s="125"/>
      <c r="W63" s="10"/>
      <c r="X63" s="10"/>
      <c r="Y63" s="10"/>
      <c r="Z63" s="10"/>
      <c r="AA63" s="10"/>
      <c r="AB63" s="10"/>
    </row>
    <row r="64" spans="1:28" ht="13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25"/>
      <c r="O64" s="125"/>
      <c r="P64" s="125"/>
      <c r="Q64" s="125"/>
      <c r="R64" s="125"/>
      <c r="S64" s="125"/>
      <c r="T64" s="125"/>
      <c r="U64" s="125"/>
      <c r="V64" s="125"/>
      <c r="W64" s="10"/>
      <c r="X64" s="10"/>
      <c r="Y64" s="10"/>
      <c r="Z64" s="10"/>
      <c r="AA64" s="10"/>
      <c r="AB64" s="10"/>
    </row>
    <row r="65" spans="1:28" ht="13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25"/>
      <c r="O65" s="125"/>
      <c r="P65" s="125"/>
      <c r="Q65" s="125"/>
      <c r="R65" s="125"/>
      <c r="S65" s="125"/>
      <c r="T65" s="125"/>
      <c r="U65" s="125"/>
      <c r="V65" s="125"/>
      <c r="W65" s="10"/>
      <c r="X65" s="10"/>
      <c r="Y65" s="10"/>
      <c r="Z65" s="10"/>
      <c r="AA65" s="10"/>
      <c r="AB65" s="10"/>
    </row>
    <row r="66" spans="1:28" ht="13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25"/>
      <c r="O66" s="125"/>
      <c r="P66" s="125"/>
      <c r="Q66" s="125"/>
      <c r="R66" s="125"/>
      <c r="S66" s="125"/>
      <c r="T66" s="125"/>
      <c r="U66" s="125"/>
      <c r="V66" s="125"/>
      <c r="W66" s="10"/>
      <c r="X66" s="10"/>
      <c r="Y66" s="10"/>
      <c r="Z66" s="10"/>
      <c r="AA66" s="10"/>
      <c r="AB66" s="10"/>
    </row>
    <row r="67" spans="1:28" ht="13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25"/>
      <c r="O67" s="125"/>
      <c r="P67" s="125"/>
      <c r="Q67" s="125"/>
      <c r="R67" s="125"/>
      <c r="S67" s="125"/>
      <c r="T67" s="125"/>
      <c r="U67" s="125"/>
      <c r="V67" s="125"/>
      <c r="W67" s="10"/>
      <c r="X67" s="10"/>
      <c r="Y67" s="10"/>
      <c r="Z67" s="10"/>
      <c r="AA67" s="10"/>
      <c r="AB67" s="10"/>
    </row>
    <row r="68" spans="1:28" ht="13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25"/>
      <c r="O68" s="125"/>
      <c r="P68" s="125"/>
      <c r="Q68" s="125"/>
      <c r="R68" s="125"/>
      <c r="S68" s="125"/>
      <c r="T68" s="125"/>
      <c r="U68" s="125"/>
      <c r="V68" s="125"/>
      <c r="W68" s="10"/>
      <c r="X68" s="10"/>
      <c r="Y68" s="10"/>
      <c r="Z68" s="10"/>
      <c r="AA68" s="10"/>
      <c r="AB68" s="10"/>
    </row>
    <row r="69" spans="1:28" ht="13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25"/>
      <c r="O69" s="125"/>
      <c r="P69" s="125"/>
      <c r="Q69" s="125"/>
      <c r="R69" s="125"/>
      <c r="S69" s="125"/>
      <c r="T69" s="125"/>
      <c r="U69" s="125"/>
      <c r="V69" s="125"/>
      <c r="W69" s="10"/>
      <c r="X69" s="10"/>
      <c r="Y69" s="10"/>
      <c r="Z69" s="10"/>
      <c r="AA69" s="10"/>
      <c r="AB69" s="10"/>
    </row>
    <row r="70" spans="1:28" ht="13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25"/>
      <c r="O70" s="125"/>
      <c r="P70" s="125"/>
      <c r="Q70" s="125"/>
      <c r="R70" s="125"/>
      <c r="S70" s="125"/>
      <c r="T70" s="125"/>
      <c r="U70" s="125"/>
      <c r="V70" s="125"/>
      <c r="W70" s="10"/>
      <c r="X70" s="10"/>
      <c r="Y70" s="10"/>
      <c r="Z70" s="10"/>
      <c r="AA70" s="10"/>
      <c r="AB70" s="10"/>
    </row>
    <row r="71" spans="1:28" ht="13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25"/>
      <c r="O71" s="125"/>
      <c r="P71" s="125"/>
      <c r="Q71" s="125"/>
      <c r="R71" s="125"/>
      <c r="S71" s="125"/>
      <c r="T71" s="125"/>
      <c r="U71" s="125"/>
      <c r="V71" s="125"/>
      <c r="W71" s="10"/>
      <c r="X71" s="10"/>
      <c r="Y71" s="10"/>
      <c r="Z71" s="10"/>
      <c r="AA71" s="10"/>
      <c r="AB71" s="10"/>
    </row>
    <row r="72" spans="1:28" ht="13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25"/>
      <c r="O72" s="125"/>
      <c r="P72" s="125"/>
      <c r="Q72" s="125"/>
      <c r="R72" s="125"/>
      <c r="S72" s="125"/>
      <c r="T72" s="125"/>
      <c r="U72" s="125"/>
      <c r="V72" s="125"/>
      <c r="W72" s="10"/>
      <c r="X72" s="10"/>
      <c r="Y72" s="10"/>
      <c r="Z72" s="10"/>
      <c r="AA72" s="10"/>
      <c r="AB72" s="10"/>
    </row>
    <row r="73" spans="1:28" ht="13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25"/>
      <c r="O73" s="125"/>
      <c r="P73" s="125"/>
      <c r="Q73" s="125"/>
      <c r="R73" s="125"/>
      <c r="S73" s="125"/>
      <c r="T73" s="125"/>
      <c r="U73" s="125"/>
      <c r="V73" s="125"/>
      <c r="W73" s="10"/>
      <c r="X73" s="10"/>
      <c r="Y73" s="10"/>
      <c r="Z73" s="10"/>
      <c r="AA73" s="10"/>
      <c r="AB73" s="10"/>
    </row>
    <row r="74" spans="1:28" ht="13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25"/>
      <c r="O74" s="125"/>
      <c r="P74" s="125"/>
      <c r="Q74" s="125"/>
      <c r="R74" s="125"/>
      <c r="S74" s="125"/>
      <c r="T74" s="125"/>
      <c r="U74" s="125"/>
      <c r="V74" s="125"/>
      <c r="W74" s="10"/>
      <c r="X74" s="10"/>
      <c r="Y74" s="10"/>
      <c r="Z74" s="10"/>
      <c r="AA74" s="10"/>
      <c r="AB74" s="10"/>
    </row>
    <row r="75" spans="1:28" ht="13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25"/>
      <c r="O75" s="125"/>
      <c r="P75" s="125"/>
      <c r="Q75" s="125"/>
      <c r="R75" s="125"/>
      <c r="S75" s="125"/>
      <c r="T75" s="125"/>
      <c r="U75" s="125"/>
      <c r="V75" s="125"/>
      <c r="W75" s="10"/>
      <c r="X75" s="10"/>
      <c r="Y75" s="10"/>
      <c r="Z75" s="10"/>
      <c r="AA75" s="10"/>
      <c r="AB75" s="10"/>
    </row>
    <row r="76" spans="1:28" ht="13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25"/>
      <c r="O76" s="125"/>
      <c r="P76" s="125"/>
      <c r="Q76" s="125"/>
      <c r="R76" s="125"/>
      <c r="S76" s="125"/>
      <c r="T76" s="125"/>
      <c r="U76" s="125"/>
      <c r="V76" s="125"/>
      <c r="W76" s="10"/>
      <c r="X76" s="10"/>
      <c r="Y76" s="10"/>
      <c r="Z76" s="10"/>
      <c r="AA76" s="10"/>
      <c r="AB76" s="10"/>
    </row>
    <row r="77" spans="1:28" ht="13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25"/>
      <c r="O77" s="125"/>
      <c r="P77" s="125"/>
      <c r="Q77" s="125"/>
      <c r="R77" s="125"/>
      <c r="S77" s="125"/>
      <c r="T77" s="125"/>
      <c r="U77" s="125"/>
      <c r="V77" s="125"/>
      <c r="W77" s="10"/>
      <c r="X77" s="10"/>
      <c r="Y77" s="10"/>
      <c r="Z77" s="10"/>
      <c r="AA77" s="10"/>
      <c r="AB77" s="10"/>
    </row>
    <row r="78" spans="1:28" ht="13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25"/>
      <c r="O78" s="125"/>
      <c r="P78" s="125"/>
      <c r="Q78" s="125"/>
      <c r="R78" s="125"/>
      <c r="S78" s="125"/>
      <c r="T78" s="125"/>
      <c r="U78" s="125"/>
      <c r="V78" s="125"/>
      <c r="W78" s="10"/>
      <c r="X78" s="10"/>
      <c r="Y78" s="10"/>
      <c r="Z78" s="10"/>
      <c r="AA78" s="10"/>
      <c r="AB78" s="10"/>
    </row>
    <row r="79" spans="1:28" ht="13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25"/>
      <c r="O79" s="125"/>
      <c r="P79" s="125"/>
      <c r="Q79" s="125"/>
      <c r="R79" s="125"/>
      <c r="S79" s="125"/>
      <c r="T79" s="125"/>
      <c r="U79" s="125"/>
      <c r="V79" s="125"/>
      <c r="W79" s="10"/>
      <c r="X79" s="10"/>
      <c r="Y79" s="10"/>
      <c r="Z79" s="10"/>
      <c r="AA79" s="10"/>
      <c r="AB79" s="10"/>
    </row>
    <row r="80" spans="1:28" ht="13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25"/>
      <c r="O80" s="125"/>
      <c r="P80" s="125"/>
      <c r="Q80" s="125"/>
      <c r="R80" s="125"/>
      <c r="S80" s="125"/>
      <c r="T80" s="125"/>
      <c r="U80" s="125"/>
      <c r="V80" s="125"/>
      <c r="W80" s="10"/>
      <c r="X80" s="10"/>
      <c r="Y80" s="10"/>
      <c r="Z80" s="10"/>
      <c r="AA80" s="10"/>
      <c r="AB80" s="10"/>
    </row>
    <row r="81" spans="1:28" ht="13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25"/>
      <c r="O81" s="125"/>
      <c r="P81" s="125"/>
      <c r="Q81" s="125"/>
      <c r="R81" s="125"/>
      <c r="S81" s="125"/>
      <c r="T81" s="125"/>
      <c r="U81" s="125"/>
      <c r="V81" s="125"/>
      <c r="W81" s="10"/>
      <c r="X81" s="10"/>
      <c r="Y81" s="10"/>
      <c r="Z81" s="10"/>
      <c r="AA81" s="10"/>
      <c r="AB81" s="10"/>
    </row>
    <row r="82" spans="1:28" ht="13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25"/>
      <c r="O82" s="125"/>
      <c r="P82" s="125"/>
      <c r="Q82" s="125"/>
      <c r="R82" s="125"/>
      <c r="S82" s="125"/>
      <c r="T82" s="125"/>
      <c r="U82" s="125"/>
      <c r="V82" s="125"/>
      <c r="W82" s="10"/>
      <c r="X82" s="10"/>
      <c r="Y82" s="10"/>
      <c r="Z82" s="10"/>
      <c r="AA82" s="10"/>
      <c r="AB82" s="10"/>
    </row>
    <row r="83" spans="1:28" ht="13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25"/>
      <c r="O83" s="125"/>
      <c r="P83" s="125"/>
      <c r="Q83" s="125"/>
      <c r="R83" s="125"/>
      <c r="S83" s="125"/>
      <c r="T83" s="125"/>
      <c r="U83" s="125"/>
      <c r="V83" s="125"/>
      <c r="W83" s="10"/>
      <c r="X83" s="10"/>
      <c r="Y83" s="10"/>
      <c r="Z83" s="10"/>
      <c r="AA83" s="10"/>
      <c r="AB83" s="10"/>
    </row>
    <row r="84" spans="1:28" ht="13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25"/>
      <c r="O84" s="125"/>
      <c r="P84" s="125"/>
      <c r="Q84" s="125"/>
      <c r="R84" s="125"/>
      <c r="S84" s="125"/>
      <c r="T84" s="125"/>
      <c r="U84" s="125"/>
      <c r="V84" s="125"/>
      <c r="W84" s="10"/>
      <c r="X84" s="10"/>
      <c r="Y84" s="10"/>
      <c r="Z84" s="10"/>
      <c r="AA84" s="10"/>
      <c r="AB84" s="10"/>
    </row>
    <row r="85" spans="1:28" ht="13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25"/>
      <c r="O85" s="125"/>
      <c r="P85" s="125"/>
      <c r="Q85" s="125"/>
      <c r="R85" s="125"/>
      <c r="S85" s="125"/>
      <c r="T85" s="125"/>
      <c r="U85" s="125"/>
      <c r="V85" s="125"/>
      <c r="W85" s="10"/>
      <c r="X85" s="10"/>
      <c r="Y85" s="10"/>
      <c r="Z85" s="10"/>
      <c r="AA85" s="10"/>
      <c r="AB85" s="10"/>
    </row>
    <row r="86" spans="1:28" ht="13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25"/>
      <c r="O86" s="125"/>
      <c r="P86" s="125"/>
      <c r="Q86" s="125"/>
      <c r="R86" s="125"/>
      <c r="S86" s="125"/>
      <c r="T86" s="125"/>
      <c r="U86" s="125"/>
      <c r="V86" s="125"/>
      <c r="W86" s="10"/>
      <c r="X86" s="10"/>
      <c r="Y86" s="10"/>
      <c r="Z86" s="10"/>
      <c r="AA86" s="10"/>
      <c r="AB86" s="10"/>
    </row>
    <row r="87" spans="1:28" ht="13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25"/>
      <c r="O87" s="125"/>
      <c r="P87" s="125"/>
      <c r="Q87" s="125"/>
      <c r="R87" s="125"/>
      <c r="S87" s="125"/>
      <c r="T87" s="125"/>
      <c r="U87" s="125"/>
      <c r="V87" s="125"/>
      <c r="W87" s="10"/>
      <c r="X87" s="10"/>
      <c r="Y87" s="10"/>
      <c r="Z87" s="10"/>
      <c r="AA87" s="10"/>
      <c r="AB87" s="10"/>
    </row>
    <row r="88" spans="1:28" ht="13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25"/>
      <c r="O88" s="125"/>
      <c r="P88" s="125"/>
      <c r="Q88" s="125"/>
      <c r="R88" s="125"/>
      <c r="S88" s="125"/>
      <c r="T88" s="125"/>
      <c r="U88" s="125"/>
      <c r="V88" s="125"/>
      <c r="W88" s="10"/>
      <c r="X88" s="10"/>
      <c r="Y88" s="10"/>
      <c r="Z88" s="10"/>
      <c r="AA88" s="10"/>
      <c r="AB88" s="10"/>
    </row>
    <row r="89" spans="1:28" ht="13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25"/>
      <c r="O89" s="125"/>
      <c r="P89" s="125"/>
      <c r="Q89" s="125"/>
      <c r="R89" s="125"/>
      <c r="S89" s="125"/>
      <c r="T89" s="125"/>
      <c r="U89" s="125"/>
      <c r="V89" s="125"/>
      <c r="W89" s="10"/>
      <c r="X89" s="10"/>
      <c r="Y89" s="10"/>
      <c r="Z89" s="10"/>
      <c r="AA89" s="10"/>
      <c r="AB89" s="10"/>
    </row>
    <row r="90" spans="1:28" ht="13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25"/>
      <c r="O90" s="125"/>
      <c r="P90" s="125"/>
      <c r="Q90" s="125"/>
      <c r="R90" s="125"/>
      <c r="S90" s="125"/>
      <c r="T90" s="125"/>
      <c r="U90" s="125"/>
      <c r="V90" s="125"/>
      <c r="W90" s="10"/>
      <c r="X90" s="10"/>
      <c r="Y90" s="10"/>
      <c r="Z90" s="10"/>
      <c r="AA90" s="10"/>
      <c r="AB90" s="10"/>
    </row>
    <row r="91" spans="1:28" ht="13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25"/>
      <c r="O91" s="125"/>
      <c r="P91" s="125"/>
      <c r="Q91" s="125"/>
      <c r="R91" s="125"/>
      <c r="S91" s="125"/>
      <c r="T91" s="125"/>
      <c r="U91" s="125"/>
      <c r="V91" s="125"/>
      <c r="W91" s="10"/>
      <c r="X91" s="10"/>
      <c r="Y91" s="10"/>
      <c r="Z91" s="10"/>
      <c r="AA91" s="10"/>
      <c r="AB91" s="10"/>
    </row>
    <row r="92" spans="1:28" ht="13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25"/>
      <c r="O92" s="125"/>
      <c r="P92" s="125"/>
      <c r="Q92" s="125"/>
      <c r="R92" s="125"/>
      <c r="S92" s="125"/>
      <c r="T92" s="125"/>
      <c r="U92" s="125"/>
      <c r="V92" s="125"/>
      <c r="W92" s="10"/>
      <c r="X92" s="10"/>
      <c r="Y92" s="10"/>
      <c r="Z92" s="10"/>
      <c r="AA92" s="10"/>
      <c r="AB92" s="10"/>
    </row>
    <row r="93" spans="1:28" ht="13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25"/>
      <c r="O93" s="125"/>
      <c r="P93" s="125"/>
      <c r="Q93" s="125"/>
      <c r="R93" s="125"/>
      <c r="S93" s="125"/>
      <c r="T93" s="125"/>
      <c r="U93" s="125"/>
      <c r="V93" s="125"/>
      <c r="W93" s="10"/>
      <c r="X93" s="10"/>
      <c r="Y93" s="10"/>
      <c r="Z93" s="10"/>
      <c r="AA93" s="10"/>
      <c r="AB93" s="10"/>
    </row>
    <row r="94" spans="1:28" ht="13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25"/>
      <c r="O94" s="125"/>
      <c r="P94" s="125"/>
      <c r="Q94" s="125"/>
      <c r="R94" s="125"/>
      <c r="S94" s="125"/>
      <c r="T94" s="125"/>
      <c r="U94" s="125"/>
      <c r="V94" s="125"/>
      <c r="W94" s="10"/>
      <c r="X94" s="10"/>
      <c r="Y94" s="10"/>
      <c r="Z94" s="10"/>
      <c r="AA94" s="10"/>
      <c r="AB94" s="10"/>
    </row>
    <row r="95" spans="1:28" ht="13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25"/>
      <c r="O95" s="125"/>
      <c r="P95" s="125"/>
      <c r="Q95" s="125"/>
      <c r="R95" s="125"/>
      <c r="S95" s="125"/>
      <c r="T95" s="125"/>
      <c r="U95" s="125"/>
      <c r="V95" s="125"/>
      <c r="W95" s="10"/>
      <c r="X95" s="10"/>
      <c r="Y95" s="10"/>
      <c r="Z95" s="10"/>
      <c r="AA95" s="10"/>
      <c r="AB95" s="10"/>
    </row>
    <row r="96" spans="1:28" ht="13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25"/>
      <c r="O96" s="125"/>
      <c r="P96" s="125"/>
      <c r="Q96" s="125"/>
      <c r="R96" s="125"/>
      <c r="S96" s="125"/>
      <c r="T96" s="125"/>
      <c r="U96" s="125"/>
      <c r="V96" s="125"/>
      <c r="W96" s="10"/>
      <c r="X96" s="10"/>
      <c r="Y96" s="10"/>
      <c r="Z96" s="10"/>
      <c r="AA96" s="10"/>
      <c r="AB96" s="10"/>
    </row>
    <row r="97" spans="1:28" ht="13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25"/>
      <c r="O97" s="125"/>
      <c r="P97" s="125"/>
      <c r="Q97" s="125"/>
      <c r="R97" s="125"/>
      <c r="S97" s="125"/>
      <c r="T97" s="125"/>
      <c r="U97" s="125"/>
      <c r="V97" s="125"/>
      <c r="W97" s="10"/>
      <c r="X97" s="10"/>
      <c r="Y97" s="10"/>
      <c r="Z97" s="10"/>
      <c r="AA97" s="10"/>
      <c r="AB97" s="10"/>
    </row>
    <row r="98" spans="1:28" ht="13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25"/>
      <c r="O98" s="125"/>
      <c r="P98" s="125"/>
      <c r="Q98" s="125"/>
      <c r="R98" s="125"/>
      <c r="S98" s="125"/>
      <c r="T98" s="125"/>
      <c r="U98" s="125"/>
      <c r="V98" s="125"/>
      <c r="W98" s="10"/>
      <c r="X98" s="10"/>
      <c r="Y98" s="10"/>
      <c r="Z98" s="10"/>
      <c r="AA98" s="10"/>
      <c r="AB98" s="10"/>
    </row>
    <row r="99" spans="1:28" ht="13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25"/>
      <c r="O99" s="125"/>
      <c r="P99" s="125"/>
      <c r="Q99" s="125"/>
      <c r="R99" s="125"/>
      <c r="S99" s="125"/>
      <c r="T99" s="125"/>
      <c r="U99" s="125"/>
      <c r="V99" s="125"/>
      <c r="W99" s="10"/>
      <c r="X99" s="10"/>
      <c r="Y99" s="10"/>
      <c r="Z99" s="10"/>
      <c r="AA99" s="10"/>
      <c r="AB99" s="10"/>
    </row>
    <row r="100" spans="1:28" ht="13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25"/>
      <c r="O100" s="125"/>
      <c r="P100" s="125"/>
      <c r="Q100" s="125"/>
      <c r="R100" s="125"/>
      <c r="S100" s="125"/>
      <c r="T100" s="125"/>
      <c r="U100" s="125"/>
      <c r="V100" s="125"/>
      <c r="W100" s="10"/>
      <c r="X100" s="10"/>
      <c r="Y100" s="10"/>
      <c r="Z100" s="10"/>
      <c r="AA100" s="10"/>
      <c r="AB100" s="10"/>
    </row>
    <row r="101" spans="1:28" ht="13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25"/>
      <c r="O101" s="125"/>
      <c r="P101" s="125"/>
      <c r="Q101" s="125"/>
      <c r="R101" s="125"/>
      <c r="S101" s="125"/>
      <c r="T101" s="125"/>
      <c r="U101" s="125"/>
      <c r="V101" s="125"/>
      <c r="W101" s="10"/>
      <c r="X101" s="10"/>
      <c r="Y101" s="10"/>
      <c r="Z101" s="10"/>
      <c r="AA101" s="10"/>
      <c r="AB101" s="10"/>
    </row>
    <row r="102" spans="1:28" ht="13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25"/>
      <c r="O102" s="125"/>
      <c r="P102" s="125"/>
      <c r="Q102" s="125"/>
      <c r="R102" s="125"/>
      <c r="S102" s="125"/>
      <c r="T102" s="125"/>
      <c r="U102" s="125"/>
      <c r="V102" s="125"/>
      <c r="W102" s="10"/>
      <c r="X102" s="10"/>
      <c r="Y102" s="10"/>
      <c r="Z102" s="10"/>
      <c r="AA102" s="10"/>
      <c r="AB102" s="10"/>
    </row>
    <row r="103" spans="1:28" ht="13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25"/>
      <c r="O103" s="125"/>
      <c r="P103" s="125"/>
      <c r="Q103" s="125"/>
      <c r="R103" s="125"/>
      <c r="S103" s="125"/>
      <c r="T103" s="125"/>
      <c r="U103" s="125"/>
      <c r="V103" s="125"/>
      <c r="W103" s="10"/>
      <c r="X103" s="10"/>
      <c r="Y103" s="10"/>
      <c r="Z103" s="10"/>
      <c r="AA103" s="10"/>
      <c r="AB103" s="10"/>
    </row>
    <row r="104" spans="1:28" ht="13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25"/>
      <c r="O104" s="125"/>
      <c r="P104" s="125"/>
      <c r="Q104" s="125"/>
      <c r="R104" s="125"/>
      <c r="S104" s="125"/>
      <c r="T104" s="125"/>
      <c r="U104" s="125"/>
      <c r="V104" s="125"/>
      <c r="W104" s="10"/>
      <c r="X104" s="10"/>
      <c r="Y104" s="10"/>
      <c r="Z104" s="10"/>
      <c r="AA104" s="10"/>
      <c r="AB104" s="10"/>
    </row>
    <row r="105" spans="1:28" ht="13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25"/>
      <c r="O105" s="125"/>
      <c r="P105" s="125"/>
      <c r="Q105" s="125"/>
      <c r="R105" s="125"/>
      <c r="S105" s="125"/>
      <c r="T105" s="125"/>
      <c r="U105" s="125"/>
      <c r="V105" s="125"/>
      <c r="W105" s="10"/>
      <c r="X105" s="10"/>
      <c r="Y105" s="10"/>
      <c r="Z105" s="10"/>
      <c r="AA105" s="10"/>
      <c r="AB105" s="10"/>
    </row>
    <row r="106" spans="1:28" ht="13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25"/>
      <c r="O106" s="125"/>
      <c r="P106" s="125"/>
      <c r="Q106" s="125"/>
      <c r="R106" s="125"/>
      <c r="S106" s="125"/>
      <c r="T106" s="125"/>
      <c r="U106" s="125"/>
      <c r="V106" s="125"/>
      <c r="W106" s="10"/>
      <c r="X106" s="10"/>
      <c r="Y106" s="10"/>
      <c r="Z106" s="10"/>
      <c r="AA106" s="10"/>
      <c r="AB106" s="10"/>
    </row>
    <row r="107" spans="1:28" ht="13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25"/>
      <c r="O107" s="125"/>
      <c r="P107" s="125"/>
      <c r="Q107" s="125"/>
      <c r="R107" s="125"/>
      <c r="S107" s="125"/>
      <c r="T107" s="125"/>
      <c r="U107" s="125"/>
      <c r="V107" s="125"/>
      <c r="W107" s="10"/>
      <c r="X107" s="10"/>
      <c r="Y107" s="10"/>
      <c r="Z107" s="10"/>
      <c r="AA107" s="10"/>
      <c r="AB107" s="10"/>
    </row>
    <row r="108" spans="1:28" ht="13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25"/>
      <c r="O108" s="125"/>
      <c r="P108" s="125"/>
      <c r="Q108" s="125"/>
      <c r="R108" s="125"/>
      <c r="S108" s="125"/>
      <c r="T108" s="125"/>
      <c r="U108" s="125"/>
      <c r="V108" s="125"/>
      <c r="W108" s="10"/>
      <c r="X108" s="10"/>
      <c r="Y108" s="10"/>
      <c r="Z108" s="10"/>
      <c r="AA108" s="10"/>
      <c r="AB108" s="10"/>
    </row>
    <row r="109" spans="1:28" ht="13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25"/>
      <c r="O109" s="125"/>
      <c r="P109" s="125"/>
      <c r="Q109" s="125"/>
      <c r="R109" s="125"/>
      <c r="S109" s="125"/>
      <c r="T109" s="125"/>
      <c r="U109" s="125"/>
      <c r="V109" s="125"/>
      <c r="W109" s="10"/>
      <c r="X109" s="10"/>
      <c r="Y109" s="10"/>
      <c r="Z109" s="10"/>
      <c r="AA109" s="10"/>
      <c r="AB109" s="10"/>
    </row>
    <row r="110" spans="1:28" ht="13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25"/>
      <c r="O110" s="125"/>
      <c r="P110" s="125"/>
      <c r="Q110" s="125"/>
      <c r="R110" s="125"/>
      <c r="S110" s="125"/>
      <c r="T110" s="125"/>
      <c r="U110" s="125"/>
      <c r="V110" s="125"/>
      <c r="W110" s="10"/>
      <c r="X110" s="10"/>
      <c r="Y110" s="10"/>
      <c r="Z110" s="10"/>
      <c r="AA110" s="10"/>
      <c r="AB110" s="10"/>
    </row>
    <row r="111" spans="1:28" ht="13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25"/>
      <c r="O111" s="125"/>
      <c r="P111" s="125"/>
      <c r="Q111" s="125"/>
      <c r="R111" s="125"/>
      <c r="S111" s="125"/>
      <c r="T111" s="125"/>
      <c r="U111" s="125"/>
      <c r="V111" s="125"/>
      <c r="W111" s="10"/>
      <c r="X111" s="10"/>
      <c r="Y111" s="10"/>
      <c r="Z111" s="10"/>
      <c r="AA111" s="10"/>
      <c r="AB111" s="10"/>
    </row>
    <row r="112" spans="1:28" ht="13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25"/>
      <c r="O112" s="125"/>
      <c r="P112" s="125"/>
      <c r="Q112" s="125"/>
      <c r="R112" s="125"/>
      <c r="S112" s="125"/>
      <c r="T112" s="125"/>
      <c r="U112" s="125"/>
      <c r="V112" s="125"/>
      <c r="W112" s="10"/>
      <c r="X112" s="10"/>
      <c r="Y112" s="10"/>
      <c r="Z112" s="10"/>
      <c r="AA112" s="10"/>
      <c r="AB112" s="10"/>
    </row>
    <row r="113" spans="1:28" ht="13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25"/>
      <c r="O113" s="125"/>
      <c r="P113" s="125"/>
      <c r="Q113" s="125"/>
      <c r="R113" s="125"/>
      <c r="S113" s="125"/>
      <c r="T113" s="125"/>
      <c r="U113" s="125"/>
      <c r="V113" s="125"/>
      <c r="W113" s="10"/>
      <c r="X113" s="10"/>
      <c r="Y113" s="10"/>
      <c r="Z113" s="10"/>
      <c r="AA113" s="10"/>
      <c r="AB113" s="10"/>
    </row>
    <row r="114" spans="1:28" ht="13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25"/>
      <c r="O114" s="125"/>
      <c r="P114" s="125"/>
      <c r="Q114" s="125"/>
      <c r="R114" s="125"/>
      <c r="S114" s="125"/>
      <c r="T114" s="125"/>
      <c r="U114" s="125"/>
      <c r="V114" s="125"/>
      <c r="W114" s="10"/>
      <c r="X114" s="10"/>
      <c r="Y114" s="10"/>
      <c r="Z114" s="10"/>
      <c r="AA114" s="10"/>
      <c r="AB114" s="10"/>
    </row>
    <row r="115" spans="1:28" ht="13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25"/>
      <c r="O115" s="125"/>
      <c r="P115" s="125"/>
      <c r="Q115" s="125"/>
      <c r="R115" s="125"/>
      <c r="S115" s="125"/>
      <c r="T115" s="125"/>
      <c r="U115" s="125"/>
      <c r="V115" s="125"/>
      <c r="W115" s="10"/>
      <c r="X115" s="10"/>
      <c r="Y115" s="10"/>
      <c r="Z115" s="10"/>
      <c r="AA115" s="10"/>
      <c r="AB115" s="10"/>
    </row>
    <row r="116" spans="1:28" ht="13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25"/>
      <c r="O116" s="125"/>
      <c r="P116" s="125"/>
      <c r="Q116" s="125"/>
      <c r="R116" s="125"/>
      <c r="S116" s="125"/>
      <c r="T116" s="125"/>
      <c r="U116" s="125"/>
      <c r="V116" s="125"/>
      <c r="W116" s="10"/>
      <c r="X116" s="10"/>
      <c r="Y116" s="10"/>
      <c r="Z116" s="10"/>
      <c r="AA116" s="10"/>
      <c r="AB116" s="10"/>
    </row>
    <row r="117" spans="1:28" ht="13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25"/>
      <c r="O117" s="125"/>
      <c r="P117" s="125"/>
      <c r="Q117" s="125"/>
      <c r="R117" s="125"/>
      <c r="S117" s="125"/>
      <c r="T117" s="125"/>
      <c r="U117" s="125"/>
      <c r="V117" s="125"/>
      <c r="W117" s="10"/>
      <c r="X117" s="10"/>
      <c r="Y117" s="10"/>
      <c r="Z117" s="10"/>
      <c r="AA117" s="10"/>
      <c r="AB117" s="10"/>
    </row>
    <row r="118" spans="1:28" ht="13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25"/>
      <c r="O118" s="125"/>
      <c r="P118" s="125"/>
      <c r="Q118" s="125"/>
      <c r="R118" s="125"/>
      <c r="S118" s="125"/>
      <c r="T118" s="125"/>
      <c r="U118" s="125"/>
      <c r="V118" s="125"/>
      <c r="W118" s="10"/>
      <c r="X118" s="10"/>
      <c r="Y118" s="10"/>
      <c r="Z118" s="10"/>
      <c r="AA118" s="10"/>
      <c r="AB118" s="10"/>
    </row>
    <row r="119" spans="1:28" ht="13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25"/>
      <c r="O119" s="125"/>
      <c r="P119" s="125"/>
      <c r="Q119" s="125"/>
      <c r="R119" s="125"/>
      <c r="S119" s="125"/>
      <c r="T119" s="125"/>
      <c r="U119" s="125"/>
      <c r="V119" s="125"/>
      <c r="W119" s="10"/>
      <c r="X119" s="10"/>
      <c r="Y119" s="10"/>
      <c r="Z119" s="10"/>
      <c r="AA119" s="10"/>
      <c r="AB119" s="10"/>
    </row>
    <row r="120" spans="1:28" ht="13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25"/>
      <c r="O120" s="125"/>
      <c r="P120" s="125"/>
      <c r="Q120" s="125"/>
      <c r="R120" s="125"/>
      <c r="S120" s="125"/>
      <c r="T120" s="125"/>
      <c r="U120" s="125"/>
      <c r="V120" s="125"/>
      <c r="W120" s="10"/>
      <c r="X120" s="10"/>
      <c r="Y120" s="10"/>
      <c r="Z120" s="10"/>
      <c r="AA120" s="10"/>
      <c r="AB120" s="10"/>
    </row>
    <row r="121" spans="1:28" ht="13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25"/>
      <c r="O121" s="125"/>
      <c r="P121" s="125"/>
      <c r="Q121" s="125"/>
      <c r="R121" s="125"/>
      <c r="S121" s="125"/>
      <c r="T121" s="125"/>
      <c r="U121" s="125"/>
      <c r="V121" s="125"/>
      <c r="W121" s="10"/>
      <c r="X121" s="10"/>
      <c r="Y121" s="10"/>
      <c r="Z121" s="10"/>
      <c r="AA121" s="10"/>
      <c r="AB121" s="10"/>
    </row>
    <row r="122" spans="1:28" ht="13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25"/>
      <c r="O122" s="125"/>
      <c r="P122" s="125"/>
      <c r="Q122" s="125"/>
      <c r="R122" s="125"/>
      <c r="S122" s="125"/>
      <c r="T122" s="125"/>
      <c r="U122" s="125"/>
      <c r="V122" s="125"/>
      <c r="W122" s="10"/>
      <c r="X122" s="10"/>
      <c r="Y122" s="10"/>
      <c r="Z122" s="10"/>
      <c r="AA122" s="10"/>
      <c r="AB122" s="10"/>
    </row>
    <row r="123" spans="1:28" ht="13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25"/>
      <c r="O123" s="125"/>
      <c r="P123" s="125"/>
      <c r="Q123" s="125"/>
      <c r="R123" s="125"/>
      <c r="S123" s="125"/>
      <c r="T123" s="125"/>
      <c r="U123" s="125"/>
      <c r="V123" s="125"/>
      <c r="W123" s="10"/>
      <c r="X123" s="10"/>
      <c r="Y123" s="10"/>
      <c r="Z123" s="10"/>
      <c r="AA123" s="10"/>
      <c r="AB123" s="10"/>
    </row>
    <row r="124" spans="1:28" ht="13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25"/>
      <c r="O124" s="125"/>
      <c r="P124" s="125"/>
      <c r="Q124" s="125"/>
      <c r="R124" s="125"/>
      <c r="S124" s="125"/>
      <c r="T124" s="125"/>
      <c r="U124" s="125"/>
      <c r="V124" s="125"/>
      <c r="W124" s="10"/>
      <c r="X124" s="10"/>
      <c r="Y124" s="10"/>
      <c r="Z124" s="10"/>
      <c r="AA124" s="10"/>
      <c r="AB124" s="10"/>
    </row>
    <row r="125" spans="1:28" ht="13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25"/>
      <c r="O125" s="125"/>
      <c r="P125" s="125"/>
      <c r="Q125" s="125"/>
      <c r="R125" s="125"/>
      <c r="S125" s="125"/>
      <c r="T125" s="125"/>
      <c r="U125" s="125"/>
      <c r="V125" s="125"/>
      <c r="W125" s="10"/>
      <c r="X125" s="10"/>
      <c r="Y125" s="10"/>
      <c r="Z125" s="10"/>
      <c r="AA125" s="10"/>
      <c r="AB125" s="10"/>
    </row>
    <row r="126" spans="1:28" ht="13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25"/>
      <c r="O126" s="125"/>
      <c r="P126" s="125"/>
      <c r="Q126" s="125"/>
      <c r="R126" s="125"/>
      <c r="S126" s="125"/>
      <c r="T126" s="125"/>
      <c r="U126" s="125"/>
      <c r="V126" s="125"/>
      <c r="W126" s="10"/>
      <c r="X126" s="10"/>
      <c r="Y126" s="10"/>
      <c r="Z126" s="10"/>
      <c r="AA126" s="10"/>
      <c r="AB126" s="10"/>
    </row>
    <row r="127" spans="1:28" ht="13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25"/>
      <c r="O127" s="125"/>
      <c r="P127" s="125"/>
      <c r="Q127" s="125"/>
      <c r="R127" s="125"/>
      <c r="S127" s="125"/>
      <c r="T127" s="125"/>
      <c r="U127" s="125"/>
      <c r="V127" s="125"/>
      <c r="W127" s="10"/>
      <c r="X127" s="10"/>
      <c r="Y127" s="10"/>
      <c r="Z127" s="10"/>
      <c r="AA127" s="10"/>
      <c r="AB127" s="10"/>
    </row>
    <row r="128" spans="1:28" ht="13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25"/>
      <c r="O128" s="125"/>
      <c r="P128" s="125"/>
      <c r="Q128" s="125"/>
      <c r="R128" s="125"/>
      <c r="S128" s="125"/>
      <c r="T128" s="125"/>
      <c r="U128" s="125"/>
      <c r="V128" s="125"/>
      <c r="W128" s="10"/>
      <c r="X128" s="10"/>
      <c r="Y128" s="10"/>
      <c r="Z128" s="10"/>
      <c r="AA128" s="10"/>
      <c r="AB128" s="10"/>
    </row>
    <row r="129" spans="1:28" ht="13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25"/>
      <c r="O129" s="125"/>
      <c r="P129" s="125"/>
      <c r="Q129" s="125"/>
      <c r="R129" s="125"/>
      <c r="S129" s="125"/>
      <c r="T129" s="125"/>
      <c r="U129" s="125"/>
      <c r="V129" s="125"/>
      <c r="W129" s="10"/>
      <c r="X129" s="10"/>
      <c r="Y129" s="10"/>
      <c r="Z129" s="10"/>
      <c r="AA129" s="10"/>
      <c r="AB129" s="10"/>
    </row>
    <row r="130" spans="1:28" ht="13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25"/>
      <c r="O130" s="125"/>
      <c r="P130" s="125"/>
      <c r="Q130" s="125"/>
      <c r="R130" s="125"/>
      <c r="S130" s="125"/>
      <c r="T130" s="125"/>
      <c r="U130" s="125"/>
      <c r="V130" s="125"/>
      <c r="W130" s="10"/>
      <c r="X130" s="10"/>
      <c r="Y130" s="10"/>
      <c r="Z130" s="10"/>
      <c r="AA130" s="10"/>
      <c r="AB130" s="10"/>
    </row>
    <row r="131" spans="1:28" ht="13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25"/>
      <c r="O131" s="125"/>
      <c r="P131" s="125"/>
      <c r="Q131" s="125"/>
      <c r="R131" s="125"/>
      <c r="S131" s="125"/>
      <c r="T131" s="125"/>
      <c r="U131" s="125"/>
      <c r="V131" s="125"/>
      <c r="W131" s="10"/>
      <c r="X131" s="10"/>
      <c r="Y131" s="10"/>
      <c r="Z131" s="10"/>
      <c r="AA131" s="10"/>
      <c r="AB131" s="10"/>
    </row>
    <row r="132" spans="1:28" ht="13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25"/>
      <c r="O132" s="125"/>
      <c r="P132" s="125"/>
      <c r="Q132" s="125"/>
      <c r="R132" s="125"/>
      <c r="S132" s="125"/>
      <c r="T132" s="125"/>
      <c r="U132" s="125"/>
      <c r="V132" s="125"/>
      <c r="W132" s="10"/>
      <c r="X132" s="10"/>
      <c r="Y132" s="10"/>
      <c r="Z132" s="10"/>
      <c r="AA132" s="10"/>
      <c r="AB132" s="10"/>
    </row>
    <row r="133" spans="1:28" ht="13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25"/>
      <c r="O133" s="125"/>
      <c r="P133" s="125"/>
      <c r="Q133" s="125"/>
      <c r="R133" s="125"/>
      <c r="S133" s="125"/>
      <c r="T133" s="125"/>
      <c r="U133" s="125"/>
      <c r="V133" s="125"/>
      <c r="W133" s="10"/>
      <c r="X133" s="10"/>
      <c r="Y133" s="10"/>
      <c r="Z133" s="10"/>
      <c r="AA133" s="10"/>
      <c r="AB133" s="10"/>
    </row>
    <row r="134" spans="1:28" ht="13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25"/>
      <c r="O134" s="125"/>
      <c r="P134" s="125"/>
      <c r="Q134" s="125"/>
      <c r="R134" s="125"/>
      <c r="S134" s="125"/>
      <c r="T134" s="125"/>
      <c r="U134" s="125"/>
      <c r="V134" s="125"/>
      <c r="W134" s="10"/>
      <c r="X134" s="10"/>
      <c r="Y134" s="10"/>
      <c r="Z134" s="10"/>
      <c r="AA134" s="10"/>
      <c r="AB134" s="10"/>
    </row>
    <row r="135" spans="1:28" ht="13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25"/>
      <c r="O135" s="125"/>
      <c r="P135" s="125"/>
      <c r="Q135" s="125"/>
      <c r="R135" s="125"/>
      <c r="S135" s="125"/>
      <c r="T135" s="125"/>
      <c r="U135" s="125"/>
      <c r="V135" s="125"/>
      <c r="W135" s="10"/>
      <c r="X135" s="10"/>
      <c r="Y135" s="10"/>
      <c r="Z135" s="10"/>
      <c r="AA135" s="10"/>
      <c r="AB135" s="10"/>
    </row>
    <row r="136" spans="1:28" ht="13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25"/>
      <c r="O136" s="125"/>
      <c r="P136" s="125"/>
      <c r="Q136" s="125"/>
      <c r="R136" s="125"/>
      <c r="S136" s="125"/>
      <c r="T136" s="125"/>
      <c r="U136" s="125"/>
      <c r="V136" s="125"/>
      <c r="W136" s="10"/>
      <c r="X136" s="10"/>
      <c r="Y136" s="10"/>
      <c r="Z136" s="10"/>
      <c r="AA136" s="10"/>
      <c r="AB136" s="10"/>
    </row>
    <row r="137" spans="1:28" ht="13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25"/>
      <c r="O137" s="125"/>
      <c r="P137" s="125"/>
      <c r="Q137" s="125"/>
      <c r="R137" s="125"/>
      <c r="S137" s="125"/>
      <c r="T137" s="125"/>
      <c r="U137" s="125"/>
      <c r="V137" s="125"/>
      <c r="W137" s="10"/>
      <c r="X137" s="10"/>
      <c r="Y137" s="10"/>
      <c r="Z137" s="10"/>
      <c r="AA137" s="10"/>
      <c r="AB137" s="10"/>
    </row>
    <row r="138" spans="1:28" ht="13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25"/>
      <c r="O138" s="125"/>
      <c r="P138" s="125"/>
      <c r="Q138" s="125"/>
      <c r="R138" s="125"/>
      <c r="S138" s="125"/>
      <c r="T138" s="125"/>
      <c r="U138" s="125"/>
      <c r="V138" s="125"/>
      <c r="W138" s="10"/>
      <c r="X138" s="10"/>
      <c r="Y138" s="10"/>
      <c r="Z138" s="10"/>
      <c r="AA138" s="10"/>
      <c r="AB138" s="10"/>
    </row>
    <row r="139" spans="1:28" ht="13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25"/>
      <c r="O139" s="125"/>
      <c r="P139" s="125"/>
      <c r="Q139" s="125"/>
      <c r="R139" s="125"/>
      <c r="S139" s="125"/>
      <c r="T139" s="125"/>
      <c r="U139" s="125"/>
      <c r="V139" s="125"/>
      <c r="W139" s="10"/>
      <c r="X139" s="10"/>
      <c r="Y139" s="10"/>
      <c r="Z139" s="10"/>
      <c r="AA139" s="10"/>
      <c r="AB139" s="10"/>
    </row>
    <row r="140" spans="1:28" ht="13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25"/>
      <c r="O140" s="125"/>
      <c r="P140" s="125"/>
      <c r="Q140" s="125"/>
      <c r="R140" s="125"/>
      <c r="S140" s="125"/>
      <c r="T140" s="125"/>
      <c r="U140" s="125"/>
      <c r="V140" s="125"/>
      <c r="W140" s="10"/>
      <c r="X140" s="10"/>
      <c r="Y140" s="10"/>
      <c r="Z140" s="10"/>
      <c r="AA140" s="10"/>
      <c r="AB140" s="10"/>
    </row>
    <row r="141" spans="1:28" ht="13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25"/>
      <c r="O141" s="125"/>
      <c r="P141" s="125"/>
      <c r="Q141" s="125"/>
      <c r="R141" s="125"/>
      <c r="S141" s="125"/>
      <c r="T141" s="125"/>
      <c r="U141" s="125"/>
      <c r="V141" s="125"/>
      <c r="W141" s="10"/>
      <c r="X141" s="10"/>
      <c r="Y141" s="10"/>
      <c r="Z141" s="10"/>
      <c r="AA141" s="10"/>
      <c r="AB141" s="10"/>
    </row>
    <row r="142" spans="1:28" ht="13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25"/>
      <c r="O142" s="125"/>
      <c r="P142" s="125"/>
      <c r="Q142" s="125"/>
      <c r="R142" s="125"/>
      <c r="S142" s="125"/>
      <c r="T142" s="125"/>
      <c r="U142" s="125"/>
      <c r="V142" s="125"/>
      <c r="W142" s="10"/>
      <c r="X142" s="10"/>
      <c r="Y142" s="10"/>
      <c r="Z142" s="10"/>
      <c r="AA142" s="10"/>
      <c r="AB142" s="10"/>
    </row>
    <row r="143" spans="1:28" ht="13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25"/>
      <c r="O143" s="125"/>
      <c r="P143" s="125"/>
      <c r="Q143" s="125"/>
      <c r="R143" s="125"/>
      <c r="S143" s="125"/>
      <c r="T143" s="125"/>
      <c r="U143" s="125"/>
      <c r="V143" s="125"/>
      <c r="W143" s="10"/>
      <c r="X143" s="10"/>
      <c r="Y143" s="10"/>
      <c r="Z143" s="10"/>
      <c r="AA143" s="10"/>
      <c r="AB143" s="10"/>
    </row>
    <row r="144" spans="1:28" ht="13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25"/>
      <c r="O144" s="125"/>
      <c r="P144" s="125"/>
      <c r="Q144" s="125"/>
      <c r="R144" s="125"/>
      <c r="S144" s="125"/>
      <c r="T144" s="125"/>
      <c r="U144" s="125"/>
      <c r="V144" s="125"/>
      <c r="W144" s="10"/>
      <c r="X144" s="10"/>
      <c r="Y144" s="10"/>
      <c r="Z144" s="10"/>
      <c r="AA144" s="10"/>
      <c r="AB144" s="10"/>
    </row>
    <row r="145" spans="1:28" ht="13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25"/>
      <c r="O145" s="125"/>
      <c r="P145" s="125"/>
      <c r="Q145" s="125"/>
      <c r="R145" s="125"/>
      <c r="S145" s="125"/>
      <c r="T145" s="125"/>
      <c r="U145" s="125"/>
      <c r="V145" s="125"/>
      <c r="W145" s="10"/>
      <c r="X145" s="10"/>
      <c r="Y145" s="10"/>
      <c r="Z145" s="10"/>
      <c r="AA145" s="10"/>
      <c r="AB145" s="10"/>
    </row>
    <row r="146" spans="1:28" ht="13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25"/>
      <c r="O146" s="125"/>
      <c r="P146" s="125"/>
      <c r="Q146" s="125"/>
      <c r="R146" s="125"/>
      <c r="S146" s="125"/>
      <c r="T146" s="125"/>
      <c r="U146" s="125"/>
      <c r="V146" s="125"/>
      <c r="W146" s="10"/>
      <c r="X146" s="10"/>
      <c r="Y146" s="10"/>
      <c r="Z146" s="10"/>
      <c r="AA146" s="10"/>
      <c r="AB146" s="10"/>
    </row>
    <row r="147" spans="1:28" ht="13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25"/>
      <c r="O147" s="125"/>
      <c r="P147" s="125"/>
      <c r="Q147" s="125"/>
      <c r="R147" s="125"/>
      <c r="S147" s="125"/>
      <c r="T147" s="125"/>
      <c r="U147" s="125"/>
      <c r="V147" s="125"/>
      <c r="W147" s="10"/>
      <c r="X147" s="10"/>
      <c r="Y147" s="10"/>
      <c r="Z147" s="10"/>
      <c r="AA147" s="10"/>
      <c r="AB147" s="10"/>
    </row>
    <row r="148" spans="1:28" ht="13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25"/>
      <c r="O148" s="125"/>
      <c r="P148" s="125"/>
      <c r="Q148" s="125"/>
      <c r="R148" s="125"/>
      <c r="S148" s="125"/>
      <c r="T148" s="125"/>
      <c r="U148" s="125"/>
      <c r="V148" s="125"/>
      <c r="W148" s="10"/>
      <c r="X148" s="10"/>
      <c r="Y148" s="10"/>
      <c r="Z148" s="10"/>
      <c r="AA148" s="10"/>
      <c r="AB148" s="10"/>
    </row>
    <row r="149" spans="1:28" ht="13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25"/>
      <c r="O149" s="125"/>
      <c r="P149" s="125"/>
      <c r="Q149" s="125"/>
      <c r="R149" s="125"/>
      <c r="S149" s="125"/>
      <c r="T149" s="125"/>
      <c r="U149" s="125"/>
      <c r="V149" s="125"/>
      <c r="W149" s="10"/>
      <c r="X149" s="10"/>
      <c r="Y149" s="10"/>
      <c r="Z149" s="10"/>
      <c r="AA149" s="10"/>
      <c r="AB149" s="10"/>
    </row>
    <row r="150" spans="1:28" ht="13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25"/>
      <c r="O150" s="125"/>
      <c r="P150" s="125"/>
      <c r="Q150" s="125"/>
      <c r="R150" s="125"/>
      <c r="S150" s="125"/>
      <c r="T150" s="125"/>
      <c r="U150" s="125"/>
      <c r="V150" s="125"/>
      <c r="W150" s="10"/>
      <c r="X150" s="10"/>
      <c r="Y150" s="10"/>
      <c r="Z150" s="10"/>
      <c r="AA150" s="10"/>
      <c r="AB150" s="10"/>
    </row>
    <row r="151" spans="1:28" ht="13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25"/>
      <c r="O151" s="125"/>
      <c r="P151" s="125"/>
      <c r="Q151" s="125"/>
      <c r="R151" s="125"/>
      <c r="S151" s="125"/>
      <c r="T151" s="125"/>
      <c r="U151" s="125"/>
      <c r="V151" s="125"/>
      <c r="W151" s="10"/>
      <c r="X151" s="10"/>
      <c r="Y151" s="10"/>
      <c r="Z151" s="10"/>
      <c r="AA151" s="10"/>
      <c r="AB151" s="10"/>
    </row>
    <row r="152" spans="1:28" ht="13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25"/>
      <c r="O152" s="125"/>
      <c r="P152" s="125"/>
      <c r="Q152" s="125"/>
      <c r="R152" s="125"/>
      <c r="S152" s="125"/>
      <c r="T152" s="125"/>
      <c r="U152" s="125"/>
      <c r="V152" s="125"/>
      <c r="W152" s="10"/>
      <c r="X152" s="10"/>
      <c r="Y152" s="10"/>
      <c r="Z152" s="10"/>
      <c r="AA152" s="10"/>
      <c r="AB152" s="10"/>
    </row>
    <row r="153" spans="1:28" ht="13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25"/>
      <c r="O153" s="125"/>
      <c r="P153" s="125"/>
      <c r="Q153" s="125"/>
      <c r="R153" s="125"/>
      <c r="S153" s="125"/>
      <c r="T153" s="125"/>
      <c r="U153" s="125"/>
      <c r="V153" s="125"/>
      <c r="W153" s="10"/>
      <c r="X153" s="10"/>
      <c r="Y153" s="10"/>
      <c r="Z153" s="10"/>
      <c r="AA153" s="10"/>
      <c r="AB153" s="10"/>
    </row>
    <row r="154" spans="1:28" ht="13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25"/>
      <c r="O154" s="125"/>
      <c r="P154" s="125"/>
      <c r="Q154" s="125"/>
      <c r="R154" s="125"/>
      <c r="S154" s="125"/>
      <c r="T154" s="125"/>
      <c r="U154" s="125"/>
      <c r="V154" s="125"/>
      <c r="W154" s="10"/>
      <c r="X154" s="10"/>
      <c r="Y154" s="10"/>
      <c r="Z154" s="10"/>
      <c r="AA154" s="10"/>
      <c r="AB154" s="10"/>
    </row>
    <row r="155" spans="1:28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25"/>
      <c r="O155" s="125"/>
      <c r="P155" s="125"/>
      <c r="Q155" s="125"/>
      <c r="R155" s="125"/>
      <c r="S155" s="125"/>
      <c r="T155" s="125"/>
      <c r="U155" s="125"/>
      <c r="V155" s="125"/>
      <c r="W155" s="10"/>
      <c r="X155" s="10"/>
      <c r="Y155" s="10"/>
      <c r="Z155" s="10"/>
      <c r="AA155" s="10"/>
      <c r="AB155" s="10"/>
    </row>
    <row r="156" spans="1:28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25"/>
      <c r="O156" s="125"/>
      <c r="P156" s="125"/>
      <c r="Q156" s="125"/>
      <c r="R156" s="125"/>
      <c r="S156" s="125"/>
      <c r="T156" s="125"/>
      <c r="U156" s="125"/>
      <c r="V156" s="125"/>
      <c r="W156" s="10"/>
      <c r="X156" s="10"/>
      <c r="Y156" s="10"/>
      <c r="Z156" s="10"/>
      <c r="AA156" s="10"/>
      <c r="AB156" s="10"/>
    </row>
    <row r="157" spans="1:28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25"/>
      <c r="O157" s="125"/>
      <c r="P157" s="125"/>
      <c r="Q157" s="125"/>
      <c r="R157" s="125"/>
      <c r="S157" s="125"/>
      <c r="T157" s="125"/>
      <c r="U157" s="125"/>
      <c r="V157" s="125"/>
      <c r="W157" s="10"/>
      <c r="X157" s="10"/>
      <c r="Y157" s="10"/>
      <c r="Z157" s="10"/>
      <c r="AA157" s="10"/>
      <c r="AB157" s="10"/>
    </row>
    <row r="158" spans="1:28" ht="13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25"/>
      <c r="O158" s="125"/>
      <c r="P158" s="125"/>
      <c r="Q158" s="125"/>
      <c r="R158" s="125"/>
      <c r="S158" s="125"/>
      <c r="T158" s="125"/>
      <c r="U158" s="125"/>
      <c r="V158" s="125"/>
      <c r="W158" s="10"/>
      <c r="X158" s="10"/>
      <c r="Y158" s="10"/>
      <c r="Z158" s="10"/>
      <c r="AA158" s="10"/>
      <c r="AB158" s="10"/>
    </row>
    <row r="159" spans="1:28" ht="13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25"/>
      <c r="O159" s="125"/>
      <c r="P159" s="125"/>
      <c r="Q159" s="125"/>
      <c r="R159" s="125"/>
      <c r="S159" s="125"/>
      <c r="T159" s="125"/>
      <c r="U159" s="125"/>
      <c r="V159" s="125"/>
      <c r="W159" s="10"/>
      <c r="X159" s="10"/>
      <c r="Y159" s="10"/>
      <c r="Z159" s="10"/>
      <c r="AA159" s="10"/>
      <c r="AB159" s="10"/>
    </row>
    <row r="160" spans="1:28" ht="13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25"/>
      <c r="O160" s="125"/>
      <c r="P160" s="125"/>
      <c r="Q160" s="125"/>
      <c r="R160" s="125"/>
      <c r="S160" s="125"/>
      <c r="T160" s="125"/>
      <c r="U160" s="125"/>
      <c r="V160" s="125"/>
      <c r="W160" s="10"/>
      <c r="X160" s="10"/>
      <c r="Y160" s="10"/>
      <c r="Z160" s="10"/>
      <c r="AA160" s="10"/>
      <c r="AB160" s="10"/>
    </row>
    <row r="161" spans="1:28" ht="13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25"/>
      <c r="O161" s="125"/>
      <c r="P161" s="125"/>
      <c r="Q161" s="125"/>
      <c r="R161" s="125"/>
      <c r="S161" s="125"/>
      <c r="T161" s="125"/>
      <c r="U161" s="125"/>
      <c r="V161" s="125"/>
      <c r="W161" s="10"/>
      <c r="X161" s="10"/>
      <c r="Y161" s="10"/>
      <c r="Z161" s="10"/>
      <c r="AA161" s="10"/>
      <c r="AB161" s="10"/>
    </row>
    <row r="162" spans="1:28" ht="13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25"/>
      <c r="O162" s="125"/>
      <c r="P162" s="125"/>
      <c r="Q162" s="125"/>
      <c r="R162" s="125"/>
      <c r="S162" s="125"/>
      <c r="T162" s="125"/>
      <c r="U162" s="125"/>
      <c r="V162" s="125"/>
      <c r="W162" s="10"/>
      <c r="X162" s="10"/>
      <c r="Y162" s="10"/>
      <c r="Z162" s="10"/>
      <c r="AA162" s="10"/>
      <c r="AB162" s="10"/>
    </row>
    <row r="163" spans="1:28" ht="13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25"/>
      <c r="O163" s="125"/>
      <c r="P163" s="125"/>
      <c r="Q163" s="125"/>
      <c r="R163" s="125"/>
      <c r="S163" s="125"/>
      <c r="T163" s="125"/>
      <c r="U163" s="125"/>
      <c r="V163" s="125"/>
      <c r="W163" s="10"/>
      <c r="X163" s="10"/>
      <c r="Y163" s="10"/>
      <c r="Z163" s="10"/>
      <c r="AA163" s="10"/>
      <c r="AB163" s="10"/>
    </row>
    <row r="164" spans="1:28" ht="13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25"/>
      <c r="O164" s="125"/>
      <c r="P164" s="125"/>
      <c r="Q164" s="125"/>
      <c r="R164" s="125"/>
      <c r="S164" s="125"/>
      <c r="T164" s="125"/>
      <c r="U164" s="125"/>
      <c r="V164" s="125"/>
      <c r="W164" s="10"/>
      <c r="X164" s="10"/>
      <c r="Y164" s="10"/>
      <c r="Z164" s="10"/>
      <c r="AA164" s="10"/>
      <c r="AB164" s="10"/>
    </row>
    <row r="165" spans="1:28" ht="13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25"/>
      <c r="O165" s="125"/>
      <c r="P165" s="125"/>
      <c r="Q165" s="125"/>
      <c r="R165" s="125"/>
      <c r="S165" s="125"/>
      <c r="T165" s="125"/>
      <c r="U165" s="125"/>
      <c r="V165" s="125"/>
      <c r="W165" s="10"/>
      <c r="X165" s="10"/>
      <c r="Y165" s="10"/>
      <c r="Z165" s="10"/>
      <c r="AA165" s="10"/>
      <c r="AB165" s="10"/>
    </row>
    <row r="166" spans="1:28" ht="13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25"/>
      <c r="O166" s="125"/>
      <c r="P166" s="125"/>
      <c r="Q166" s="125"/>
      <c r="R166" s="125"/>
      <c r="S166" s="125"/>
      <c r="T166" s="125"/>
      <c r="U166" s="125"/>
      <c r="V166" s="125"/>
      <c r="W166" s="10"/>
      <c r="X166" s="10"/>
      <c r="Y166" s="10"/>
      <c r="Z166" s="10"/>
      <c r="AA166" s="10"/>
      <c r="AB166" s="10"/>
    </row>
    <row r="167" spans="1:28" ht="13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25"/>
      <c r="O167" s="125"/>
      <c r="P167" s="125"/>
      <c r="Q167" s="125"/>
      <c r="R167" s="125"/>
      <c r="S167" s="125"/>
      <c r="T167" s="125"/>
      <c r="U167" s="125"/>
      <c r="V167" s="125"/>
      <c r="W167" s="10"/>
      <c r="X167" s="10"/>
      <c r="Y167" s="10"/>
      <c r="Z167" s="10"/>
      <c r="AA167" s="10"/>
      <c r="AB167" s="10"/>
    </row>
    <row r="168" spans="1:28" ht="13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25"/>
      <c r="O168" s="125"/>
      <c r="P168" s="125"/>
      <c r="Q168" s="125"/>
      <c r="R168" s="125"/>
      <c r="S168" s="125"/>
      <c r="T168" s="125"/>
      <c r="U168" s="125"/>
      <c r="V168" s="125"/>
      <c r="W168" s="10"/>
      <c r="X168" s="10"/>
      <c r="Y168" s="10"/>
      <c r="Z168" s="10"/>
      <c r="AA168" s="10"/>
      <c r="AB168" s="10"/>
    </row>
    <row r="169" spans="1:28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25"/>
      <c r="O169" s="125"/>
      <c r="P169" s="125"/>
      <c r="Q169" s="125"/>
      <c r="R169" s="125"/>
      <c r="S169" s="125"/>
      <c r="T169" s="125"/>
      <c r="U169" s="125"/>
      <c r="V169" s="125"/>
      <c r="W169" s="10"/>
      <c r="X169" s="10"/>
      <c r="Y169" s="10"/>
      <c r="Z169" s="10"/>
      <c r="AA169" s="10"/>
      <c r="AB169" s="10"/>
    </row>
    <row r="170" spans="1:28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25"/>
      <c r="O170" s="125"/>
      <c r="P170" s="125"/>
      <c r="Q170" s="125"/>
      <c r="R170" s="125"/>
      <c r="S170" s="125"/>
      <c r="T170" s="125"/>
      <c r="U170" s="125"/>
      <c r="V170" s="125"/>
      <c r="W170" s="10"/>
      <c r="X170" s="10"/>
      <c r="Y170" s="10"/>
      <c r="Z170" s="10"/>
      <c r="AA170" s="10"/>
      <c r="AB170" s="10"/>
    </row>
    <row r="171" spans="1:28" ht="13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25"/>
      <c r="O171" s="125"/>
      <c r="P171" s="125"/>
      <c r="Q171" s="125"/>
      <c r="R171" s="125"/>
      <c r="S171" s="125"/>
      <c r="T171" s="125"/>
      <c r="U171" s="125"/>
      <c r="V171" s="125"/>
      <c r="W171" s="10"/>
      <c r="X171" s="10"/>
      <c r="Y171" s="10"/>
      <c r="Z171" s="10"/>
      <c r="AA171" s="10"/>
      <c r="AB171" s="10"/>
    </row>
    <row r="172" spans="1:28" ht="13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25"/>
      <c r="O172" s="125"/>
      <c r="P172" s="125"/>
      <c r="Q172" s="125"/>
      <c r="R172" s="125"/>
      <c r="S172" s="125"/>
      <c r="T172" s="125"/>
      <c r="U172" s="125"/>
      <c r="V172" s="125"/>
      <c r="W172" s="10"/>
      <c r="X172" s="10"/>
      <c r="Y172" s="10"/>
      <c r="Z172" s="10"/>
      <c r="AA172" s="10"/>
      <c r="AB172" s="10"/>
    </row>
    <row r="173" spans="1:28" ht="13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25"/>
      <c r="O173" s="125"/>
      <c r="P173" s="125"/>
      <c r="Q173" s="125"/>
      <c r="R173" s="125"/>
      <c r="S173" s="125"/>
      <c r="T173" s="125"/>
      <c r="U173" s="125"/>
      <c r="V173" s="125"/>
      <c r="W173" s="10"/>
      <c r="X173" s="10"/>
      <c r="Y173" s="10"/>
      <c r="Z173" s="10"/>
      <c r="AA173" s="10"/>
      <c r="AB173" s="10"/>
    </row>
    <row r="174" spans="1:28" ht="13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25"/>
      <c r="O174" s="125"/>
      <c r="P174" s="125"/>
      <c r="Q174" s="125"/>
      <c r="R174" s="125"/>
      <c r="S174" s="125"/>
      <c r="T174" s="125"/>
      <c r="U174" s="125"/>
      <c r="V174" s="125"/>
      <c r="W174" s="10"/>
      <c r="X174" s="10"/>
      <c r="Y174" s="10"/>
      <c r="Z174" s="10"/>
      <c r="AA174" s="10"/>
      <c r="AB174" s="10"/>
    </row>
    <row r="175" spans="1:28" ht="13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25"/>
      <c r="O175" s="125"/>
      <c r="P175" s="125"/>
      <c r="Q175" s="125"/>
      <c r="R175" s="125"/>
      <c r="S175" s="125"/>
      <c r="T175" s="125"/>
      <c r="U175" s="125"/>
      <c r="V175" s="125"/>
      <c r="W175" s="10"/>
      <c r="X175" s="10"/>
      <c r="Y175" s="10"/>
      <c r="Z175" s="10"/>
      <c r="AA175" s="10"/>
      <c r="AB175" s="10"/>
    </row>
    <row r="176" spans="1:28" ht="13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25"/>
      <c r="O176" s="125"/>
      <c r="P176" s="125"/>
      <c r="Q176" s="125"/>
      <c r="R176" s="125"/>
      <c r="S176" s="125"/>
      <c r="T176" s="125"/>
      <c r="U176" s="125"/>
      <c r="V176" s="125"/>
      <c r="W176" s="10"/>
      <c r="X176" s="10"/>
      <c r="Y176" s="10"/>
      <c r="Z176" s="10"/>
      <c r="AA176" s="10"/>
      <c r="AB176" s="10"/>
    </row>
    <row r="177" spans="1:28" ht="13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25"/>
      <c r="O177" s="125"/>
      <c r="P177" s="125"/>
      <c r="Q177" s="125"/>
      <c r="R177" s="125"/>
      <c r="S177" s="125"/>
      <c r="T177" s="125"/>
      <c r="U177" s="125"/>
      <c r="V177" s="125"/>
      <c r="W177" s="10"/>
      <c r="X177" s="10"/>
      <c r="Y177" s="10"/>
      <c r="Z177" s="10"/>
      <c r="AA177" s="10"/>
      <c r="AB177" s="10"/>
    </row>
    <row r="178" spans="1:28" ht="13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25"/>
      <c r="O178" s="125"/>
      <c r="P178" s="125"/>
      <c r="Q178" s="125"/>
      <c r="R178" s="125"/>
      <c r="S178" s="125"/>
      <c r="T178" s="125"/>
      <c r="U178" s="125"/>
      <c r="V178" s="125"/>
      <c r="W178" s="10"/>
      <c r="X178" s="10"/>
      <c r="Y178" s="10"/>
      <c r="Z178" s="10"/>
      <c r="AA178" s="10"/>
      <c r="AB178" s="10"/>
    </row>
    <row r="179" spans="1:28" ht="13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25"/>
      <c r="O179" s="125"/>
      <c r="P179" s="125"/>
      <c r="Q179" s="125"/>
      <c r="R179" s="125"/>
      <c r="S179" s="125"/>
      <c r="T179" s="125"/>
      <c r="U179" s="125"/>
      <c r="V179" s="125"/>
      <c r="W179" s="10"/>
      <c r="X179" s="10"/>
      <c r="Y179" s="10"/>
      <c r="Z179" s="10"/>
      <c r="AA179" s="10"/>
      <c r="AB179" s="10"/>
    </row>
    <row r="180" spans="1:28" ht="13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25"/>
      <c r="O180" s="125"/>
      <c r="P180" s="125"/>
      <c r="Q180" s="125"/>
      <c r="R180" s="125"/>
      <c r="S180" s="125"/>
      <c r="T180" s="125"/>
      <c r="U180" s="125"/>
      <c r="V180" s="125"/>
      <c r="W180" s="10"/>
      <c r="X180" s="10"/>
      <c r="Y180" s="10"/>
      <c r="Z180" s="10"/>
      <c r="AA180" s="10"/>
      <c r="AB180" s="10"/>
    </row>
    <row r="181" spans="1:28" ht="13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25"/>
      <c r="O181" s="125"/>
      <c r="P181" s="125"/>
      <c r="Q181" s="125"/>
      <c r="R181" s="125"/>
      <c r="S181" s="125"/>
      <c r="T181" s="125"/>
      <c r="U181" s="125"/>
      <c r="V181" s="125"/>
      <c r="W181" s="10"/>
      <c r="X181" s="10"/>
      <c r="Y181" s="10"/>
      <c r="Z181" s="10"/>
      <c r="AA181" s="10"/>
      <c r="AB181" s="10"/>
    </row>
    <row r="182" spans="1:28" ht="13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25"/>
      <c r="O182" s="125"/>
      <c r="P182" s="125"/>
      <c r="Q182" s="125"/>
      <c r="R182" s="125"/>
      <c r="S182" s="125"/>
      <c r="T182" s="125"/>
      <c r="U182" s="125"/>
      <c r="V182" s="125"/>
      <c r="W182" s="10"/>
      <c r="X182" s="10"/>
      <c r="Y182" s="10"/>
      <c r="Z182" s="10"/>
      <c r="AA182" s="10"/>
      <c r="AB182" s="10"/>
    </row>
    <row r="183" spans="1:28" ht="13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25"/>
      <c r="O183" s="125"/>
      <c r="P183" s="125"/>
      <c r="Q183" s="125"/>
      <c r="R183" s="125"/>
      <c r="S183" s="125"/>
      <c r="T183" s="125"/>
      <c r="U183" s="125"/>
      <c r="V183" s="125"/>
      <c r="W183" s="10"/>
      <c r="X183" s="10"/>
      <c r="Y183" s="10"/>
      <c r="Z183" s="10"/>
      <c r="AA183" s="10"/>
      <c r="AB183" s="10"/>
    </row>
    <row r="184" spans="1:28" ht="13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25"/>
      <c r="O184" s="125"/>
      <c r="P184" s="125"/>
      <c r="Q184" s="125"/>
      <c r="R184" s="125"/>
      <c r="S184" s="125"/>
      <c r="T184" s="125"/>
      <c r="U184" s="125"/>
      <c r="V184" s="125"/>
      <c r="W184" s="10"/>
      <c r="X184" s="10"/>
      <c r="Y184" s="10"/>
      <c r="Z184" s="10"/>
      <c r="AA184" s="10"/>
      <c r="AB184" s="10"/>
    </row>
    <row r="185" spans="1:28" ht="13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25"/>
      <c r="O185" s="125"/>
      <c r="P185" s="125"/>
      <c r="Q185" s="125"/>
      <c r="R185" s="125"/>
      <c r="S185" s="125"/>
      <c r="T185" s="125"/>
      <c r="U185" s="125"/>
      <c r="V185" s="125"/>
      <c r="W185" s="10"/>
      <c r="X185" s="10"/>
      <c r="Y185" s="10"/>
      <c r="Z185" s="10"/>
      <c r="AA185" s="10"/>
      <c r="AB185" s="10"/>
    </row>
    <row r="186" spans="1:28" ht="13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25"/>
      <c r="O186" s="125"/>
      <c r="P186" s="125"/>
      <c r="Q186" s="125"/>
      <c r="R186" s="125"/>
      <c r="S186" s="125"/>
      <c r="T186" s="125"/>
      <c r="U186" s="125"/>
      <c r="V186" s="125"/>
      <c r="W186" s="10"/>
      <c r="X186" s="10"/>
      <c r="Y186" s="10"/>
      <c r="Z186" s="10"/>
      <c r="AA186" s="10"/>
      <c r="AB186" s="10"/>
    </row>
    <row r="187" spans="1:28" ht="13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25"/>
      <c r="O187" s="125"/>
      <c r="P187" s="125"/>
      <c r="Q187" s="125"/>
      <c r="R187" s="125"/>
      <c r="S187" s="125"/>
      <c r="T187" s="125"/>
      <c r="U187" s="125"/>
      <c r="V187" s="125"/>
      <c r="W187" s="10"/>
      <c r="X187" s="10"/>
      <c r="Y187" s="10"/>
      <c r="Z187" s="10"/>
      <c r="AA187" s="10"/>
      <c r="AB187" s="10"/>
    </row>
    <row r="188" spans="1:28" ht="13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25"/>
      <c r="O188" s="125"/>
      <c r="P188" s="125"/>
      <c r="Q188" s="125"/>
      <c r="R188" s="125"/>
      <c r="S188" s="125"/>
      <c r="T188" s="125"/>
      <c r="U188" s="125"/>
      <c r="V188" s="125"/>
      <c r="W188" s="10"/>
      <c r="X188" s="10"/>
      <c r="Y188" s="10"/>
      <c r="Z188" s="10"/>
      <c r="AA188" s="10"/>
      <c r="AB188" s="10"/>
    </row>
    <row r="189" spans="1:28" ht="13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25"/>
      <c r="O189" s="125"/>
      <c r="P189" s="125"/>
      <c r="Q189" s="125"/>
      <c r="R189" s="125"/>
      <c r="S189" s="125"/>
      <c r="T189" s="125"/>
      <c r="U189" s="125"/>
      <c r="V189" s="125"/>
      <c r="W189" s="10"/>
      <c r="X189" s="10"/>
      <c r="Y189" s="10"/>
      <c r="Z189" s="10"/>
      <c r="AA189" s="10"/>
      <c r="AB189" s="10"/>
    </row>
    <row r="190" spans="1:28" ht="13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25"/>
      <c r="O190" s="125"/>
      <c r="P190" s="125"/>
      <c r="Q190" s="125"/>
      <c r="R190" s="125"/>
      <c r="S190" s="125"/>
      <c r="T190" s="125"/>
      <c r="U190" s="125"/>
      <c r="V190" s="125"/>
      <c r="W190" s="10"/>
      <c r="X190" s="10"/>
      <c r="Y190" s="10"/>
      <c r="Z190" s="10"/>
      <c r="AA190" s="10"/>
      <c r="AB190" s="10"/>
    </row>
    <row r="191" spans="1:28" ht="13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25"/>
      <c r="O191" s="125"/>
      <c r="P191" s="125"/>
      <c r="Q191" s="125"/>
      <c r="R191" s="125"/>
      <c r="S191" s="125"/>
      <c r="T191" s="125"/>
      <c r="U191" s="125"/>
      <c r="V191" s="125"/>
      <c r="W191" s="10"/>
      <c r="X191" s="10"/>
      <c r="Y191" s="10"/>
      <c r="Z191" s="10"/>
      <c r="AA191" s="10"/>
      <c r="AB191" s="10"/>
    </row>
    <row r="192" spans="1:28" ht="13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25"/>
      <c r="O192" s="125"/>
      <c r="P192" s="125"/>
      <c r="Q192" s="125"/>
      <c r="R192" s="125"/>
      <c r="S192" s="125"/>
      <c r="T192" s="125"/>
      <c r="U192" s="125"/>
      <c r="V192" s="125"/>
      <c r="W192" s="10"/>
      <c r="X192" s="10"/>
      <c r="Y192" s="10"/>
      <c r="Z192" s="10"/>
      <c r="AA192" s="10"/>
      <c r="AB192" s="10"/>
    </row>
    <row r="193" spans="1:28" ht="13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25"/>
      <c r="O193" s="125"/>
      <c r="P193" s="125"/>
      <c r="Q193" s="125"/>
      <c r="R193" s="125"/>
      <c r="S193" s="125"/>
      <c r="T193" s="125"/>
      <c r="U193" s="125"/>
      <c r="V193" s="125"/>
      <c r="W193" s="10"/>
      <c r="X193" s="10"/>
      <c r="Y193" s="10"/>
      <c r="Z193" s="10"/>
      <c r="AA193" s="10"/>
      <c r="AB193" s="10"/>
    </row>
    <row r="194" spans="1:28" ht="13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25"/>
      <c r="O194" s="125"/>
      <c r="P194" s="125"/>
      <c r="Q194" s="125"/>
      <c r="R194" s="125"/>
      <c r="S194" s="125"/>
      <c r="T194" s="125"/>
      <c r="U194" s="125"/>
      <c r="V194" s="125"/>
      <c r="W194" s="10"/>
      <c r="X194" s="10"/>
      <c r="Y194" s="10"/>
      <c r="Z194" s="10"/>
      <c r="AA194" s="10"/>
      <c r="AB194" s="10"/>
    </row>
    <row r="195" spans="1:28" ht="13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25"/>
      <c r="O195" s="125"/>
      <c r="P195" s="125"/>
      <c r="Q195" s="125"/>
      <c r="R195" s="125"/>
      <c r="S195" s="125"/>
      <c r="T195" s="125"/>
      <c r="U195" s="125"/>
      <c r="V195" s="125"/>
      <c r="W195" s="10"/>
      <c r="X195" s="10"/>
      <c r="Y195" s="10"/>
      <c r="Z195" s="10"/>
      <c r="AA195" s="10"/>
      <c r="AB195" s="10"/>
    </row>
    <row r="196" spans="1:28" ht="13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25"/>
      <c r="O196" s="125"/>
      <c r="P196" s="125"/>
      <c r="Q196" s="125"/>
      <c r="R196" s="125"/>
      <c r="S196" s="125"/>
      <c r="T196" s="125"/>
      <c r="U196" s="125"/>
      <c r="V196" s="125"/>
      <c r="W196" s="10"/>
      <c r="X196" s="10"/>
      <c r="Y196" s="10"/>
      <c r="Z196" s="10"/>
      <c r="AA196" s="10"/>
      <c r="AB196" s="10"/>
    </row>
    <row r="197" spans="1:28" ht="13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25"/>
      <c r="O197" s="125"/>
      <c r="P197" s="125"/>
      <c r="Q197" s="125"/>
      <c r="R197" s="125"/>
      <c r="S197" s="125"/>
      <c r="T197" s="125"/>
      <c r="U197" s="125"/>
      <c r="V197" s="125"/>
      <c r="W197" s="10"/>
      <c r="X197" s="10"/>
      <c r="Y197" s="10"/>
      <c r="Z197" s="10"/>
      <c r="AA197" s="10"/>
      <c r="AB197" s="10"/>
    </row>
    <row r="198" spans="1:28" ht="13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25"/>
      <c r="O198" s="125"/>
      <c r="P198" s="125"/>
      <c r="Q198" s="125"/>
      <c r="R198" s="125"/>
      <c r="S198" s="125"/>
      <c r="T198" s="125"/>
      <c r="U198" s="125"/>
      <c r="V198" s="125"/>
      <c r="W198" s="10"/>
      <c r="X198" s="10"/>
      <c r="Y198" s="10"/>
      <c r="Z198" s="10"/>
      <c r="AA198" s="10"/>
      <c r="AB198" s="10"/>
    </row>
    <row r="199" spans="1:28" ht="13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25"/>
      <c r="O199" s="125"/>
      <c r="P199" s="125"/>
      <c r="Q199" s="125"/>
      <c r="R199" s="125"/>
      <c r="S199" s="125"/>
      <c r="T199" s="125"/>
      <c r="U199" s="125"/>
      <c r="V199" s="125"/>
      <c r="W199" s="10"/>
      <c r="X199" s="10"/>
      <c r="Y199" s="10"/>
      <c r="Z199" s="10"/>
      <c r="AA199" s="10"/>
      <c r="AB199" s="10"/>
    </row>
    <row r="200" spans="1:28" ht="13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25"/>
      <c r="O200" s="125"/>
      <c r="P200" s="125"/>
      <c r="Q200" s="125"/>
      <c r="R200" s="125"/>
      <c r="S200" s="125"/>
      <c r="T200" s="125"/>
      <c r="U200" s="125"/>
      <c r="V200" s="125"/>
      <c r="W200" s="10"/>
      <c r="X200" s="10"/>
      <c r="Y200" s="10"/>
      <c r="Z200" s="10"/>
      <c r="AA200" s="10"/>
      <c r="AB200" s="10"/>
    </row>
    <row r="201" spans="1:28" ht="13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25"/>
      <c r="O201" s="125"/>
      <c r="P201" s="125"/>
      <c r="Q201" s="125"/>
      <c r="R201" s="125"/>
      <c r="S201" s="125"/>
      <c r="T201" s="125"/>
      <c r="U201" s="125"/>
      <c r="V201" s="125"/>
      <c r="W201" s="10"/>
      <c r="X201" s="10"/>
      <c r="Y201" s="10"/>
      <c r="Z201" s="10"/>
      <c r="AA201" s="10"/>
      <c r="AB201" s="10"/>
    </row>
    <row r="202" spans="1:28" ht="13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25"/>
      <c r="O202" s="125"/>
      <c r="P202" s="125"/>
      <c r="Q202" s="125"/>
      <c r="R202" s="125"/>
      <c r="S202" s="125"/>
      <c r="T202" s="125"/>
      <c r="U202" s="125"/>
      <c r="V202" s="125"/>
      <c r="W202" s="10"/>
      <c r="X202" s="10"/>
      <c r="Y202" s="10"/>
      <c r="Z202" s="10"/>
      <c r="AA202" s="10"/>
      <c r="AB202" s="10"/>
    </row>
    <row r="203" spans="1:28" ht="13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25"/>
      <c r="O203" s="125"/>
      <c r="P203" s="125"/>
      <c r="Q203" s="125"/>
      <c r="R203" s="125"/>
      <c r="S203" s="125"/>
      <c r="T203" s="125"/>
      <c r="U203" s="125"/>
      <c r="V203" s="125"/>
      <c r="W203" s="10"/>
      <c r="X203" s="10"/>
      <c r="Y203" s="10"/>
      <c r="Z203" s="10"/>
      <c r="AA203" s="10"/>
      <c r="AB203" s="10"/>
    </row>
    <row r="204" spans="1:28" ht="13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25"/>
      <c r="O204" s="125"/>
      <c r="P204" s="125"/>
      <c r="Q204" s="125"/>
      <c r="R204" s="125"/>
      <c r="S204" s="125"/>
      <c r="T204" s="125"/>
      <c r="U204" s="125"/>
      <c r="V204" s="125"/>
      <c r="W204" s="10"/>
      <c r="X204" s="10"/>
      <c r="Y204" s="10"/>
      <c r="Z204" s="10"/>
      <c r="AA204" s="10"/>
      <c r="AB204" s="10"/>
    </row>
    <row r="205" spans="1:28" ht="13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25"/>
      <c r="O205" s="125"/>
      <c r="P205" s="125"/>
      <c r="Q205" s="125"/>
      <c r="R205" s="125"/>
      <c r="S205" s="125"/>
      <c r="T205" s="125"/>
      <c r="U205" s="125"/>
      <c r="V205" s="125"/>
      <c r="W205" s="10"/>
      <c r="X205" s="10"/>
      <c r="Y205" s="10"/>
      <c r="Z205" s="10"/>
      <c r="AA205" s="10"/>
      <c r="AB205" s="10"/>
    </row>
    <row r="206" spans="1:28" ht="13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25"/>
      <c r="O206" s="125"/>
      <c r="P206" s="125"/>
      <c r="Q206" s="125"/>
      <c r="R206" s="125"/>
      <c r="S206" s="125"/>
      <c r="T206" s="125"/>
      <c r="U206" s="125"/>
      <c r="V206" s="125"/>
      <c r="W206" s="10"/>
      <c r="X206" s="10"/>
      <c r="Y206" s="10"/>
      <c r="Z206" s="10"/>
      <c r="AA206" s="10"/>
      <c r="AB206" s="10"/>
    </row>
    <row r="207" spans="1:28" ht="13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25"/>
      <c r="O207" s="125"/>
      <c r="P207" s="125"/>
      <c r="Q207" s="125"/>
      <c r="R207" s="125"/>
      <c r="S207" s="125"/>
      <c r="T207" s="125"/>
      <c r="U207" s="125"/>
      <c r="V207" s="125"/>
      <c r="W207" s="10"/>
      <c r="X207" s="10"/>
      <c r="Y207" s="10"/>
      <c r="Z207" s="10"/>
      <c r="AA207" s="10"/>
      <c r="AB207" s="10"/>
    </row>
    <row r="208" spans="1:28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25"/>
      <c r="O208" s="125"/>
      <c r="P208" s="125"/>
      <c r="Q208" s="125"/>
      <c r="R208" s="125"/>
      <c r="S208" s="125"/>
      <c r="T208" s="125"/>
      <c r="U208" s="125"/>
      <c r="V208" s="125"/>
      <c r="W208" s="10"/>
      <c r="X208" s="10"/>
      <c r="Y208" s="10"/>
      <c r="Z208" s="10"/>
      <c r="AA208" s="10"/>
      <c r="AB208" s="10"/>
    </row>
    <row r="209" spans="1:28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25"/>
      <c r="O209" s="125"/>
      <c r="P209" s="125"/>
      <c r="Q209" s="125"/>
      <c r="R209" s="125"/>
      <c r="S209" s="125"/>
      <c r="T209" s="125"/>
      <c r="U209" s="125"/>
      <c r="V209" s="125"/>
      <c r="W209" s="10"/>
      <c r="X209" s="10"/>
      <c r="Y209" s="10"/>
      <c r="Z209" s="10"/>
      <c r="AA209" s="10"/>
      <c r="AB209" s="10"/>
    </row>
    <row r="210" spans="1:28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25"/>
      <c r="O210" s="125"/>
      <c r="P210" s="125"/>
      <c r="Q210" s="125"/>
      <c r="R210" s="125"/>
      <c r="S210" s="125"/>
      <c r="T210" s="125"/>
      <c r="U210" s="125"/>
      <c r="V210" s="125"/>
      <c r="W210" s="10"/>
      <c r="X210" s="10"/>
      <c r="Y210" s="10"/>
      <c r="Z210" s="10"/>
      <c r="AA210" s="10"/>
      <c r="AB210" s="10"/>
    </row>
    <row r="211" spans="1:28" ht="13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25"/>
      <c r="O211" s="125"/>
      <c r="P211" s="125"/>
      <c r="Q211" s="125"/>
      <c r="R211" s="125"/>
      <c r="S211" s="125"/>
      <c r="T211" s="125"/>
      <c r="U211" s="125"/>
      <c r="V211" s="125"/>
      <c r="W211" s="10"/>
      <c r="X211" s="10"/>
      <c r="Y211" s="10"/>
      <c r="Z211" s="10"/>
      <c r="AA211" s="10"/>
      <c r="AB211" s="10"/>
    </row>
    <row r="212" spans="1:28" ht="13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25"/>
      <c r="O212" s="125"/>
      <c r="P212" s="125"/>
      <c r="Q212" s="125"/>
      <c r="R212" s="125"/>
      <c r="S212" s="125"/>
      <c r="T212" s="125"/>
      <c r="U212" s="125"/>
      <c r="V212" s="125"/>
      <c r="W212" s="10"/>
      <c r="X212" s="10"/>
      <c r="Y212" s="10"/>
      <c r="Z212" s="10"/>
      <c r="AA212" s="10"/>
      <c r="AB212" s="10"/>
    </row>
    <row r="213" spans="1:28" ht="13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25"/>
      <c r="O213" s="125"/>
      <c r="P213" s="125"/>
      <c r="Q213" s="125"/>
      <c r="R213" s="125"/>
      <c r="S213" s="125"/>
      <c r="T213" s="125"/>
      <c r="U213" s="125"/>
      <c r="V213" s="125"/>
      <c r="W213" s="10"/>
      <c r="X213" s="10"/>
      <c r="Y213" s="10"/>
      <c r="Z213" s="10"/>
      <c r="AA213" s="10"/>
      <c r="AB213" s="10"/>
    </row>
    <row r="214" spans="1:28" ht="13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25"/>
      <c r="O214" s="125"/>
      <c r="P214" s="125"/>
      <c r="Q214" s="125"/>
      <c r="R214" s="125"/>
      <c r="S214" s="125"/>
      <c r="T214" s="125"/>
      <c r="U214" s="125"/>
      <c r="V214" s="125"/>
      <c r="W214" s="10"/>
      <c r="X214" s="10"/>
      <c r="Y214" s="10"/>
      <c r="Z214" s="10"/>
      <c r="AA214" s="10"/>
      <c r="AB214" s="10"/>
    </row>
    <row r="215" spans="1:28" ht="13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25"/>
      <c r="O215" s="125"/>
      <c r="P215" s="125"/>
      <c r="Q215" s="125"/>
      <c r="R215" s="125"/>
      <c r="S215" s="125"/>
      <c r="T215" s="125"/>
      <c r="U215" s="125"/>
      <c r="V215" s="125"/>
      <c r="W215" s="10"/>
      <c r="X215" s="10"/>
      <c r="Y215" s="10"/>
      <c r="Z215" s="10"/>
      <c r="AA215" s="10"/>
      <c r="AB215" s="10"/>
    </row>
    <row r="216" spans="1:28" ht="13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25"/>
      <c r="O216" s="125"/>
      <c r="P216" s="125"/>
      <c r="Q216" s="125"/>
      <c r="R216" s="125"/>
      <c r="S216" s="125"/>
      <c r="T216" s="125"/>
      <c r="U216" s="125"/>
      <c r="V216" s="125"/>
      <c r="W216" s="10"/>
      <c r="X216" s="10"/>
      <c r="Y216" s="10"/>
      <c r="Z216" s="10"/>
      <c r="AA216" s="10"/>
      <c r="AB216" s="10"/>
    </row>
    <row r="217" spans="1:28" ht="13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25"/>
      <c r="O217" s="125"/>
      <c r="P217" s="125"/>
      <c r="Q217" s="125"/>
      <c r="R217" s="125"/>
      <c r="S217" s="125"/>
      <c r="T217" s="125"/>
      <c r="U217" s="125"/>
      <c r="V217" s="125"/>
      <c r="W217" s="10"/>
      <c r="X217" s="10"/>
      <c r="Y217" s="10"/>
      <c r="Z217" s="10"/>
      <c r="AA217" s="10"/>
      <c r="AB217" s="10"/>
    </row>
    <row r="218" spans="1:28" ht="13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25"/>
      <c r="O218" s="125"/>
      <c r="P218" s="125"/>
      <c r="Q218" s="125"/>
      <c r="R218" s="125"/>
      <c r="S218" s="125"/>
      <c r="T218" s="125"/>
      <c r="U218" s="125"/>
      <c r="V218" s="125"/>
      <c r="W218" s="10"/>
      <c r="X218" s="10"/>
      <c r="Y218" s="10"/>
      <c r="Z218" s="10"/>
      <c r="AA218" s="10"/>
      <c r="AB218" s="10"/>
    </row>
    <row r="219" spans="1:28" ht="13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25"/>
      <c r="O219" s="125"/>
      <c r="P219" s="125"/>
      <c r="Q219" s="125"/>
      <c r="R219" s="125"/>
      <c r="S219" s="125"/>
      <c r="T219" s="125"/>
      <c r="U219" s="125"/>
      <c r="V219" s="125"/>
      <c r="W219" s="10"/>
      <c r="X219" s="10"/>
      <c r="Y219" s="10"/>
      <c r="Z219" s="10"/>
      <c r="AA219" s="10"/>
      <c r="AB219" s="10"/>
    </row>
    <row r="220" spans="1:28" ht="13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25"/>
      <c r="O220" s="125"/>
      <c r="P220" s="125"/>
      <c r="Q220" s="125"/>
      <c r="R220" s="125"/>
      <c r="S220" s="125"/>
      <c r="T220" s="125"/>
      <c r="U220" s="125"/>
      <c r="V220" s="125"/>
      <c r="W220" s="10"/>
      <c r="X220" s="10"/>
      <c r="Y220" s="10"/>
      <c r="Z220" s="10"/>
      <c r="AA220" s="10"/>
      <c r="AB220" s="10"/>
    </row>
    <row r="221" spans="1:28" ht="13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25"/>
      <c r="O221" s="125"/>
      <c r="P221" s="125"/>
      <c r="Q221" s="125"/>
      <c r="R221" s="125"/>
      <c r="S221" s="125"/>
      <c r="T221" s="125"/>
      <c r="U221" s="125"/>
      <c r="V221" s="125"/>
      <c r="W221" s="10"/>
      <c r="X221" s="10"/>
      <c r="Y221" s="10"/>
      <c r="Z221" s="10"/>
      <c r="AA221" s="10"/>
      <c r="AB221" s="10"/>
    </row>
    <row r="222" spans="1:28" ht="13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25"/>
      <c r="O222" s="125"/>
      <c r="P222" s="125"/>
      <c r="Q222" s="125"/>
      <c r="R222" s="125"/>
      <c r="S222" s="125"/>
      <c r="T222" s="125"/>
      <c r="U222" s="125"/>
      <c r="V222" s="125"/>
      <c r="W222" s="10"/>
      <c r="X222" s="10"/>
      <c r="Y222" s="10"/>
      <c r="Z222" s="10"/>
      <c r="AA222" s="10"/>
      <c r="AB222" s="10"/>
    </row>
    <row r="223" spans="1:28" ht="13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25"/>
      <c r="O223" s="125"/>
      <c r="P223" s="125"/>
      <c r="Q223" s="125"/>
      <c r="R223" s="125"/>
      <c r="S223" s="125"/>
      <c r="T223" s="125"/>
      <c r="U223" s="125"/>
      <c r="V223" s="125"/>
      <c r="W223" s="10"/>
      <c r="X223" s="10"/>
      <c r="Y223" s="10"/>
      <c r="Z223" s="10"/>
      <c r="AA223" s="10"/>
      <c r="AB223" s="10"/>
    </row>
    <row r="224" spans="1:28" ht="13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25"/>
      <c r="O224" s="125"/>
      <c r="P224" s="125"/>
      <c r="Q224" s="125"/>
      <c r="R224" s="125"/>
      <c r="S224" s="125"/>
      <c r="T224" s="125"/>
      <c r="U224" s="125"/>
      <c r="V224" s="125"/>
      <c r="W224" s="10"/>
      <c r="X224" s="10"/>
      <c r="Y224" s="10"/>
      <c r="Z224" s="10"/>
      <c r="AA224" s="10"/>
      <c r="AB224" s="10"/>
    </row>
    <row r="225" spans="1:28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25"/>
      <c r="O225" s="125"/>
      <c r="P225" s="125"/>
      <c r="Q225" s="125"/>
      <c r="R225" s="125"/>
      <c r="S225" s="125"/>
      <c r="T225" s="125"/>
      <c r="U225" s="125"/>
      <c r="V225" s="125"/>
      <c r="W225" s="10"/>
      <c r="X225" s="10"/>
      <c r="Y225" s="10"/>
      <c r="Z225" s="10"/>
      <c r="AA225" s="10"/>
      <c r="AB225" s="10"/>
    </row>
    <row r="226" spans="1:28" ht="13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25"/>
      <c r="O226" s="125"/>
      <c r="P226" s="125"/>
      <c r="Q226" s="125"/>
      <c r="R226" s="125"/>
      <c r="S226" s="125"/>
      <c r="T226" s="125"/>
      <c r="U226" s="125"/>
      <c r="V226" s="125"/>
      <c r="W226" s="10"/>
      <c r="X226" s="10"/>
      <c r="Y226" s="10"/>
      <c r="Z226" s="10"/>
      <c r="AA226" s="10"/>
      <c r="AB226" s="10"/>
    </row>
    <row r="227" spans="1:28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25"/>
      <c r="O227" s="125"/>
      <c r="P227" s="125"/>
      <c r="Q227" s="125"/>
      <c r="R227" s="125"/>
      <c r="S227" s="125"/>
      <c r="T227" s="125"/>
      <c r="U227" s="125"/>
      <c r="V227" s="125"/>
      <c r="W227" s="10"/>
      <c r="X227" s="10"/>
      <c r="Y227" s="10"/>
      <c r="Z227" s="10"/>
      <c r="AA227" s="10"/>
      <c r="AB227" s="10"/>
    </row>
    <row r="228" spans="1:28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25"/>
      <c r="O228" s="125"/>
      <c r="P228" s="125"/>
      <c r="Q228" s="125"/>
      <c r="R228" s="125"/>
      <c r="S228" s="125"/>
      <c r="T228" s="125"/>
      <c r="U228" s="125"/>
      <c r="V228" s="125"/>
      <c r="W228" s="10"/>
      <c r="X228" s="10"/>
      <c r="Y228" s="10"/>
      <c r="Z228" s="10"/>
      <c r="AA228" s="10"/>
      <c r="AB228" s="10"/>
    </row>
    <row r="229" spans="1:28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25"/>
      <c r="O229" s="125"/>
      <c r="P229" s="125"/>
      <c r="Q229" s="125"/>
      <c r="R229" s="125"/>
      <c r="S229" s="125"/>
      <c r="T229" s="125"/>
      <c r="U229" s="125"/>
      <c r="V229" s="125"/>
      <c r="W229" s="10"/>
      <c r="X229" s="10"/>
      <c r="Y229" s="10"/>
      <c r="Z229" s="10"/>
      <c r="AA229" s="10"/>
      <c r="AB229" s="10"/>
    </row>
    <row r="230" spans="1:28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25"/>
      <c r="O230" s="125"/>
      <c r="P230" s="125"/>
      <c r="Q230" s="125"/>
      <c r="R230" s="125"/>
      <c r="S230" s="125"/>
      <c r="T230" s="125"/>
      <c r="U230" s="125"/>
      <c r="V230" s="125"/>
      <c r="W230" s="10"/>
      <c r="X230" s="10"/>
      <c r="Y230" s="10"/>
      <c r="Z230" s="10"/>
      <c r="AA230" s="10"/>
      <c r="AB230" s="10"/>
    </row>
    <row r="231" spans="1:28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25"/>
      <c r="O231" s="125"/>
      <c r="P231" s="125"/>
      <c r="Q231" s="125"/>
      <c r="R231" s="125"/>
      <c r="S231" s="125"/>
      <c r="T231" s="125"/>
      <c r="U231" s="125"/>
      <c r="V231" s="125"/>
      <c r="W231" s="10"/>
      <c r="X231" s="10"/>
      <c r="Y231" s="10"/>
      <c r="Z231" s="10"/>
      <c r="AA231" s="10"/>
      <c r="AB231" s="10"/>
    </row>
    <row r="232" spans="1:28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25"/>
      <c r="O232" s="125"/>
      <c r="P232" s="125"/>
      <c r="Q232" s="125"/>
      <c r="R232" s="125"/>
      <c r="S232" s="125"/>
      <c r="T232" s="125"/>
      <c r="U232" s="125"/>
      <c r="V232" s="125"/>
      <c r="W232" s="10"/>
      <c r="X232" s="10"/>
      <c r="Y232" s="10"/>
      <c r="Z232" s="10"/>
      <c r="AA232" s="10"/>
      <c r="AB232" s="10"/>
    </row>
    <row r="233" spans="1:28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25"/>
      <c r="O233" s="125"/>
      <c r="P233" s="125"/>
      <c r="Q233" s="125"/>
      <c r="R233" s="125"/>
      <c r="S233" s="125"/>
      <c r="T233" s="125"/>
      <c r="U233" s="125"/>
      <c r="V233" s="125"/>
      <c r="W233" s="10"/>
      <c r="X233" s="10"/>
      <c r="Y233" s="10"/>
      <c r="Z233" s="10"/>
      <c r="AA233" s="10"/>
      <c r="AB233" s="10"/>
    </row>
    <row r="234" spans="1:28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25"/>
      <c r="O234" s="125"/>
      <c r="P234" s="125"/>
      <c r="Q234" s="125"/>
      <c r="R234" s="125"/>
      <c r="S234" s="125"/>
      <c r="T234" s="125"/>
      <c r="U234" s="125"/>
      <c r="V234" s="125"/>
      <c r="W234" s="10"/>
      <c r="X234" s="10"/>
      <c r="Y234" s="10"/>
      <c r="Z234" s="10"/>
      <c r="AA234" s="10"/>
      <c r="AB234" s="10"/>
    </row>
    <row r="235" spans="1:28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25"/>
      <c r="O235" s="125"/>
      <c r="P235" s="125"/>
      <c r="Q235" s="125"/>
      <c r="R235" s="125"/>
      <c r="S235" s="125"/>
      <c r="T235" s="125"/>
      <c r="U235" s="125"/>
      <c r="V235" s="125"/>
      <c r="W235" s="10"/>
      <c r="X235" s="10"/>
      <c r="Y235" s="10"/>
      <c r="Z235" s="10"/>
      <c r="AA235" s="10"/>
      <c r="AB235" s="10"/>
    </row>
    <row r="236" spans="1:28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25"/>
      <c r="O236" s="125"/>
      <c r="P236" s="125"/>
      <c r="Q236" s="125"/>
      <c r="R236" s="125"/>
      <c r="S236" s="125"/>
      <c r="T236" s="125"/>
      <c r="U236" s="125"/>
      <c r="V236" s="125"/>
      <c r="W236" s="10"/>
      <c r="X236" s="10"/>
      <c r="Y236" s="10"/>
      <c r="Z236" s="10"/>
      <c r="AA236" s="10"/>
      <c r="AB236" s="10"/>
    </row>
    <row r="237" spans="1:28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25"/>
      <c r="O237" s="125"/>
      <c r="P237" s="125"/>
      <c r="Q237" s="125"/>
      <c r="R237" s="125"/>
      <c r="S237" s="125"/>
      <c r="T237" s="125"/>
      <c r="U237" s="125"/>
      <c r="V237" s="125"/>
      <c r="W237" s="10"/>
      <c r="X237" s="10"/>
      <c r="Y237" s="10"/>
      <c r="Z237" s="10"/>
      <c r="AA237" s="10"/>
      <c r="AB237" s="10"/>
    </row>
    <row r="238" spans="1:28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25"/>
      <c r="O238" s="125"/>
      <c r="P238" s="125"/>
      <c r="Q238" s="125"/>
      <c r="R238" s="125"/>
      <c r="S238" s="125"/>
      <c r="T238" s="125"/>
      <c r="U238" s="125"/>
      <c r="V238" s="125"/>
      <c r="W238" s="10"/>
      <c r="X238" s="10"/>
      <c r="Y238" s="10"/>
      <c r="Z238" s="10"/>
      <c r="AA238" s="10"/>
      <c r="AB238" s="10"/>
    </row>
    <row r="239" spans="1:28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25"/>
      <c r="O239" s="125"/>
      <c r="P239" s="125"/>
      <c r="Q239" s="125"/>
      <c r="R239" s="125"/>
      <c r="S239" s="125"/>
      <c r="T239" s="125"/>
      <c r="U239" s="125"/>
      <c r="V239" s="125"/>
      <c r="W239" s="10"/>
      <c r="X239" s="10"/>
      <c r="Y239" s="10"/>
      <c r="Z239" s="10"/>
      <c r="AA239" s="10"/>
      <c r="AB239" s="10"/>
    </row>
    <row r="240" spans="1:28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25"/>
      <c r="O240" s="125"/>
      <c r="P240" s="125"/>
      <c r="Q240" s="125"/>
      <c r="R240" s="125"/>
      <c r="S240" s="125"/>
      <c r="T240" s="125"/>
      <c r="U240" s="125"/>
      <c r="V240" s="125"/>
      <c r="W240" s="10"/>
      <c r="X240" s="10"/>
      <c r="Y240" s="10"/>
      <c r="Z240" s="10"/>
      <c r="AA240" s="10"/>
      <c r="AB240" s="10"/>
    </row>
    <row r="241" spans="1:28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25"/>
      <c r="O241" s="125"/>
      <c r="P241" s="125"/>
      <c r="Q241" s="125"/>
      <c r="R241" s="125"/>
      <c r="S241" s="125"/>
      <c r="T241" s="125"/>
      <c r="U241" s="125"/>
      <c r="V241" s="125"/>
      <c r="W241" s="10"/>
      <c r="X241" s="10"/>
      <c r="Y241" s="10"/>
      <c r="Z241" s="10"/>
      <c r="AA241" s="10"/>
      <c r="AB241" s="10"/>
    </row>
    <row r="242" spans="1:28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25"/>
      <c r="O242" s="125"/>
      <c r="P242" s="125"/>
      <c r="Q242" s="125"/>
      <c r="R242" s="125"/>
      <c r="S242" s="125"/>
      <c r="T242" s="125"/>
      <c r="U242" s="125"/>
      <c r="V242" s="125"/>
      <c r="W242" s="10"/>
      <c r="X242" s="10"/>
      <c r="Y242" s="10"/>
      <c r="Z242" s="10"/>
      <c r="AA242" s="10"/>
      <c r="AB242" s="10"/>
    </row>
    <row r="243" spans="1:28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25"/>
      <c r="O243" s="125"/>
      <c r="P243" s="125"/>
      <c r="Q243" s="125"/>
      <c r="R243" s="125"/>
      <c r="S243" s="125"/>
      <c r="T243" s="125"/>
      <c r="U243" s="125"/>
      <c r="V243" s="125"/>
      <c r="W243" s="10"/>
      <c r="X243" s="10"/>
      <c r="Y243" s="10"/>
      <c r="Z243" s="10"/>
      <c r="AA243" s="10"/>
      <c r="AB243" s="10"/>
    </row>
    <row r="244" spans="1:28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25"/>
      <c r="O244" s="125"/>
      <c r="P244" s="125"/>
      <c r="Q244" s="125"/>
      <c r="R244" s="125"/>
      <c r="S244" s="125"/>
      <c r="T244" s="125"/>
      <c r="U244" s="125"/>
      <c r="V244" s="125"/>
      <c r="W244" s="10"/>
      <c r="X244" s="10"/>
      <c r="Y244" s="10"/>
      <c r="Z244" s="10"/>
      <c r="AA244" s="10"/>
      <c r="AB244" s="10"/>
    </row>
    <row r="245" spans="1:28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25"/>
      <c r="O245" s="125"/>
      <c r="P245" s="125"/>
      <c r="Q245" s="125"/>
      <c r="R245" s="125"/>
      <c r="S245" s="125"/>
      <c r="T245" s="125"/>
      <c r="U245" s="125"/>
      <c r="V245" s="125"/>
      <c r="W245" s="10"/>
      <c r="X245" s="10"/>
      <c r="Y245" s="10"/>
      <c r="Z245" s="10"/>
      <c r="AA245" s="10"/>
      <c r="AB245" s="10"/>
    </row>
    <row r="246" spans="1:28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25"/>
      <c r="O246" s="125"/>
      <c r="P246" s="125"/>
      <c r="Q246" s="125"/>
      <c r="R246" s="125"/>
      <c r="S246" s="125"/>
      <c r="T246" s="125"/>
      <c r="U246" s="125"/>
      <c r="V246" s="125"/>
      <c r="W246" s="10"/>
      <c r="X246" s="10"/>
      <c r="Y246" s="10"/>
      <c r="Z246" s="10"/>
      <c r="AA246" s="10"/>
      <c r="AB246" s="10"/>
    </row>
    <row r="247" spans="1:28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25"/>
      <c r="O247" s="125"/>
      <c r="P247" s="125"/>
      <c r="Q247" s="125"/>
      <c r="R247" s="125"/>
      <c r="S247" s="125"/>
      <c r="T247" s="125"/>
      <c r="U247" s="125"/>
      <c r="V247" s="125"/>
      <c r="W247" s="10"/>
      <c r="X247" s="10"/>
      <c r="Y247" s="10"/>
      <c r="Z247" s="10"/>
      <c r="AA247" s="10"/>
      <c r="AB247" s="10"/>
    </row>
    <row r="248" spans="1:28" ht="13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25"/>
      <c r="O248" s="125"/>
      <c r="P248" s="125"/>
      <c r="Q248" s="125"/>
      <c r="R248" s="125"/>
      <c r="S248" s="125"/>
      <c r="T248" s="125"/>
      <c r="U248" s="125"/>
      <c r="V248" s="125"/>
      <c r="W248" s="10"/>
      <c r="X248" s="10"/>
      <c r="Y248" s="10"/>
      <c r="Z248" s="10"/>
      <c r="AA248" s="10"/>
      <c r="AB248" s="10"/>
    </row>
    <row r="249" spans="1:28" ht="13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25"/>
      <c r="O249" s="125"/>
      <c r="P249" s="125"/>
      <c r="Q249" s="125"/>
      <c r="R249" s="125"/>
      <c r="S249" s="125"/>
      <c r="T249" s="125"/>
      <c r="U249" s="125"/>
      <c r="V249" s="125"/>
      <c r="W249" s="10"/>
      <c r="X249" s="10"/>
      <c r="Y249" s="10"/>
      <c r="Z249" s="10"/>
      <c r="AA249" s="10"/>
      <c r="AB249" s="10"/>
    </row>
    <row r="250" spans="1:28" ht="13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25"/>
      <c r="O250" s="125"/>
      <c r="P250" s="125"/>
      <c r="Q250" s="125"/>
      <c r="R250" s="125"/>
      <c r="S250" s="125"/>
      <c r="T250" s="125"/>
      <c r="U250" s="125"/>
      <c r="V250" s="125"/>
      <c r="W250" s="10"/>
      <c r="X250" s="10"/>
      <c r="Y250" s="10"/>
      <c r="Z250" s="10"/>
      <c r="AA250" s="10"/>
      <c r="AB250" s="10"/>
    </row>
    <row r="251" spans="1:28" ht="13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25"/>
      <c r="O251" s="125"/>
      <c r="P251" s="125"/>
      <c r="Q251" s="125"/>
      <c r="R251" s="125"/>
      <c r="S251" s="125"/>
      <c r="T251" s="125"/>
      <c r="U251" s="125"/>
      <c r="V251" s="125"/>
      <c r="W251" s="10"/>
      <c r="X251" s="10"/>
      <c r="Y251" s="10"/>
      <c r="Z251" s="10"/>
      <c r="AA251" s="10"/>
      <c r="AB251" s="10"/>
    </row>
    <row r="252" spans="1:28" ht="13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25"/>
      <c r="O252" s="125"/>
      <c r="P252" s="125"/>
      <c r="Q252" s="125"/>
      <c r="R252" s="125"/>
      <c r="S252" s="125"/>
      <c r="T252" s="125"/>
      <c r="U252" s="125"/>
      <c r="V252" s="125"/>
      <c r="W252" s="10"/>
      <c r="X252" s="10"/>
      <c r="Y252" s="10"/>
      <c r="Z252" s="10"/>
      <c r="AA252" s="10"/>
      <c r="AB252" s="10"/>
    </row>
    <row r="253" spans="1:28" ht="13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25"/>
      <c r="O253" s="125"/>
      <c r="P253" s="125"/>
      <c r="Q253" s="125"/>
      <c r="R253" s="125"/>
      <c r="S253" s="125"/>
      <c r="T253" s="125"/>
      <c r="U253" s="125"/>
      <c r="V253" s="125"/>
      <c r="W253" s="10"/>
      <c r="X253" s="10"/>
      <c r="Y253" s="10"/>
      <c r="Z253" s="10"/>
      <c r="AA253" s="10"/>
      <c r="AB253" s="10"/>
    </row>
    <row r="254" spans="1:28" ht="13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25"/>
      <c r="O254" s="125"/>
      <c r="P254" s="125"/>
      <c r="Q254" s="125"/>
      <c r="R254" s="125"/>
      <c r="S254" s="125"/>
      <c r="T254" s="125"/>
      <c r="U254" s="125"/>
      <c r="V254" s="125"/>
      <c r="W254" s="10"/>
      <c r="X254" s="10"/>
      <c r="Y254" s="10"/>
      <c r="Z254" s="10"/>
      <c r="AA254" s="10"/>
      <c r="AB254" s="10"/>
    </row>
    <row r="255" spans="1:28" ht="13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25"/>
      <c r="O255" s="125"/>
      <c r="P255" s="125"/>
      <c r="Q255" s="125"/>
      <c r="R255" s="125"/>
      <c r="S255" s="125"/>
      <c r="T255" s="125"/>
      <c r="U255" s="125"/>
      <c r="V255" s="125"/>
      <c r="W255" s="10"/>
      <c r="X255" s="10"/>
      <c r="Y255" s="10"/>
      <c r="Z255" s="10"/>
      <c r="AA255" s="10"/>
      <c r="AB255" s="10"/>
    </row>
    <row r="256" spans="1:28" ht="13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25"/>
      <c r="O256" s="125"/>
      <c r="P256" s="125"/>
      <c r="Q256" s="125"/>
      <c r="R256" s="125"/>
      <c r="S256" s="125"/>
      <c r="T256" s="125"/>
      <c r="U256" s="125"/>
      <c r="V256" s="125"/>
      <c r="W256" s="10"/>
      <c r="X256" s="10"/>
      <c r="Y256" s="10"/>
      <c r="Z256" s="10"/>
      <c r="AA256" s="10"/>
      <c r="AB256" s="10"/>
    </row>
    <row r="257" spans="1:28" ht="13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25"/>
      <c r="O257" s="125"/>
      <c r="P257" s="125"/>
      <c r="Q257" s="125"/>
      <c r="R257" s="125"/>
      <c r="S257" s="125"/>
      <c r="T257" s="125"/>
      <c r="U257" s="125"/>
      <c r="V257" s="125"/>
      <c r="W257" s="10"/>
      <c r="X257" s="10"/>
      <c r="Y257" s="10"/>
      <c r="Z257" s="10"/>
      <c r="AA257" s="10"/>
      <c r="AB257" s="10"/>
    </row>
    <row r="258" spans="1:28" ht="13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25"/>
      <c r="O258" s="125"/>
      <c r="P258" s="125"/>
      <c r="Q258" s="125"/>
      <c r="R258" s="125"/>
      <c r="S258" s="125"/>
      <c r="T258" s="125"/>
      <c r="U258" s="125"/>
      <c r="V258" s="125"/>
      <c r="W258" s="10"/>
      <c r="X258" s="10"/>
      <c r="Y258" s="10"/>
      <c r="Z258" s="10"/>
      <c r="AA258" s="10"/>
      <c r="AB258" s="10"/>
    </row>
    <row r="259" spans="1:28" ht="13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25"/>
      <c r="O259" s="125"/>
      <c r="P259" s="125"/>
      <c r="Q259" s="125"/>
      <c r="R259" s="125"/>
      <c r="S259" s="125"/>
      <c r="T259" s="125"/>
      <c r="U259" s="125"/>
      <c r="V259" s="125"/>
      <c r="W259" s="10"/>
      <c r="X259" s="10"/>
      <c r="Y259" s="10"/>
      <c r="Z259" s="10"/>
      <c r="AA259" s="10"/>
      <c r="AB259" s="10"/>
    </row>
    <row r="260" spans="1:28" ht="13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25"/>
      <c r="O260" s="125"/>
      <c r="P260" s="125"/>
      <c r="Q260" s="125"/>
      <c r="R260" s="125"/>
      <c r="S260" s="125"/>
      <c r="T260" s="125"/>
      <c r="U260" s="125"/>
      <c r="V260" s="125"/>
      <c r="W260" s="10"/>
      <c r="X260" s="10"/>
      <c r="Y260" s="10"/>
      <c r="Z260" s="10"/>
      <c r="AA260" s="10"/>
      <c r="AB260" s="10"/>
    </row>
    <row r="261" spans="1:28" ht="13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25"/>
      <c r="O261" s="125"/>
      <c r="P261" s="125"/>
      <c r="Q261" s="125"/>
      <c r="R261" s="125"/>
      <c r="S261" s="125"/>
      <c r="T261" s="125"/>
      <c r="U261" s="125"/>
      <c r="V261" s="125"/>
      <c r="W261" s="10"/>
      <c r="X261" s="10"/>
      <c r="Y261" s="10"/>
      <c r="Z261" s="10"/>
      <c r="AA261" s="10"/>
      <c r="AB261" s="10"/>
    </row>
    <row r="262" spans="1:28" ht="13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25"/>
      <c r="O262" s="125"/>
      <c r="P262" s="125"/>
      <c r="Q262" s="125"/>
      <c r="R262" s="125"/>
      <c r="S262" s="125"/>
      <c r="T262" s="125"/>
      <c r="U262" s="125"/>
      <c r="V262" s="125"/>
      <c r="W262" s="10"/>
      <c r="X262" s="10"/>
      <c r="Y262" s="10"/>
      <c r="Z262" s="10"/>
      <c r="AA262" s="10"/>
      <c r="AB262" s="10"/>
    </row>
    <row r="263" spans="1:28" ht="13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25"/>
      <c r="O263" s="125"/>
      <c r="P263" s="125"/>
      <c r="Q263" s="125"/>
      <c r="R263" s="125"/>
      <c r="S263" s="125"/>
      <c r="T263" s="125"/>
      <c r="U263" s="125"/>
      <c r="V263" s="125"/>
      <c r="W263" s="10"/>
      <c r="X263" s="10"/>
      <c r="Y263" s="10"/>
      <c r="Z263" s="10"/>
      <c r="AA263" s="10"/>
      <c r="AB263" s="10"/>
    </row>
    <row r="264" spans="1:28" ht="13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25"/>
      <c r="O264" s="125"/>
      <c r="P264" s="125"/>
      <c r="Q264" s="125"/>
      <c r="R264" s="125"/>
      <c r="S264" s="125"/>
      <c r="T264" s="125"/>
      <c r="U264" s="125"/>
      <c r="V264" s="125"/>
      <c r="W264" s="10"/>
      <c r="X264" s="10"/>
      <c r="Y264" s="10"/>
      <c r="Z264" s="10"/>
      <c r="AA264" s="10"/>
      <c r="AB264" s="10"/>
    </row>
    <row r="265" spans="1:28" ht="13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25"/>
      <c r="O265" s="125"/>
      <c r="P265" s="125"/>
      <c r="Q265" s="125"/>
      <c r="R265" s="125"/>
      <c r="S265" s="125"/>
      <c r="T265" s="125"/>
      <c r="U265" s="125"/>
      <c r="V265" s="125"/>
      <c r="W265" s="10"/>
      <c r="X265" s="10"/>
      <c r="Y265" s="10"/>
      <c r="Z265" s="10"/>
      <c r="AA265" s="10"/>
      <c r="AB265" s="10"/>
    </row>
    <row r="266" spans="1:28" ht="13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25"/>
      <c r="O266" s="125"/>
      <c r="P266" s="125"/>
      <c r="Q266" s="125"/>
      <c r="R266" s="125"/>
      <c r="S266" s="125"/>
      <c r="T266" s="125"/>
      <c r="U266" s="125"/>
      <c r="V266" s="125"/>
      <c r="W266" s="10"/>
      <c r="X266" s="10"/>
      <c r="Y266" s="10"/>
      <c r="Z266" s="10"/>
      <c r="AA266" s="10"/>
      <c r="AB266" s="10"/>
    </row>
    <row r="267" spans="1:28" ht="13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25"/>
      <c r="O267" s="125"/>
      <c r="P267" s="125"/>
      <c r="Q267" s="125"/>
      <c r="R267" s="125"/>
      <c r="S267" s="125"/>
      <c r="T267" s="125"/>
      <c r="U267" s="125"/>
      <c r="V267" s="125"/>
      <c r="W267" s="10"/>
      <c r="X267" s="10"/>
      <c r="Y267" s="10"/>
      <c r="Z267" s="10"/>
      <c r="AA267" s="10"/>
      <c r="AB267" s="10"/>
    </row>
    <row r="268" spans="1:28" ht="13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25"/>
      <c r="O268" s="125"/>
      <c r="P268" s="125"/>
      <c r="Q268" s="125"/>
      <c r="R268" s="125"/>
      <c r="S268" s="125"/>
      <c r="T268" s="125"/>
      <c r="U268" s="125"/>
      <c r="V268" s="125"/>
      <c r="W268" s="10"/>
      <c r="X268" s="10"/>
      <c r="Y268" s="10"/>
      <c r="Z268" s="10"/>
      <c r="AA268" s="10"/>
      <c r="AB268" s="10"/>
    </row>
    <row r="269" spans="1:28" ht="13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25"/>
      <c r="O269" s="125"/>
      <c r="P269" s="125"/>
      <c r="Q269" s="125"/>
      <c r="R269" s="125"/>
      <c r="S269" s="125"/>
      <c r="T269" s="125"/>
      <c r="U269" s="125"/>
      <c r="V269" s="125"/>
      <c r="W269" s="10"/>
      <c r="X269" s="10"/>
      <c r="Y269" s="10"/>
      <c r="Z269" s="10"/>
      <c r="AA269" s="10"/>
      <c r="AB269" s="10"/>
    </row>
    <row r="270" spans="1:28" ht="13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25"/>
      <c r="O270" s="125"/>
      <c r="P270" s="125"/>
      <c r="Q270" s="125"/>
      <c r="R270" s="125"/>
      <c r="S270" s="125"/>
      <c r="T270" s="125"/>
      <c r="U270" s="125"/>
      <c r="V270" s="125"/>
      <c r="W270" s="10"/>
      <c r="X270" s="10"/>
      <c r="Y270" s="10"/>
      <c r="Z270" s="10"/>
      <c r="AA270" s="10"/>
      <c r="AB270" s="10"/>
    </row>
    <row r="271" spans="1:28" ht="13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25"/>
      <c r="O271" s="125"/>
      <c r="P271" s="125"/>
      <c r="Q271" s="125"/>
      <c r="R271" s="125"/>
      <c r="S271" s="125"/>
      <c r="T271" s="125"/>
      <c r="U271" s="125"/>
      <c r="V271" s="125"/>
      <c r="W271" s="10"/>
      <c r="X271" s="10"/>
      <c r="Y271" s="10"/>
      <c r="Z271" s="10"/>
      <c r="AA271" s="10"/>
      <c r="AB271" s="10"/>
    </row>
    <row r="272" spans="1:28" ht="13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25"/>
      <c r="O272" s="125"/>
      <c r="P272" s="125"/>
      <c r="Q272" s="125"/>
      <c r="R272" s="125"/>
      <c r="S272" s="125"/>
      <c r="T272" s="125"/>
      <c r="U272" s="125"/>
      <c r="V272" s="125"/>
      <c r="W272" s="10"/>
      <c r="X272" s="10"/>
      <c r="Y272" s="10"/>
      <c r="Z272" s="10"/>
      <c r="AA272" s="10"/>
      <c r="AB272" s="10"/>
    </row>
    <row r="273" spans="1:28" ht="13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25"/>
      <c r="O273" s="125"/>
      <c r="P273" s="125"/>
      <c r="Q273" s="125"/>
      <c r="R273" s="125"/>
      <c r="S273" s="125"/>
      <c r="T273" s="125"/>
      <c r="U273" s="125"/>
      <c r="V273" s="125"/>
      <c r="W273" s="10"/>
      <c r="X273" s="10"/>
      <c r="Y273" s="10"/>
      <c r="Z273" s="10"/>
      <c r="AA273" s="10"/>
      <c r="AB273" s="10"/>
    </row>
    <row r="274" spans="1:28" ht="13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25"/>
      <c r="O274" s="125"/>
      <c r="P274" s="125"/>
      <c r="Q274" s="125"/>
      <c r="R274" s="125"/>
      <c r="S274" s="125"/>
      <c r="T274" s="125"/>
      <c r="U274" s="125"/>
      <c r="V274" s="125"/>
      <c r="W274" s="10"/>
      <c r="X274" s="10"/>
      <c r="Y274" s="10"/>
      <c r="Z274" s="10"/>
      <c r="AA274" s="10"/>
      <c r="AB274" s="10"/>
    </row>
    <row r="275" spans="1:28" ht="13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25"/>
      <c r="O275" s="125"/>
      <c r="P275" s="125"/>
      <c r="Q275" s="125"/>
      <c r="R275" s="125"/>
      <c r="S275" s="125"/>
      <c r="T275" s="125"/>
      <c r="U275" s="125"/>
      <c r="V275" s="125"/>
      <c r="W275" s="10"/>
      <c r="X275" s="10"/>
      <c r="Y275" s="10"/>
      <c r="Z275" s="10"/>
      <c r="AA275" s="10"/>
      <c r="AB275" s="10"/>
    </row>
    <row r="276" spans="1:28" ht="13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25"/>
      <c r="O276" s="125"/>
      <c r="P276" s="125"/>
      <c r="Q276" s="125"/>
      <c r="R276" s="125"/>
      <c r="S276" s="125"/>
      <c r="T276" s="125"/>
      <c r="U276" s="125"/>
      <c r="V276" s="125"/>
      <c r="W276" s="10"/>
      <c r="X276" s="10"/>
      <c r="Y276" s="10"/>
      <c r="Z276" s="10"/>
      <c r="AA276" s="10"/>
      <c r="AB276" s="10"/>
    </row>
    <row r="277" spans="1:28" ht="13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25"/>
      <c r="O277" s="125"/>
      <c r="P277" s="125"/>
      <c r="Q277" s="125"/>
      <c r="R277" s="125"/>
      <c r="S277" s="125"/>
      <c r="T277" s="125"/>
      <c r="U277" s="125"/>
      <c r="V277" s="125"/>
      <c r="W277" s="10"/>
      <c r="X277" s="10"/>
      <c r="Y277" s="10"/>
      <c r="Z277" s="10"/>
      <c r="AA277" s="10"/>
      <c r="AB277" s="10"/>
    </row>
    <row r="278" spans="1:28" ht="13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25"/>
      <c r="O278" s="125"/>
      <c r="P278" s="125"/>
      <c r="Q278" s="125"/>
      <c r="R278" s="125"/>
      <c r="S278" s="125"/>
      <c r="T278" s="125"/>
      <c r="U278" s="125"/>
      <c r="V278" s="125"/>
      <c r="W278" s="10"/>
      <c r="X278" s="10"/>
      <c r="Y278" s="10"/>
      <c r="Z278" s="10"/>
      <c r="AA278" s="10"/>
      <c r="AB278" s="10"/>
    </row>
    <row r="279" spans="1:28" ht="13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25"/>
      <c r="O279" s="125"/>
      <c r="P279" s="125"/>
      <c r="Q279" s="125"/>
      <c r="R279" s="125"/>
      <c r="S279" s="125"/>
      <c r="T279" s="125"/>
      <c r="U279" s="125"/>
      <c r="V279" s="125"/>
      <c r="W279" s="10"/>
      <c r="X279" s="10"/>
      <c r="Y279" s="10"/>
      <c r="Z279" s="10"/>
      <c r="AA279" s="10"/>
      <c r="AB279" s="10"/>
    </row>
    <row r="280" spans="1:28" ht="13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25"/>
      <c r="O280" s="125"/>
      <c r="P280" s="125"/>
      <c r="Q280" s="125"/>
      <c r="R280" s="125"/>
      <c r="S280" s="125"/>
      <c r="T280" s="125"/>
      <c r="U280" s="125"/>
      <c r="V280" s="125"/>
      <c r="W280" s="10"/>
      <c r="X280" s="10"/>
      <c r="Y280" s="10"/>
      <c r="Z280" s="10"/>
      <c r="AA280" s="10"/>
      <c r="AB280" s="10"/>
    </row>
    <row r="281" spans="1:28" ht="13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25"/>
      <c r="O281" s="125"/>
      <c r="P281" s="125"/>
      <c r="Q281" s="125"/>
      <c r="R281" s="125"/>
      <c r="S281" s="125"/>
      <c r="T281" s="125"/>
      <c r="U281" s="125"/>
      <c r="V281" s="125"/>
      <c r="W281" s="10"/>
      <c r="X281" s="10"/>
      <c r="Y281" s="10"/>
      <c r="Z281" s="10"/>
      <c r="AA281" s="10"/>
      <c r="AB281" s="10"/>
    </row>
    <row r="282" spans="1:28" ht="13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25"/>
      <c r="O282" s="125"/>
      <c r="P282" s="125"/>
      <c r="Q282" s="125"/>
      <c r="R282" s="125"/>
      <c r="S282" s="125"/>
      <c r="T282" s="125"/>
      <c r="U282" s="125"/>
      <c r="V282" s="125"/>
      <c r="W282" s="10"/>
      <c r="X282" s="10"/>
      <c r="Y282" s="10"/>
      <c r="Z282" s="10"/>
      <c r="AA282" s="10"/>
      <c r="AB282" s="10"/>
    </row>
    <row r="283" spans="1:28" ht="13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25"/>
      <c r="O283" s="125"/>
      <c r="P283" s="125"/>
      <c r="Q283" s="125"/>
      <c r="R283" s="125"/>
      <c r="S283" s="125"/>
      <c r="T283" s="125"/>
      <c r="U283" s="125"/>
      <c r="V283" s="125"/>
      <c r="W283" s="10"/>
      <c r="X283" s="10"/>
      <c r="Y283" s="10"/>
      <c r="Z283" s="10"/>
      <c r="AA283" s="10"/>
      <c r="AB283" s="10"/>
    </row>
    <row r="284" spans="1:28" ht="13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25"/>
      <c r="O284" s="125"/>
      <c r="P284" s="125"/>
      <c r="Q284" s="125"/>
      <c r="R284" s="125"/>
      <c r="S284" s="125"/>
      <c r="T284" s="125"/>
      <c r="U284" s="125"/>
      <c r="V284" s="125"/>
      <c r="W284" s="10"/>
      <c r="X284" s="10"/>
      <c r="Y284" s="10"/>
      <c r="Z284" s="10"/>
      <c r="AA284" s="10"/>
      <c r="AB284" s="10"/>
    </row>
    <row r="285" spans="1:28" ht="13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25"/>
      <c r="O285" s="125"/>
      <c r="P285" s="125"/>
      <c r="Q285" s="125"/>
      <c r="R285" s="125"/>
      <c r="S285" s="125"/>
      <c r="T285" s="125"/>
      <c r="U285" s="125"/>
      <c r="V285" s="125"/>
      <c r="W285" s="10"/>
      <c r="X285" s="10"/>
      <c r="Y285" s="10"/>
      <c r="Z285" s="10"/>
      <c r="AA285" s="10"/>
      <c r="AB285" s="10"/>
    </row>
    <row r="286" spans="1:28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25"/>
      <c r="O286" s="125"/>
      <c r="P286" s="125"/>
      <c r="Q286" s="125"/>
      <c r="R286" s="125"/>
      <c r="S286" s="125"/>
      <c r="T286" s="125"/>
      <c r="U286" s="125"/>
      <c r="V286" s="125"/>
      <c r="W286" s="10"/>
      <c r="X286" s="10"/>
      <c r="Y286" s="10"/>
      <c r="Z286" s="10"/>
      <c r="AA286" s="10"/>
      <c r="AB286" s="10"/>
    </row>
    <row r="287" spans="1:28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25"/>
      <c r="O287" s="125"/>
      <c r="P287" s="125"/>
      <c r="Q287" s="125"/>
      <c r="R287" s="125"/>
      <c r="S287" s="125"/>
      <c r="T287" s="125"/>
      <c r="U287" s="125"/>
      <c r="V287" s="125"/>
      <c r="W287" s="10"/>
      <c r="X287" s="10"/>
      <c r="Y287" s="10"/>
      <c r="Z287" s="10"/>
      <c r="AA287" s="10"/>
      <c r="AB287" s="10"/>
    </row>
    <row r="288" spans="1:28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25"/>
      <c r="O288" s="125"/>
      <c r="P288" s="125"/>
      <c r="Q288" s="125"/>
      <c r="R288" s="125"/>
      <c r="S288" s="125"/>
      <c r="T288" s="125"/>
      <c r="U288" s="125"/>
      <c r="V288" s="125"/>
      <c r="W288" s="10"/>
      <c r="X288" s="10"/>
      <c r="Y288" s="10"/>
      <c r="Z288" s="10"/>
      <c r="AA288" s="10"/>
      <c r="AB288" s="10"/>
    </row>
    <row r="289" spans="1:28" ht="13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25"/>
      <c r="O289" s="125"/>
      <c r="P289" s="125"/>
      <c r="Q289" s="125"/>
      <c r="R289" s="125"/>
      <c r="S289" s="125"/>
      <c r="T289" s="125"/>
      <c r="U289" s="125"/>
      <c r="V289" s="125"/>
      <c r="W289" s="10"/>
      <c r="X289" s="10"/>
      <c r="Y289" s="10"/>
      <c r="Z289" s="10"/>
      <c r="AA289" s="10"/>
      <c r="AB289" s="10"/>
    </row>
    <row r="290" spans="1:28" ht="13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25"/>
      <c r="O290" s="125"/>
      <c r="P290" s="125"/>
      <c r="Q290" s="125"/>
      <c r="R290" s="125"/>
      <c r="S290" s="125"/>
      <c r="T290" s="125"/>
      <c r="U290" s="125"/>
      <c r="V290" s="125"/>
      <c r="W290" s="10"/>
      <c r="X290" s="10"/>
      <c r="Y290" s="10"/>
      <c r="Z290" s="10"/>
      <c r="AA290" s="10"/>
      <c r="AB290" s="10"/>
    </row>
    <row r="291" spans="1:28" ht="13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25"/>
      <c r="O291" s="125"/>
      <c r="P291" s="125"/>
      <c r="Q291" s="125"/>
      <c r="R291" s="125"/>
      <c r="S291" s="125"/>
      <c r="T291" s="125"/>
      <c r="U291" s="125"/>
      <c r="V291" s="125"/>
      <c r="W291" s="10"/>
      <c r="X291" s="10"/>
      <c r="Y291" s="10"/>
      <c r="Z291" s="10"/>
      <c r="AA291" s="10"/>
      <c r="AB291" s="10"/>
    </row>
    <row r="292" spans="1:28" ht="13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25"/>
      <c r="O292" s="125"/>
      <c r="P292" s="125"/>
      <c r="Q292" s="125"/>
      <c r="R292" s="125"/>
      <c r="S292" s="125"/>
      <c r="T292" s="125"/>
      <c r="U292" s="125"/>
      <c r="V292" s="125"/>
      <c r="W292" s="10"/>
      <c r="X292" s="10"/>
      <c r="Y292" s="10"/>
      <c r="Z292" s="10"/>
      <c r="AA292" s="10"/>
      <c r="AB292" s="10"/>
    </row>
    <row r="293" spans="1:28" ht="13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25"/>
      <c r="O293" s="125"/>
      <c r="P293" s="125"/>
      <c r="Q293" s="125"/>
      <c r="R293" s="125"/>
      <c r="S293" s="125"/>
      <c r="T293" s="125"/>
      <c r="U293" s="125"/>
      <c r="V293" s="125"/>
      <c r="W293" s="10"/>
      <c r="X293" s="10"/>
      <c r="Y293" s="10"/>
      <c r="Z293" s="10"/>
      <c r="AA293" s="10"/>
      <c r="AB293" s="10"/>
    </row>
    <row r="294" spans="1:28" ht="13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25"/>
      <c r="O294" s="125"/>
      <c r="P294" s="125"/>
      <c r="Q294" s="125"/>
      <c r="R294" s="125"/>
      <c r="S294" s="125"/>
      <c r="T294" s="125"/>
      <c r="U294" s="125"/>
      <c r="V294" s="125"/>
      <c r="W294" s="10"/>
      <c r="X294" s="10"/>
      <c r="Y294" s="10"/>
      <c r="Z294" s="10"/>
      <c r="AA294" s="10"/>
      <c r="AB294" s="10"/>
    </row>
    <row r="295" spans="1:28" ht="13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25"/>
      <c r="O295" s="125"/>
      <c r="P295" s="125"/>
      <c r="Q295" s="125"/>
      <c r="R295" s="125"/>
      <c r="S295" s="125"/>
      <c r="T295" s="125"/>
      <c r="U295" s="125"/>
      <c r="V295" s="125"/>
      <c r="W295" s="10"/>
      <c r="X295" s="10"/>
      <c r="Y295" s="10"/>
      <c r="Z295" s="10"/>
      <c r="AA295" s="10"/>
      <c r="AB295" s="10"/>
    </row>
    <row r="296" spans="1:28" ht="13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25"/>
      <c r="O296" s="125"/>
      <c r="P296" s="125"/>
      <c r="Q296" s="125"/>
      <c r="R296" s="125"/>
      <c r="S296" s="125"/>
      <c r="T296" s="125"/>
      <c r="U296" s="125"/>
      <c r="V296" s="125"/>
      <c r="W296" s="10"/>
      <c r="X296" s="10"/>
      <c r="Y296" s="10"/>
      <c r="Z296" s="10"/>
      <c r="AA296" s="10"/>
      <c r="AB296" s="10"/>
    </row>
    <row r="297" spans="1:28" ht="13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25"/>
      <c r="O297" s="125"/>
      <c r="P297" s="125"/>
      <c r="Q297" s="125"/>
      <c r="R297" s="125"/>
      <c r="S297" s="125"/>
      <c r="T297" s="125"/>
      <c r="U297" s="125"/>
      <c r="V297" s="125"/>
      <c r="W297" s="10"/>
      <c r="X297" s="10"/>
      <c r="Y297" s="10"/>
      <c r="Z297" s="10"/>
      <c r="AA297" s="10"/>
      <c r="AB297" s="10"/>
    </row>
    <row r="298" spans="1:28" ht="13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25"/>
      <c r="O298" s="125"/>
      <c r="P298" s="125"/>
      <c r="Q298" s="125"/>
      <c r="R298" s="125"/>
      <c r="S298" s="125"/>
      <c r="T298" s="125"/>
      <c r="U298" s="125"/>
      <c r="V298" s="125"/>
      <c r="W298" s="10"/>
      <c r="X298" s="10"/>
      <c r="Y298" s="10"/>
      <c r="Z298" s="10"/>
      <c r="AA298" s="10"/>
      <c r="AB298" s="10"/>
    </row>
    <row r="299" spans="1:28" ht="13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25"/>
      <c r="O299" s="125"/>
      <c r="P299" s="125"/>
      <c r="Q299" s="125"/>
      <c r="R299" s="125"/>
      <c r="S299" s="125"/>
      <c r="T299" s="125"/>
      <c r="U299" s="125"/>
      <c r="V299" s="125"/>
      <c r="W299" s="10"/>
      <c r="X299" s="10"/>
      <c r="Y299" s="10"/>
      <c r="Z299" s="10"/>
      <c r="AA299" s="10"/>
      <c r="AB299" s="10"/>
    </row>
    <row r="300" spans="1:28" ht="13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25"/>
      <c r="O300" s="125"/>
      <c r="P300" s="125"/>
      <c r="Q300" s="125"/>
      <c r="R300" s="125"/>
      <c r="S300" s="125"/>
      <c r="T300" s="125"/>
      <c r="U300" s="125"/>
      <c r="V300" s="125"/>
      <c r="W300" s="10"/>
      <c r="X300" s="10"/>
      <c r="Y300" s="10"/>
      <c r="Z300" s="10"/>
      <c r="AA300" s="10"/>
      <c r="AB300" s="10"/>
    </row>
    <row r="301" spans="1:28" ht="13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25"/>
      <c r="O301" s="125"/>
      <c r="P301" s="125"/>
      <c r="Q301" s="125"/>
      <c r="R301" s="125"/>
      <c r="S301" s="125"/>
      <c r="T301" s="125"/>
      <c r="U301" s="125"/>
      <c r="V301" s="125"/>
      <c r="W301" s="10"/>
      <c r="X301" s="10"/>
      <c r="Y301" s="10"/>
      <c r="Z301" s="10"/>
      <c r="AA301" s="10"/>
      <c r="AB301" s="10"/>
    </row>
    <row r="302" spans="1:28" ht="13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25"/>
      <c r="O302" s="125"/>
      <c r="P302" s="125"/>
      <c r="Q302" s="125"/>
      <c r="R302" s="125"/>
      <c r="S302" s="125"/>
      <c r="T302" s="125"/>
      <c r="U302" s="125"/>
      <c r="V302" s="125"/>
      <c r="W302" s="10"/>
      <c r="X302" s="10"/>
      <c r="Y302" s="10"/>
      <c r="Z302" s="10"/>
      <c r="AA302" s="10"/>
      <c r="AB302" s="10"/>
    </row>
    <row r="303" spans="1:28" ht="13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25"/>
      <c r="O303" s="125"/>
      <c r="P303" s="125"/>
      <c r="Q303" s="125"/>
      <c r="R303" s="125"/>
      <c r="S303" s="125"/>
      <c r="T303" s="125"/>
      <c r="U303" s="125"/>
      <c r="V303" s="125"/>
      <c r="W303" s="10"/>
      <c r="X303" s="10"/>
      <c r="Y303" s="10"/>
      <c r="Z303" s="10"/>
      <c r="AA303" s="10"/>
      <c r="AB303" s="10"/>
    </row>
    <row r="304" spans="1:28" ht="13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25"/>
      <c r="O304" s="125"/>
      <c r="P304" s="125"/>
      <c r="Q304" s="125"/>
      <c r="R304" s="125"/>
      <c r="S304" s="125"/>
      <c r="T304" s="125"/>
      <c r="U304" s="125"/>
      <c r="V304" s="125"/>
      <c r="W304" s="10"/>
      <c r="X304" s="10"/>
      <c r="Y304" s="10"/>
      <c r="Z304" s="10"/>
      <c r="AA304" s="10"/>
      <c r="AB304" s="10"/>
    </row>
    <row r="305" spans="1:28" ht="13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25"/>
      <c r="O305" s="125"/>
      <c r="P305" s="125"/>
      <c r="Q305" s="125"/>
      <c r="R305" s="125"/>
      <c r="S305" s="125"/>
      <c r="T305" s="125"/>
      <c r="U305" s="125"/>
      <c r="V305" s="125"/>
      <c r="W305" s="10"/>
      <c r="X305" s="10"/>
      <c r="Y305" s="10"/>
      <c r="Z305" s="10"/>
      <c r="AA305" s="10"/>
      <c r="AB305" s="10"/>
    </row>
    <row r="306" spans="1:28" ht="13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25"/>
      <c r="O306" s="125"/>
      <c r="P306" s="125"/>
      <c r="Q306" s="125"/>
      <c r="R306" s="125"/>
      <c r="S306" s="125"/>
      <c r="T306" s="125"/>
      <c r="U306" s="125"/>
      <c r="V306" s="125"/>
      <c r="W306" s="10"/>
      <c r="X306" s="10"/>
      <c r="Y306" s="10"/>
      <c r="Z306" s="10"/>
      <c r="AA306" s="10"/>
      <c r="AB306" s="10"/>
    </row>
    <row r="307" spans="1:28" ht="13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25"/>
      <c r="O307" s="125"/>
      <c r="P307" s="125"/>
      <c r="Q307" s="125"/>
      <c r="R307" s="125"/>
      <c r="S307" s="125"/>
      <c r="T307" s="125"/>
      <c r="U307" s="125"/>
      <c r="V307" s="125"/>
      <c r="W307" s="10"/>
      <c r="X307" s="10"/>
      <c r="Y307" s="10"/>
      <c r="Z307" s="10"/>
      <c r="AA307" s="10"/>
      <c r="AB307" s="10"/>
    </row>
    <row r="308" spans="1:28" ht="13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25"/>
      <c r="O308" s="125"/>
      <c r="P308" s="125"/>
      <c r="Q308" s="125"/>
      <c r="R308" s="125"/>
      <c r="S308" s="125"/>
      <c r="T308" s="125"/>
      <c r="U308" s="125"/>
      <c r="V308" s="125"/>
      <c r="W308" s="10"/>
      <c r="X308" s="10"/>
      <c r="Y308" s="10"/>
      <c r="Z308" s="10"/>
      <c r="AA308" s="10"/>
      <c r="AB308" s="10"/>
    </row>
    <row r="309" spans="1:28" ht="13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25"/>
      <c r="O309" s="125"/>
      <c r="P309" s="125"/>
      <c r="Q309" s="125"/>
      <c r="R309" s="125"/>
      <c r="S309" s="125"/>
      <c r="T309" s="125"/>
      <c r="U309" s="125"/>
      <c r="V309" s="125"/>
      <c r="W309" s="10"/>
      <c r="X309" s="10"/>
      <c r="Y309" s="10"/>
      <c r="Z309" s="10"/>
      <c r="AA309" s="10"/>
      <c r="AB309" s="10"/>
    </row>
    <row r="310" spans="1:28" ht="13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25"/>
      <c r="O310" s="125"/>
      <c r="P310" s="125"/>
      <c r="Q310" s="125"/>
      <c r="R310" s="125"/>
      <c r="S310" s="125"/>
      <c r="T310" s="125"/>
      <c r="U310" s="125"/>
      <c r="V310" s="125"/>
      <c r="W310" s="10"/>
      <c r="X310" s="10"/>
      <c r="Y310" s="10"/>
      <c r="Z310" s="10"/>
      <c r="AA310" s="10"/>
      <c r="AB310" s="10"/>
    </row>
    <row r="311" spans="1:28" ht="13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25"/>
      <c r="O311" s="125"/>
      <c r="P311" s="125"/>
      <c r="Q311" s="125"/>
      <c r="R311" s="125"/>
      <c r="S311" s="125"/>
      <c r="T311" s="125"/>
      <c r="U311" s="125"/>
      <c r="V311" s="125"/>
      <c r="W311" s="10"/>
      <c r="X311" s="10"/>
      <c r="Y311" s="10"/>
      <c r="Z311" s="10"/>
      <c r="AA311" s="10"/>
      <c r="AB311" s="10"/>
    </row>
    <row r="312" spans="1:28" ht="13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25"/>
      <c r="O312" s="125"/>
      <c r="P312" s="125"/>
      <c r="Q312" s="125"/>
      <c r="R312" s="125"/>
      <c r="S312" s="125"/>
      <c r="T312" s="125"/>
      <c r="U312" s="125"/>
      <c r="V312" s="125"/>
      <c r="W312" s="10"/>
      <c r="X312" s="10"/>
      <c r="Y312" s="10"/>
      <c r="Z312" s="10"/>
      <c r="AA312" s="10"/>
      <c r="AB312" s="10"/>
    </row>
    <row r="313" spans="1:28" ht="13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25"/>
      <c r="O313" s="125"/>
      <c r="P313" s="125"/>
      <c r="Q313" s="125"/>
      <c r="R313" s="125"/>
      <c r="S313" s="125"/>
      <c r="T313" s="125"/>
      <c r="U313" s="125"/>
      <c r="V313" s="125"/>
      <c r="W313" s="10"/>
      <c r="X313" s="10"/>
      <c r="Y313" s="10"/>
      <c r="Z313" s="10"/>
      <c r="AA313" s="10"/>
      <c r="AB313" s="10"/>
    </row>
    <row r="314" spans="1:28" ht="13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25"/>
      <c r="O314" s="125"/>
      <c r="P314" s="125"/>
      <c r="Q314" s="125"/>
      <c r="R314" s="125"/>
      <c r="S314" s="125"/>
      <c r="T314" s="125"/>
      <c r="U314" s="125"/>
      <c r="V314" s="125"/>
      <c r="W314" s="10"/>
      <c r="X314" s="10"/>
      <c r="Y314" s="10"/>
      <c r="Z314" s="10"/>
      <c r="AA314" s="10"/>
      <c r="AB314" s="10"/>
    </row>
    <row r="315" spans="1:28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25"/>
      <c r="O315" s="125"/>
      <c r="P315" s="125"/>
      <c r="Q315" s="125"/>
      <c r="R315" s="125"/>
      <c r="S315" s="125"/>
      <c r="T315" s="125"/>
      <c r="U315" s="125"/>
      <c r="V315" s="125"/>
      <c r="W315" s="10"/>
      <c r="X315" s="10"/>
      <c r="Y315" s="10"/>
      <c r="Z315" s="10"/>
      <c r="AA315" s="10"/>
      <c r="AB315" s="10"/>
    </row>
    <row r="316" spans="1:28" ht="13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25"/>
      <c r="O316" s="125"/>
      <c r="P316" s="125"/>
      <c r="Q316" s="125"/>
      <c r="R316" s="125"/>
      <c r="S316" s="125"/>
      <c r="T316" s="125"/>
      <c r="U316" s="125"/>
      <c r="V316" s="125"/>
      <c r="W316" s="10"/>
      <c r="X316" s="10"/>
      <c r="Y316" s="10"/>
      <c r="Z316" s="10"/>
      <c r="AA316" s="10"/>
      <c r="AB316" s="10"/>
    </row>
    <row r="317" spans="1:28" ht="13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25"/>
      <c r="O317" s="125"/>
      <c r="P317" s="125"/>
      <c r="Q317" s="125"/>
      <c r="R317" s="125"/>
      <c r="S317" s="125"/>
      <c r="T317" s="125"/>
      <c r="U317" s="125"/>
      <c r="V317" s="125"/>
      <c r="W317" s="10"/>
      <c r="X317" s="10"/>
      <c r="Y317" s="10"/>
      <c r="Z317" s="10"/>
      <c r="AA317" s="10"/>
      <c r="AB317" s="10"/>
    </row>
    <row r="318" spans="1:28" ht="13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25"/>
      <c r="O318" s="125"/>
      <c r="P318" s="125"/>
      <c r="Q318" s="125"/>
      <c r="R318" s="125"/>
      <c r="S318" s="125"/>
      <c r="T318" s="125"/>
      <c r="U318" s="125"/>
      <c r="V318" s="125"/>
      <c r="W318" s="10"/>
      <c r="X318" s="10"/>
      <c r="Y318" s="10"/>
      <c r="Z318" s="10"/>
      <c r="AA318" s="10"/>
      <c r="AB318" s="10"/>
    </row>
    <row r="319" spans="1:28" ht="13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25"/>
      <c r="O319" s="125"/>
      <c r="P319" s="125"/>
      <c r="Q319" s="125"/>
      <c r="R319" s="125"/>
      <c r="S319" s="125"/>
      <c r="T319" s="125"/>
      <c r="U319" s="125"/>
      <c r="V319" s="125"/>
      <c r="W319" s="10"/>
      <c r="X319" s="10"/>
      <c r="Y319" s="10"/>
      <c r="Z319" s="10"/>
      <c r="AA319" s="10"/>
      <c r="AB319" s="10"/>
    </row>
    <row r="320" spans="1:28" ht="13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25"/>
      <c r="O320" s="125"/>
      <c r="P320" s="125"/>
      <c r="Q320" s="125"/>
      <c r="R320" s="125"/>
      <c r="S320" s="125"/>
      <c r="T320" s="125"/>
      <c r="U320" s="125"/>
      <c r="V320" s="125"/>
      <c r="W320" s="10"/>
      <c r="X320" s="10"/>
      <c r="Y320" s="10"/>
      <c r="Z320" s="10"/>
      <c r="AA320" s="10"/>
      <c r="AB320" s="10"/>
    </row>
    <row r="321" spans="1:28" ht="13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25"/>
      <c r="O321" s="125"/>
      <c r="P321" s="125"/>
      <c r="Q321" s="125"/>
      <c r="R321" s="125"/>
      <c r="S321" s="125"/>
      <c r="T321" s="125"/>
      <c r="U321" s="125"/>
      <c r="V321" s="125"/>
      <c r="W321" s="10"/>
      <c r="X321" s="10"/>
      <c r="Y321" s="10"/>
      <c r="Z321" s="10"/>
      <c r="AA321" s="10"/>
      <c r="AB321" s="10"/>
    </row>
    <row r="322" spans="1:28" ht="13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25"/>
      <c r="O322" s="125"/>
      <c r="P322" s="125"/>
      <c r="Q322" s="125"/>
      <c r="R322" s="125"/>
      <c r="S322" s="125"/>
      <c r="T322" s="125"/>
      <c r="U322" s="125"/>
      <c r="V322" s="125"/>
      <c r="W322" s="10"/>
      <c r="X322" s="10"/>
      <c r="Y322" s="10"/>
      <c r="Z322" s="10"/>
      <c r="AA322" s="10"/>
      <c r="AB322" s="10"/>
    </row>
    <row r="323" spans="1:28" ht="13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25"/>
      <c r="O323" s="125"/>
      <c r="P323" s="125"/>
      <c r="Q323" s="125"/>
      <c r="R323" s="125"/>
      <c r="S323" s="125"/>
      <c r="T323" s="125"/>
      <c r="U323" s="125"/>
      <c r="V323" s="125"/>
      <c r="W323" s="10"/>
      <c r="X323" s="10"/>
      <c r="Y323" s="10"/>
      <c r="Z323" s="10"/>
      <c r="AA323" s="10"/>
      <c r="AB323" s="10"/>
    </row>
    <row r="324" spans="1:28" ht="13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25"/>
      <c r="O324" s="125"/>
      <c r="P324" s="125"/>
      <c r="Q324" s="125"/>
      <c r="R324" s="125"/>
      <c r="S324" s="125"/>
      <c r="T324" s="125"/>
      <c r="U324" s="125"/>
      <c r="V324" s="125"/>
      <c r="W324" s="10"/>
      <c r="X324" s="10"/>
      <c r="Y324" s="10"/>
      <c r="Z324" s="10"/>
      <c r="AA324" s="10"/>
      <c r="AB324" s="10"/>
    </row>
    <row r="325" spans="1:28" ht="13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25"/>
      <c r="O325" s="125"/>
      <c r="P325" s="125"/>
      <c r="Q325" s="125"/>
      <c r="R325" s="125"/>
      <c r="S325" s="125"/>
      <c r="T325" s="125"/>
      <c r="U325" s="125"/>
      <c r="V325" s="125"/>
      <c r="W325" s="10"/>
      <c r="X325" s="10"/>
      <c r="Y325" s="10"/>
      <c r="Z325" s="10"/>
      <c r="AA325" s="10"/>
      <c r="AB325" s="10"/>
    </row>
    <row r="326" spans="1:28" ht="13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25"/>
      <c r="O326" s="125"/>
      <c r="P326" s="125"/>
      <c r="Q326" s="125"/>
      <c r="R326" s="125"/>
      <c r="S326" s="125"/>
      <c r="T326" s="125"/>
      <c r="U326" s="125"/>
      <c r="V326" s="125"/>
      <c r="W326" s="10"/>
      <c r="X326" s="10"/>
      <c r="Y326" s="10"/>
      <c r="Z326" s="10"/>
      <c r="AA326" s="10"/>
      <c r="AB326" s="10"/>
    </row>
    <row r="327" spans="1:28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25"/>
      <c r="O327" s="125"/>
      <c r="P327" s="125"/>
      <c r="Q327" s="125"/>
      <c r="R327" s="125"/>
      <c r="S327" s="125"/>
      <c r="T327" s="125"/>
      <c r="U327" s="125"/>
      <c r="V327" s="125"/>
      <c r="W327" s="10"/>
      <c r="X327" s="10"/>
      <c r="Y327" s="10"/>
      <c r="Z327" s="10"/>
      <c r="AA327" s="10"/>
      <c r="AB327" s="10"/>
    </row>
    <row r="328" spans="1:28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25"/>
      <c r="O328" s="125"/>
      <c r="P328" s="125"/>
      <c r="Q328" s="125"/>
      <c r="R328" s="125"/>
      <c r="S328" s="125"/>
      <c r="T328" s="125"/>
      <c r="U328" s="125"/>
      <c r="V328" s="125"/>
      <c r="W328" s="10"/>
      <c r="X328" s="10"/>
      <c r="Y328" s="10"/>
      <c r="Z328" s="10"/>
      <c r="AA328" s="10"/>
      <c r="AB328" s="10"/>
    </row>
    <row r="329" spans="1:28" ht="13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25"/>
      <c r="O329" s="125"/>
      <c r="P329" s="125"/>
      <c r="Q329" s="125"/>
      <c r="R329" s="125"/>
      <c r="S329" s="125"/>
      <c r="T329" s="125"/>
      <c r="U329" s="125"/>
      <c r="V329" s="125"/>
      <c r="W329" s="10"/>
      <c r="X329" s="10"/>
      <c r="Y329" s="10"/>
      <c r="Z329" s="10"/>
      <c r="AA329" s="10"/>
      <c r="AB329" s="10"/>
    </row>
    <row r="330" spans="1:28" ht="13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25"/>
      <c r="O330" s="125"/>
      <c r="P330" s="125"/>
      <c r="Q330" s="125"/>
      <c r="R330" s="125"/>
      <c r="S330" s="125"/>
      <c r="T330" s="125"/>
      <c r="U330" s="125"/>
      <c r="V330" s="125"/>
      <c r="W330" s="10"/>
      <c r="X330" s="10"/>
      <c r="Y330" s="10"/>
      <c r="Z330" s="10"/>
      <c r="AA330" s="10"/>
      <c r="AB330" s="10"/>
    </row>
    <row r="331" spans="1:28" ht="13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25"/>
      <c r="O331" s="125"/>
      <c r="P331" s="125"/>
      <c r="Q331" s="125"/>
      <c r="R331" s="125"/>
      <c r="S331" s="125"/>
      <c r="T331" s="125"/>
      <c r="U331" s="125"/>
      <c r="V331" s="125"/>
      <c r="W331" s="10"/>
      <c r="X331" s="10"/>
      <c r="Y331" s="10"/>
      <c r="Z331" s="10"/>
      <c r="AA331" s="10"/>
      <c r="AB331" s="10"/>
    </row>
    <row r="332" spans="1:28" ht="13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25"/>
      <c r="O332" s="125"/>
      <c r="P332" s="125"/>
      <c r="Q332" s="125"/>
      <c r="R332" s="125"/>
      <c r="S332" s="125"/>
      <c r="T332" s="125"/>
      <c r="U332" s="125"/>
      <c r="V332" s="125"/>
      <c r="W332" s="10"/>
      <c r="X332" s="10"/>
      <c r="Y332" s="10"/>
      <c r="Z332" s="10"/>
      <c r="AA332" s="10"/>
      <c r="AB332" s="10"/>
    </row>
    <row r="333" spans="1:28" ht="13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25"/>
      <c r="O333" s="125"/>
      <c r="P333" s="125"/>
      <c r="Q333" s="125"/>
      <c r="R333" s="125"/>
      <c r="S333" s="125"/>
      <c r="T333" s="125"/>
      <c r="U333" s="125"/>
      <c r="V333" s="125"/>
      <c r="W333" s="10"/>
      <c r="X333" s="10"/>
      <c r="Y333" s="10"/>
      <c r="Z333" s="10"/>
      <c r="AA333" s="10"/>
      <c r="AB333" s="10"/>
    </row>
    <row r="334" spans="1:28" ht="13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25"/>
      <c r="O334" s="125"/>
      <c r="P334" s="125"/>
      <c r="Q334" s="125"/>
      <c r="R334" s="125"/>
      <c r="S334" s="125"/>
      <c r="T334" s="125"/>
      <c r="U334" s="125"/>
      <c r="V334" s="125"/>
      <c r="W334" s="10"/>
      <c r="X334" s="10"/>
      <c r="Y334" s="10"/>
      <c r="Z334" s="10"/>
      <c r="AA334" s="10"/>
      <c r="AB334" s="10"/>
    </row>
    <row r="335" spans="1:28" ht="13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25"/>
      <c r="O335" s="125"/>
      <c r="P335" s="125"/>
      <c r="Q335" s="125"/>
      <c r="R335" s="125"/>
      <c r="S335" s="125"/>
      <c r="T335" s="125"/>
      <c r="U335" s="125"/>
      <c r="V335" s="125"/>
      <c r="W335" s="10"/>
      <c r="X335" s="10"/>
      <c r="Y335" s="10"/>
      <c r="Z335" s="10"/>
      <c r="AA335" s="10"/>
      <c r="AB335" s="10"/>
    </row>
    <row r="336" spans="1:28" ht="13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25"/>
      <c r="O336" s="125"/>
      <c r="P336" s="125"/>
      <c r="Q336" s="125"/>
      <c r="R336" s="125"/>
      <c r="S336" s="125"/>
      <c r="T336" s="125"/>
      <c r="U336" s="125"/>
      <c r="V336" s="125"/>
      <c r="W336" s="10"/>
      <c r="X336" s="10"/>
      <c r="Y336" s="10"/>
      <c r="Z336" s="10"/>
      <c r="AA336" s="10"/>
      <c r="AB336" s="10"/>
    </row>
    <row r="337" spans="1:28" ht="13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25"/>
      <c r="O337" s="125"/>
      <c r="P337" s="125"/>
      <c r="Q337" s="125"/>
      <c r="R337" s="125"/>
      <c r="S337" s="125"/>
      <c r="T337" s="125"/>
      <c r="U337" s="125"/>
      <c r="V337" s="125"/>
      <c r="W337" s="10"/>
      <c r="X337" s="10"/>
      <c r="Y337" s="10"/>
      <c r="Z337" s="10"/>
      <c r="AA337" s="10"/>
      <c r="AB337" s="10"/>
    </row>
    <row r="338" spans="1:28" ht="13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25"/>
      <c r="O338" s="125"/>
      <c r="P338" s="125"/>
      <c r="Q338" s="125"/>
      <c r="R338" s="125"/>
      <c r="S338" s="125"/>
      <c r="T338" s="125"/>
      <c r="U338" s="125"/>
      <c r="V338" s="125"/>
      <c r="W338" s="10"/>
      <c r="X338" s="10"/>
      <c r="Y338" s="10"/>
      <c r="Z338" s="10"/>
      <c r="AA338" s="10"/>
      <c r="AB338" s="10"/>
    </row>
    <row r="339" spans="1:28" ht="13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25"/>
      <c r="O339" s="125"/>
      <c r="P339" s="125"/>
      <c r="Q339" s="125"/>
      <c r="R339" s="125"/>
      <c r="S339" s="125"/>
      <c r="T339" s="125"/>
      <c r="U339" s="125"/>
      <c r="V339" s="125"/>
      <c r="W339" s="10"/>
      <c r="X339" s="10"/>
      <c r="Y339" s="10"/>
      <c r="Z339" s="10"/>
      <c r="AA339" s="10"/>
      <c r="AB339" s="10"/>
    </row>
    <row r="340" spans="1:28" ht="13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25"/>
      <c r="O340" s="125"/>
      <c r="P340" s="125"/>
      <c r="Q340" s="125"/>
      <c r="R340" s="125"/>
      <c r="S340" s="125"/>
      <c r="T340" s="125"/>
      <c r="U340" s="125"/>
      <c r="V340" s="125"/>
      <c r="W340" s="10"/>
      <c r="X340" s="10"/>
      <c r="Y340" s="10"/>
      <c r="Z340" s="10"/>
      <c r="AA340" s="10"/>
      <c r="AB340" s="10"/>
    </row>
    <row r="341" spans="1:28" ht="13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25"/>
      <c r="O341" s="125"/>
      <c r="P341" s="125"/>
      <c r="Q341" s="125"/>
      <c r="R341" s="125"/>
      <c r="S341" s="125"/>
      <c r="T341" s="125"/>
      <c r="U341" s="125"/>
      <c r="V341" s="125"/>
      <c r="W341" s="10"/>
      <c r="X341" s="10"/>
      <c r="Y341" s="10"/>
      <c r="Z341" s="10"/>
      <c r="AA341" s="10"/>
      <c r="AB341" s="10"/>
    </row>
    <row r="342" spans="1:28" ht="13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25"/>
      <c r="O342" s="125"/>
      <c r="P342" s="125"/>
      <c r="Q342" s="125"/>
      <c r="R342" s="125"/>
      <c r="S342" s="125"/>
      <c r="T342" s="125"/>
      <c r="U342" s="125"/>
      <c r="V342" s="125"/>
      <c r="W342" s="10"/>
      <c r="X342" s="10"/>
      <c r="Y342" s="10"/>
      <c r="Z342" s="10"/>
      <c r="AA342" s="10"/>
      <c r="AB342" s="10"/>
    </row>
    <row r="343" spans="1:28" ht="13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25"/>
      <c r="O343" s="125"/>
      <c r="P343" s="125"/>
      <c r="Q343" s="125"/>
      <c r="R343" s="125"/>
      <c r="S343" s="125"/>
      <c r="T343" s="125"/>
      <c r="U343" s="125"/>
      <c r="V343" s="125"/>
      <c r="W343" s="10"/>
      <c r="X343" s="10"/>
      <c r="Y343" s="10"/>
      <c r="Z343" s="10"/>
      <c r="AA343" s="10"/>
      <c r="AB343" s="10"/>
    </row>
    <row r="344" spans="1:28" ht="13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25"/>
      <c r="O344" s="125"/>
      <c r="P344" s="125"/>
      <c r="Q344" s="125"/>
      <c r="R344" s="125"/>
      <c r="S344" s="125"/>
      <c r="T344" s="125"/>
      <c r="U344" s="125"/>
      <c r="V344" s="125"/>
      <c r="W344" s="10"/>
      <c r="X344" s="10"/>
      <c r="Y344" s="10"/>
      <c r="Z344" s="10"/>
      <c r="AA344" s="10"/>
      <c r="AB344" s="10"/>
    </row>
    <row r="345" spans="1:28" ht="13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25"/>
      <c r="O345" s="125"/>
      <c r="P345" s="125"/>
      <c r="Q345" s="125"/>
      <c r="R345" s="125"/>
      <c r="S345" s="125"/>
      <c r="T345" s="125"/>
      <c r="U345" s="125"/>
      <c r="V345" s="125"/>
      <c r="W345" s="10"/>
      <c r="X345" s="10"/>
      <c r="Y345" s="10"/>
      <c r="Z345" s="10"/>
      <c r="AA345" s="10"/>
      <c r="AB345" s="10"/>
    </row>
    <row r="346" spans="1:28" ht="13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25"/>
      <c r="O346" s="125"/>
      <c r="P346" s="125"/>
      <c r="Q346" s="125"/>
      <c r="R346" s="125"/>
      <c r="S346" s="125"/>
      <c r="T346" s="125"/>
      <c r="U346" s="125"/>
      <c r="V346" s="125"/>
      <c r="W346" s="10"/>
      <c r="X346" s="10"/>
      <c r="Y346" s="10"/>
      <c r="Z346" s="10"/>
      <c r="AA346" s="10"/>
      <c r="AB346" s="10"/>
    </row>
    <row r="347" spans="1:28" ht="13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25"/>
      <c r="O347" s="125"/>
      <c r="P347" s="125"/>
      <c r="Q347" s="125"/>
      <c r="R347" s="125"/>
      <c r="S347" s="125"/>
      <c r="T347" s="125"/>
      <c r="U347" s="125"/>
      <c r="V347" s="125"/>
      <c r="W347" s="10"/>
      <c r="X347" s="10"/>
      <c r="Y347" s="10"/>
      <c r="Z347" s="10"/>
      <c r="AA347" s="10"/>
      <c r="AB347" s="10"/>
    </row>
    <row r="348" spans="1:28" ht="13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25"/>
      <c r="O348" s="125"/>
      <c r="P348" s="125"/>
      <c r="Q348" s="125"/>
      <c r="R348" s="125"/>
      <c r="S348" s="125"/>
      <c r="T348" s="125"/>
      <c r="U348" s="125"/>
      <c r="V348" s="125"/>
      <c r="W348" s="10"/>
      <c r="X348" s="10"/>
      <c r="Y348" s="10"/>
      <c r="Z348" s="10"/>
      <c r="AA348" s="10"/>
      <c r="AB348" s="10"/>
    </row>
    <row r="349" spans="1:28" ht="13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25"/>
      <c r="O349" s="125"/>
      <c r="P349" s="125"/>
      <c r="Q349" s="125"/>
      <c r="R349" s="125"/>
      <c r="S349" s="125"/>
      <c r="T349" s="125"/>
      <c r="U349" s="125"/>
      <c r="V349" s="125"/>
      <c r="W349" s="10"/>
      <c r="X349" s="10"/>
      <c r="Y349" s="10"/>
      <c r="Z349" s="10"/>
      <c r="AA349" s="10"/>
      <c r="AB349" s="10"/>
    </row>
    <row r="350" spans="1:28" ht="13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25"/>
      <c r="O350" s="125"/>
      <c r="P350" s="125"/>
      <c r="Q350" s="125"/>
      <c r="R350" s="125"/>
      <c r="S350" s="125"/>
      <c r="T350" s="125"/>
      <c r="U350" s="125"/>
      <c r="V350" s="125"/>
      <c r="W350" s="10"/>
      <c r="X350" s="10"/>
      <c r="Y350" s="10"/>
      <c r="Z350" s="10"/>
      <c r="AA350" s="10"/>
      <c r="AB350" s="10"/>
    </row>
    <row r="351" spans="1:28" ht="13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25"/>
      <c r="O351" s="125"/>
      <c r="P351" s="125"/>
      <c r="Q351" s="125"/>
      <c r="R351" s="125"/>
      <c r="S351" s="125"/>
      <c r="T351" s="125"/>
      <c r="U351" s="125"/>
      <c r="V351" s="125"/>
      <c r="W351" s="10"/>
      <c r="X351" s="10"/>
      <c r="Y351" s="10"/>
      <c r="Z351" s="10"/>
      <c r="AA351" s="10"/>
      <c r="AB351" s="10"/>
    </row>
    <row r="352" spans="1:28" ht="13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25"/>
      <c r="O352" s="125"/>
      <c r="P352" s="125"/>
      <c r="Q352" s="125"/>
      <c r="R352" s="125"/>
      <c r="S352" s="125"/>
      <c r="T352" s="125"/>
      <c r="U352" s="125"/>
      <c r="V352" s="125"/>
      <c r="W352" s="10"/>
      <c r="X352" s="10"/>
      <c r="Y352" s="10"/>
      <c r="Z352" s="10"/>
      <c r="AA352" s="10"/>
      <c r="AB352" s="10"/>
    </row>
    <row r="353" spans="1:28" ht="13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25"/>
      <c r="O353" s="125"/>
      <c r="P353" s="125"/>
      <c r="Q353" s="125"/>
      <c r="R353" s="125"/>
      <c r="S353" s="125"/>
      <c r="T353" s="125"/>
      <c r="U353" s="125"/>
      <c r="V353" s="125"/>
      <c r="W353" s="10"/>
      <c r="X353" s="10"/>
      <c r="Y353" s="10"/>
      <c r="Z353" s="10"/>
      <c r="AA353" s="10"/>
      <c r="AB353" s="10"/>
    </row>
    <row r="354" spans="1:28" ht="13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25"/>
      <c r="O354" s="125"/>
      <c r="P354" s="125"/>
      <c r="Q354" s="125"/>
      <c r="R354" s="125"/>
      <c r="S354" s="125"/>
      <c r="T354" s="125"/>
      <c r="U354" s="125"/>
      <c r="V354" s="125"/>
      <c r="W354" s="10"/>
      <c r="X354" s="10"/>
      <c r="Y354" s="10"/>
      <c r="Z354" s="10"/>
      <c r="AA354" s="10"/>
      <c r="AB354" s="10"/>
    </row>
    <row r="355" spans="1:28" ht="13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25"/>
      <c r="O355" s="125"/>
      <c r="P355" s="125"/>
      <c r="Q355" s="125"/>
      <c r="R355" s="125"/>
      <c r="S355" s="125"/>
      <c r="T355" s="125"/>
      <c r="U355" s="125"/>
      <c r="V355" s="125"/>
      <c r="W355" s="10"/>
      <c r="X355" s="10"/>
      <c r="Y355" s="10"/>
      <c r="Z355" s="10"/>
      <c r="AA355" s="10"/>
      <c r="AB355" s="10"/>
    </row>
    <row r="356" spans="1:28" ht="13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25"/>
      <c r="O356" s="125"/>
      <c r="P356" s="125"/>
      <c r="Q356" s="125"/>
      <c r="R356" s="125"/>
      <c r="S356" s="125"/>
      <c r="T356" s="125"/>
      <c r="U356" s="125"/>
      <c r="V356" s="125"/>
      <c r="W356" s="10"/>
      <c r="X356" s="10"/>
      <c r="Y356" s="10"/>
      <c r="Z356" s="10"/>
      <c r="AA356" s="10"/>
      <c r="AB356" s="10"/>
    </row>
    <row r="357" spans="1:28" ht="13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25"/>
      <c r="O357" s="125"/>
      <c r="P357" s="125"/>
      <c r="Q357" s="125"/>
      <c r="R357" s="125"/>
      <c r="S357" s="125"/>
      <c r="T357" s="125"/>
      <c r="U357" s="125"/>
      <c r="V357" s="125"/>
      <c r="W357" s="10"/>
      <c r="X357" s="10"/>
      <c r="Y357" s="10"/>
      <c r="Z357" s="10"/>
      <c r="AA357" s="10"/>
      <c r="AB357" s="10"/>
    </row>
    <row r="358" spans="1:28" ht="13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25"/>
      <c r="O358" s="125"/>
      <c r="P358" s="125"/>
      <c r="Q358" s="125"/>
      <c r="R358" s="125"/>
      <c r="S358" s="125"/>
      <c r="T358" s="125"/>
      <c r="U358" s="125"/>
      <c r="V358" s="125"/>
      <c r="W358" s="10"/>
      <c r="X358" s="10"/>
      <c r="Y358" s="10"/>
      <c r="Z358" s="10"/>
      <c r="AA358" s="10"/>
      <c r="AB358" s="10"/>
    </row>
    <row r="359" spans="1:28" ht="13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25"/>
      <c r="O359" s="125"/>
      <c r="P359" s="125"/>
      <c r="Q359" s="125"/>
      <c r="R359" s="125"/>
      <c r="S359" s="125"/>
      <c r="T359" s="125"/>
      <c r="U359" s="125"/>
      <c r="V359" s="125"/>
      <c r="W359" s="10"/>
      <c r="X359" s="10"/>
      <c r="Y359" s="10"/>
      <c r="Z359" s="10"/>
      <c r="AA359" s="10"/>
      <c r="AB359" s="10"/>
    </row>
    <row r="360" spans="1:28" ht="13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25"/>
      <c r="O360" s="125"/>
      <c r="P360" s="125"/>
      <c r="Q360" s="125"/>
      <c r="R360" s="125"/>
      <c r="S360" s="125"/>
      <c r="T360" s="125"/>
      <c r="U360" s="125"/>
      <c r="V360" s="125"/>
      <c r="W360" s="10"/>
      <c r="X360" s="10"/>
      <c r="Y360" s="10"/>
      <c r="Z360" s="10"/>
      <c r="AA360" s="10"/>
      <c r="AB360" s="10"/>
    </row>
    <row r="361" spans="1:28" ht="13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25"/>
      <c r="O361" s="125"/>
      <c r="P361" s="125"/>
      <c r="Q361" s="125"/>
      <c r="R361" s="125"/>
      <c r="S361" s="125"/>
      <c r="T361" s="125"/>
      <c r="U361" s="125"/>
      <c r="V361" s="125"/>
      <c r="W361" s="10"/>
      <c r="X361" s="10"/>
      <c r="Y361" s="10"/>
      <c r="Z361" s="10"/>
      <c r="AA361" s="10"/>
      <c r="AB361" s="10"/>
    </row>
    <row r="362" spans="1:28" ht="13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25"/>
      <c r="O362" s="125"/>
      <c r="P362" s="125"/>
      <c r="Q362" s="125"/>
      <c r="R362" s="125"/>
      <c r="S362" s="125"/>
      <c r="T362" s="125"/>
      <c r="U362" s="125"/>
      <c r="V362" s="125"/>
      <c r="W362" s="10"/>
      <c r="X362" s="10"/>
      <c r="Y362" s="10"/>
      <c r="Z362" s="10"/>
      <c r="AA362" s="10"/>
      <c r="AB362" s="10"/>
    </row>
    <row r="363" spans="1:28" ht="13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25"/>
      <c r="O363" s="125"/>
      <c r="P363" s="125"/>
      <c r="Q363" s="125"/>
      <c r="R363" s="125"/>
      <c r="S363" s="125"/>
      <c r="T363" s="125"/>
      <c r="U363" s="125"/>
      <c r="V363" s="125"/>
      <c r="W363" s="10"/>
      <c r="X363" s="10"/>
      <c r="Y363" s="10"/>
      <c r="Z363" s="10"/>
      <c r="AA363" s="10"/>
      <c r="AB363" s="10"/>
    </row>
    <row r="364" spans="1:28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25"/>
      <c r="O364" s="125"/>
      <c r="P364" s="125"/>
      <c r="Q364" s="125"/>
      <c r="R364" s="125"/>
      <c r="S364" s="125"/>
      <c r="T364" s="125"/>
      <c r="U364" s="125"/>
      <c r="V364" s="125"/>
      <c r="W364" s="10"/>
      <c r="X364" s="10"/>
      <c r="Y364" s="10"/>
      <c r="Z364" s="10"/>
      <c r="AA364" s="10"/>
      <c r="AB364" s="10"/>
    </row>
    <row r="365" spans="1:28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25"/>
      <c r="O365" s="125"/>
      <c r="P365" s="125"/>
      <c r="Q365" s="125"/>
      <c r="R365" s="125"/>
      <c r="S365" s="125"/>
      <c r="T365" s="125"/>
      <c r="U365" s="125"/>
      <c r="V365" s="125"/>
      <c r="W365" s="10"/>
      <c r="X365" s="10"/>
      <c r="Y365" s="10"/>
      <c r="Z365" s="10"/>
      <c r="AA365" s="10"/>
      <c r="AB365" s="10"/>
    </row>
    <row r="366" spans="1:28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25"/>
      <c r="O366" s="125"/>
      <c r="P366" s="125"/>
      <c r="Q366" s="125"/>
      <c r="R366" s="125"/>
      <c r="S366" s="125"/>
      <c r="T366" s="125"/>
      <c r="U366" s="125"/>
      <c r="V366" s="125"/>
      <c r="W366" s="10"/>
      <c r="X366" s="10"/>
      <c r="Y366" s="10"/>
      <c r="Z366" s="10"/>
      <c r="AA366" s="10"/>
      <c r="AB366" s="10"/>
    </row>
    <row r="367" spans="1:28" ht="13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25"/>
      <c r="O367" s="125"/>
      <c r="P367" s="125"/>
      <c r="Q367" s="125"/>
      <c r="R367" s="125"/>
      <c r="S367" s="125"/>
      <c r="T367" s="125"/>
      <c r="U367" s="125"/>
      <c r="V367" s="125"/>
      <c r="W367" s="10"/>
      <c r="X367" s="10"/>
      <c r="Y367" s="10"/>
      <c r="Z367" s="10"/>
      <c r="AA367" s="10"/>
      <c r="AB367" s="10"/>
    </row>
    <row r="368" spans="1:28" ht="13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25"/>
      <c r="O368" s="125"/>
      <c r="P368" s="125"/>
      <c r="Q368" s="125"/>
      <c r="R368" s="125"/>
      <c r="S368" s="125"/>
      <c r="T368" s="125"/>
      <c r="U368" s="125"/>
      <c r="V368" s="125"/>
      <c r="W368" s="10"/>
      <c r="X368" s="10"/>
      <c r="Y368" s="10"/>
      <c r="Z368" s="10"/>
      <c r="AA368" s="10"/>
      <c r="AB368" s="10"/>
    </row>
    <row r="369" spans="1:28" ht="13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25"/>
      <c r="O369" s="125"/>
      <c r="P369" s="125"/>
      <c r="Q369" s="125"/>
      <c r="R369" s="125"/>
      <c r="S369" s="125"/>
      <c r="T369" s="125"/>
      <c r="U369" s="125"/>
      <c r="V369" s="125"/>
      <c r="W369" s="10"/>
      <c r="X369" s="10"/>
      <c r="Y369" s="10"/>
      <c r="Z369" s="10"/>
      <c r="AA369" s="10"/>
      <c r="AB369" s="10"/>
    </row>
    <row r="370" spans="1:28" ht="13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25"/>
      <c r="O370" s="125"/>
      <c r="P370" s="125"/>
      <c r="Q370" s="125"/>
      <c r="R370" s="125"/>
      <c r="S370" s="125"/>
      <c r="T370" s="125"/>
      <c r="U370" s="125"/>
      <c r="V370" s="125"/>
      <c r="W370" s="10"/>
      <c r="X370" s="10"/>
      <c r="Y370" s="10"/>
      <c r="Z370" s="10"/>
      <c r="AA370" s="10"/>
      <c r="AB370" s="10"/>
    </row>
    <row r="371" spans="1:28" ht="13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25"/>
      <c r="O371" s="125"/>
      <c r="P371" s="125"/>
      <c r="Q371" s="125"/>
      <c r="R371" s="125"/>
      <c r="S371" s="125"/>
      <c r="T371" s="125"/>
      <c r="U371" s="125"/>
      <c r="V371" s="125"/>
      <c r="W371" s="10"/>
      <c r="X371" s="10"/>
      <c r="Y371" s="10"/>
      <c r="Z371" s="10"/>
      <c r="AA371" s="10"/>
      <c r="AB371" s="10"/>
    </row>
    <row r="372" spans="1:28" ht="13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25"/>
      <c r="O372" s="125"/>
      <c r="P372" s="125"/>
      <c r="Q372" s="125"/>
      <c r="R372" s="125"/>
      <c r="S372" s="125"/>
      <c r="T372" s="125"/>
      <c r="U372" s="125"/>
      <c r="V372" s="125"/>
      <c r="W372" s="10"/>
      <c r="X372" s="10"/>
      <c r="Y372" s="10"/>
      <c r="Z372" s="10"/>
      <c r="AA372" s="10"/>
      <c r="AB372" s="10"/>
    </row>
    <row r="373" spans="1:28" ht="13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25"/>
      <c r="O373" s="125"/>
      <c r="P373" s="125"/>
      <c r="Q373" s="125"/>
      <c r="R373" s="125"/>
      <c r="S373" s="125"/>
      <c r="T373" s="125"/>
      <c r="U373" s="125"/>
      <c r="V373" s="125"/>
      <c r="W373" s="10"/>
      <c r="X373" s="10"/>
      <c r="Y373" s="10"/>
      <c r="Z373" s="10"/>
      <c r="AA373" s="10"/>
      <c r="AB373" s="10"/>
    </row>
    <row r="374" spans="1:28" ht="13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25"/>
      <c r="O374" s="125"/>
      <c r="P374" s="125"/>
      <c r="Q374" s="125"/>
      <c r="R374" s="125"/>
      <c r="S374" s="125"/>
      <c r="T374" s="125"/>
      <c r="U374" s="125"/>
      <c r="V374" s="125"/>
      <c r="W374" s="10"/>
      <c r="X374" s="10"/>
      <c r="Y374" s="10"/>
      <c r="Z374" s="10"/>
      <c r="AA374" s="10"/>
      <c r="AB374" s="10"/>
    </row>
    <row r="375" spans="1:28" ht="13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25"/>
      <c r="O375" s="125"/>
      <c r="P375" s="125"/>
      <c r="Q375" s="125"/>
      <c r="R375" s="125"/>
      <c r="S375" s="125"/>
      <c r="T375" s="125"/>
      <c r="U375" s="125"/>
      <c r="V375" s="125"/>
      <c r="W375" s="10"/>
      <c r="X375" s="10"/>
      <c r="Y375" s="10"/>
      <c r="Z375" s="10"/>
      <c r="AA375" s="10"/>
      <c r="AB375" s="10"/>
    </row>
    <row r="376" spans="1:28" ht="13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25"/>
      <c r="O376" s="125"/>
      <c r="P376" s="125"/>
      <c r="Q376" s="125"/>
      <c r="R376" s="125"/>
      <c r="S376" s="125"/>
      <c r="T376" s="125"/>
      <c r="U376" s="125"/>
      <c r="V376" s="125"/>
      <c r="W376" s="10"/>
      <c r="X376" s="10"/>
      <c r="Y376" s="10"/>
      <c r="Z376" s="10"/>
      <c r="AA376" s="10"/>
      <c r="AB376" s="10"/>
    </row>
    <row r="377" spans="1:28" ht="13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25"/>
      <c r="O377" s="125"/>
      <c r="P377" s="125"/>
      <c r="Q377" s="125"/>
      <c r="R377" s="125"/>
      <c r="S377" s="125"/>
      <c r="T377" s="125"/>
      <c r="U377" s="125"/>
      <c r="V377" s="125"/>
      <c r="W377" s="10"/>
      <c r="X377" s="10"/>
      <c r="Y377" s="10"/>
      <c r="Z377" s="10"/>
      <c r="AA377" s="10"/>
      <c r="AB377" s="10"/>
    </row>
    <row r="378" spans="1:28" ht="13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25"/>
      <c r="O378" s="125"/>
      <c r="P378" s="125"/>
      <c r="Q378" s="125"/>
      <c r="R378" s="125"/>
      <c r="S378" s="125"/>
      <c r="T378" s="125"/>
      <c r="U378" s="125"/>
      <c r="V378" s="125"/>
      <c r="W378" s="10"/>
      <c r="X378" s="10"/>
      <c r="Y378" s="10"/>
      <c r="Z378" s="10"/>
      <c r="AA378" s="10"/>
      <c r="AB378" s="10"/>
    </row>
    <row r="379" spans="1:28" ht="13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25"/>
      <c r="O379" s="125"/>
      <c r="P379" s="125"/>
      <c r="Q379" s="125"/>
      <c r="R379" s="125"/>
      <c r="S379" s="125"/>
      <c r="T379" s="125"/>
      <c r="U379" s="125"/>
      <c r="V379" s="125"/>
      <c r="W379" s="10"/>
      <c r="X379" s="10"/>
      <c r="Y379" s="10"/>
      <c r="Z379" s="10"/>
      <c r="AA379" s="10"/>
      <c r="AB379" s="10"/>
    </row>
    <row r="380" spans="1:28" ht="13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25"/>
      <c r="O380" s="125"/>
      <c r="P380" s="125"/>
      <c r="Q380" s="125"/>
      <c r="R380" s="125"/>
      <c r="S380" s="125"/>
      <c r="T380" s="125"/>
      <c r="U380" s="125"/>
      <c r="V380" s="125"/>
      <c r="W380" s="10"/>
      <c r="X380" s="10"/>
      <c r="Y380" s="10"/>
      <c r="Z380" s="10"/>
      <c r="AA380" s="10"/>
      <c r="AB380" s="10"/>
    </row>
    <row r="381" spans="1:28" ht="13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25"/>
      <c r="O381" s="125"/>
      <c r="P381" s="125"/>
      <c r="Q381" s="125"/>
      <c r="R381" s="125"/>
      <c r="S381" s="125"/>
      <c r="T381" s="125"/>
      <c r="U381" s="125"/>
      <c r="V381" s="125"/>
      <c r="W381" s="10"/>
      <c r="X381" s="10"/>
      <c r="Y381" s="10"/>
      <c r="Z381" s="10"/>
      <c r="AA381" s="10"/>
      <c r="AB381" s="10"/>
    </row>
    <row r="382" spans="1:28" ht="13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25"/>
      <c r="O382" s="125"/>
      <c r="P382" s="125"/>
      <c r="Q382" s="125"/>
      <c r="R382" s="125"/>
      <c r="S382" s="125"/>
      <c r="T382" s="125"/>
      <c r="U382" s="125"/>
      <c r="V382" s="125"/>
      <c r="W382" s="10"/>
      <c r="X382" s="10"/>
      <c r="Y382" s="10"/>
      <c r="Z382" s="10"/>
      <c r="AA382" s="10"/>
      <c r="AB382" s="10"/>
    </row>
    <row r="383" spans="1:28" ht="13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25"/>
      <c r="O383" s="125"/>
      <c r="P383" s="125"/>
      <c r="Q383" s="125"/>
      <c r="R383" s="125"/>
      <c r="S383" s="125"/>
      <c r="T383" s="125"/>
      <c r="U383" s="125"/>
      <c r="V383" s="125"/>
      <c r="W383" s="10"/>
      <c r="X383" s="10"/>
      <c r="Y383" s="10"/>
      <c r="Z383" s="10"/>
      <c r="AA383" s="10"/>
      <c r="AB383" s="10"/>
    </row>
    <row r="384" spans="1:28" ht="13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25"/>
      <c r="O384" s="125"/>
      <c r="P384" s="125"/>
      <c r="Q384" s="125"/>
      <c r="R384" s="125"/>
      <c r="S384" s="125"/>
      <c r="T384" s="125"/>
      <c r="U384" s="125"/>
      <c r="V384" s="125"/>
      <c r="W384" s="10"/>
      <c r="X384" s="10"/>
      <c r="Y384" s="10"/>
      <c r="Z384" s="10"/>
      <c r="AA384" s="10"/>
      <c r="AB384" s="10"/>
    </row>
    <row r="385" spans="1:28" ht="13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25"/>
      <c r="O385" s="125"/>
      <c r="P385" s="125"/>
      <c r="Q385" s="125"/>
      <c r="R385" s="125"/>
      <c r="S385" s="125"/>
      <c r="T385" s="125"/>
      <c r="U385" s="125"/>
      <c r="V385" s="125"/>
      <c r="W385" s="10"/>
      <c r="X385" s="10"/>
      <c r="Y385" s="10"/>
      <c r="Z385" s="10"/>
      <c r="AA385" s="10"/>
      <c r="AB385" s="10"/>
    </row>
    <row r="386" spans="1:28" ht="13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25"/>
      <c r="O386" s="125"/>
      <c r="P386" s="125"/>
      <c r="Q386" s="125"/>
      <c r="R386" s="125"/>
      <c r="S386" s="125"/>
      <c r="T386" s="125"/>
      <c r="U386" s="125"/>
      <c r="V386" s="125"/>
      <c r="W386" s="10"/>
      <c r="X386" s="10"/>
      <c r="Y386" s="10"/>
      <c r="Z386" s="10"/>
      <c r="AA386" s="10"/>
      <c r="AB386" s="10"/>
    </row>
    <row r="387" spans="1:28" ht="13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25"/>
      <c r="O387" s="125"/>
      <c r="P387" s="125"/>
      <c r="Q387" s="125"/>
      <c r="R387" s="125"/>
      <c r="S387" s="125"/>
      <c r="T387" s="125"/>
      <c r="U387" s="125"/>
      <c r="V387" s="125"/>
      <c r="W387" s="10"/>
      <c r="X387" s="10"/>
      <c r="Y387" s="10"/>
      <c r="Z387" s="10"/>
      <c r="AA387" s="10"/>
      <c r="AB387" s="10"/>
    </row>
    <row r="388" spans="1:28" ht="13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25"/>
      <c r="O388" s="125"/>
      <c r="P388" s="125"/>
      <c r="Q388" s="125"/>
      <c r="R388" s="125"/>
      <c r="S388" s="125"/>
      <c r="T388" s="125"/>
      <c r="U388" s="125"/>
      <c r="V388" s="125"/>
      <c r="W388" s="10"/>
      <c r="X388" s="10"/>
      <c r="Y388" s="10"/>
      <c r="Z388" s="10"/>
      <c r="AA388" s="10"/>
      <c r="AB388" s="10"/>
    </row>
    <row r="389" spans="1:28" ht="13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25"/>
      <c r="O389" s="125"/>
      <c r="P389" s="125"/>
      <c r="Q389" s="125"/>
      <c r="R389" s="125"/>
      <c r="S389" s="125"/>
      <c r="T389" s="125"/>
      <c r="U389" s="125"/>
      <c r="V389" s="125"/>
      <c r="W389" s="10"/>
      <c r="X389" s="10"/>
      <c r="Y389" s="10"/>
      <c r="Z389" s="10"/>
      <c r="AA389" s="10"/>
      <c r="AB389" s="10"/>
    </row>
    <row r="390" spans="1:28" ht="13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25"/>
      <c r="O390" s="125"/>
      <c r="P390" s="125"/>
      <c r="Q390" s="125"/>
      <c r="R390" s="125"/>
      <c r="S390" s="125"/>
      <c r="T390" s="125"/>
      <c r="U390" s="125"/>
      <c r="V390" s="125"/>
      <c r="W390" s="10"/>
      <c r="X390" s="10"/>
      <c r="Y390" s="10"/>
      <c r="Z390" s="10"/>
      <c r="AA390" s="10"/>
      <c r="AB390" s="10"/>
    </row>
    <row r="391" spans="1:28" ht="13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25"/>
      <c r="O391" s="125"/>
      <c r="P391" s="125"/>
      <c r="Q391" s="125"/>
      <c r="R391" s="125"/>
      <c r="S391" s="125"/>
      <c r="T391" s="125"/>
      <c r="U391" s="125"/>
      <c r="V391" s="125"/>
      <c r="W391" s="10"/>
      <c r="X391" s="10"/>
      <c r="Y391" s="10"/>
      <c r="Z391" s="10"/>
      <c r="AA391" s="10"/>
      <c r="AB391" s="10"/>
    </row>
    <row r="392" spans="1:28" ht="13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25"/>
      <c r="O392" s="125"/>
      <c r="P392" s="125"/>
      <c r="Q392" s="125"/>
      <c r="R392" s="125"/>
      <c r="S392" s="125"/>
      <c r="T392" s="125"/>
      <c r="U392" s="125"/>
      <c r="V392" s="125"/>
      <c r="W392" s="10"/>
      <c r="X392" s="10"/>
      <c r="Y392" s="10"/>
      <c r="Z392" s="10"/>
      <c r="AA392" s="10"/>
      <c r="AB392" s="10"/>
    </row>
    <row r="393" spans="1:28" ht="13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25"/>
      <c r="O393" s="125"/>
      <c r="P393" s="125"/>
      <c r="Q393" s="125"/>
      <c r="R393" s="125"/>
      <c r="S393" s="125"/>
      <c r="T393" s="125"/>
      <c r="U393" s="125"/>
      <c r="V393" s="125"/>
      <c r="W393" s="10"/>
      <c r="X393" s="10"/>
      <c r="Y393" s="10"/>
      <c r="Z393" s="10"/>
      <c r="AA393" s="10"/>
      <c r="AB393" s="10"/>
    </row>
    <row r="394" spans="1:28" ht="13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25"/>
      <c r="O394" s="125"/>
      <c r="P394" s="125"/>
      <c r="Q394" s="125"/>
      <c r="R394" s="125"/>
      <c r="S394" s="125"/>
      <c r="T394" s="125"/>
      <c r="U394" s="125"/>
      <c r="V394" s="125"/>
      <c r="W394" s="10"/>
      <c r="X394" s="10"/>
      <c r="Y394" s="10"/>
      <c r="Z394" s="10"/>
      <c r="AA394" s="10"/>
      <c r="AB394" s="10"/>
    </row>
    <row r="395" spans="1:28" ht="13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25"/>
      <c r="O395" s="125"/>
      <c r="P395" s="125"/>
      <c r="Q395" s="125"/>
      <c r="R395" s="125"/>
      <c r="S395" s="125"/>
      <c r="T395" s="125"/>
      <c r="U395" s="125"/>
      <c r="V395" s="125"/>
      <c r="W395" s="10"/>
      <c r="X395" s="10"/>
      <c r="Y395" s="10"/>
      <c r="Z395" s="10"/>
      <c r="AA395" s="10"/>
      <c r="AB395" s="10"/>
    </row>
    <row r="396" spans="1:28" ht="13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25"/>
      <c r="O396" s="125"/>
      <c r="P396" s="125"/>
      <c r="Q396" s="125"/>
      <c r="R396" s="125"/>
      <c r="S396" s="125"/>
      <c r="T396" s="125"/>
      <c r="U396" s="125"/>
      <c r="V396" s="125"/>
      <c r="W396" s="10"/>
      <c r="X396" s="10"/>
      <c r="Y396" s="10"/>
      <c r="Z396" s="10"/>
      <c r="AA396" s="10"/>
      <c r="AB396" s="10"/>
    </row>
    <row r="397" spans="1:28" ht="13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25"/>
      <c r="O397" s="125"/>
      <c r="P397" s="125"/>
      <c r="Q397" s="125"/>
      <c r="R397" s="125"/>
      <c r="S397" s="125"/>
      <c r="T397" s="125"/>
      <c r="U397" s="125"/>
      <c r="V397" s="125"/>
      <c r="W397" s="10"/>
      <c r="X397" s="10"/>
      <c r="Y397" s="10"/>
      <c r="Z397" s="10"/>
      <c r="AA397" s="10"/>
      <c r="AB397" s="10"/>
    </row>
    <row r="398" spans="1:28" ht="13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25"/>
      <c r="O398" s="125"/>
      <c r="P398" s="125"/>
      <c r="Q398" s="125"/>
      <c r="R398" s="125"/>
      <c r="S398" s="125"/>
      <c r="T398" s="125"/>
      <c r="U398" s="125"/>
      <c r="V398" s="125"/>
      <c r="W398" s="10"/>
      <c r="X398" s="10"/>
      <c r="Y398" s="10"/>
      <c r="Z398" s="10"/>
      <c r="AA398" s="10"/>
      <c r="AB398" s="10"/>
    </row>
    <row r="399" spans="1:28" ht="13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25"/>
      <c r="O399" s="125"/>
      <c r="P399" s="125"/>
      <c r="Q399" s="125"/>
      <c r="R399" s="125"/>
      <c r="S399" s="125"/>
      <c r="T399" s="125"/>
      <c r="U399" s="125"/>
      <c r="V399" s="125"/>
      <c r="W399" s="10"/>
      <c r="X399" s="10"/>
      <c r="Y399" s="10"/>
      <c r="Z399" s="10"/>
      <c r="AA399" s="10"/>
      <c r="AB399" s="10"/>
    </row>
    <row r="400" spans="1:28" ht="13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25"/>
      <c r="O400" s="125"/>
      <c r="P400" s="125"/>
      <c r="Q400" s="125"/>
      <c r="R400" s="125"/>
      <c r="S400" s="125"/>
      <c r="T400" s="125"/>
      <c r="U400" s="125"/>
      <c r="V400" s="125"/>
      <c r="W400" s="10"/>
      <c r="X400" s="10"/>
      <c r="Y400" s="10"/>
      <c r="Z400" s="10"/>
      <c r="AA400" s="10"/>
      <c r="AB400" s="10"/>
    </row>
    <row r="401" spans="1:28" ht="13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25"/>
      <c r="O401" s="125"/>
      <c r="P401" s="125"/>
      <c r="Q401" s="125"/>
      <c r="R401" s="125"/>
      <c r="S401" s="125"/>
      <c r="T401" s="125"/>
      <c r="U401" s="125"/>
      <c r="V401" s="125"/>
      <c r="W401" s="10"/>
      <c r="X401" s="10"/>
      <c r="Y401" s="10"/>
      <c r="Z401" s="10"/>
      <c r="AA401" s="10"/>
      <c r="AB401" s="10"/>
    </row>
    <row r="402" spans="1:28" ht="13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25"/>
      <c r="O402" s="125"/>
      <c r="P402" s="125"/>
      <c r="Q402" s="125"/>
      <c r="R402" s="125"/>
      <c r="S402" s="125"/>
      <c r="T402" s="125"/>
      <c r="U402" s="125"/>
      <c r="V402" s="125"/>
      <c r="W402" s="10"/>
      <c r="X402" s="10"/>
      <c r="Y402" s="10"/>
      <c r="Z402" s="10"/>
      <c r="AA402" s="10"/>
      <c r="AB402" s="10"/>
    </row>
    <row r="403" spans="1:28" ht="13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25"/>
      <c r="O403" s="125"/>
      <c r="P403" s="125"/>
      <c r="Q403" s="125"/>
      <c r="R403" s="125"/>
      <c r="S403" s="125"/>
      <c r="T403" s="125"/>
      <c r="U403" s="125"/>
      <c r="V403" s="125"/>
      <c r="W403" s="10"/>
      <c r="X403" s="10"/>
      <c r="Y403" s="10"/>
      <c r="Z403" s="10"/>
      <c r="AA403" s="10"/>
      <c r="AB403" s="10"/>
    </row>
    <row r="404" spans="1:28" ht="13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25"/>
      <c r="O404" s="125"/>
      <c r="P404" s="125"/>
      <c r="Q404" s="125"/>
      <c r="R404" s="125"/>
      <c r="S404" s="125"/>
      <c r="T404" s="125"/>
      <c r="U404" s="125"/>
      <c r="V404" s="125"/>
      <c r="W404" s="10"/>
      <c r="X404" s="10"/>
      <c r="Y404" s="10"/>
      <c r="Z404" s="10"/>
      <c r="AA404" s="10"/>
      <c r="AB404" s="10"/>
    </row>
    <row r="405" spans="1:28" ht="13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25"/>
      <c r="O405" s="125"/>
      <c r="P405" s="125"/>
      <c r="Q405" s="125"/>
      <c r="R405" s="125"/>
      <c r="S405" s="125"/>
      <c r="T405" s="125"/>
      <c r="U405" s="125"/>
      <c r="V405" s="125"/>
      <c r="W405" s="10"/>
      <c r="X405" s="10"/>
      <c r="Y405" s="10"/>
      <c r="Z405" s="10"/>
      <c r="AA405" s="10"/>
      <c r="AB405" s="10"/>
    </row>
    <row r="406" spans="1:28" ht="13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25"/>
      <c r="O406" s="125"/>
      <c r="P406" s="125"/>
      <c r="Q406" s="125"/>
      <c r="R406" s="125"/>
      <c r="S406" s="125"/>
      <c r="T406" s="125"/>
      <c r="U406" s="125"/>
      <c r="V406" s="125"/>
      <c r="W406" s="10"/>
      <c r="X406" s="10"/>
      <c r="Y406" s="10"/>
      <c r="Z406" s="10"/>
      <c r="AA406" s="10"/>
      <c r="AB406" s="10"/>
    </row>
    <row r="407" spans="1:28" ht="13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25"/>
      <c r="O407" s="125"/>
      <c r="P407" s="125"/>
      <c r="Q407" s="125"/>
      <c r="R407" s="125"/>
      <c r="S407" s="125"/>
      <c r="T407" s="125"/>
      <c r="U407" s="125"/>
      <c r="V407" s="125"/>
      <c r="W407" s="10"/>
      <c r="X407" s="10"/>
      <c r="Y407" s="10"/>
      <c r="Z407" s="10"/>
      <c r="AA407" s="10"/>
      <c r="AB407" s="10"/>
    </row>
    <row r="408" spans="1:28" ht="13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25"/>
      <c r="O408" s="125"/>
      <c r="P408" s="125"/>
      <c r="Q408" s="125"/>
      <c r="R408" s="125"/>
      <c r="S408" s="125"/>
      <c r="T408" s="125"/>
      <c r="U408" s="125"/>
      <c r="V408" s="125"/>
      <c r="W408" s="10"/>
      <c r="X408" s="10"/>
      <c r="Y408" s="10"/>
      <c r="Z408" s="10"/>
      <c r="AA408" s="10"/>
      <c r="AB408" s="10"/>
    </row>
    <row r="409" spans="1:28" ht="13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25"/>
      <c r="O409" s="125"/>
      <c r="P409" s="125"/>
      <c r="Q409" s="125"/>
      <c r="R409" s="125"/>
      <c r="S409" s="125"/>
      <c r="T409" s="125"/>
      <c r="U409" s="125"/>
      <c r="V409" s="125"/>
      <c r="W409" s="10"/>
      <c r="X409" s="10"/>
      <c r="Y409" s="10"/>
      <c r="Z409" s="10"/>
      <c r="AA409" s="10"/>
      <c r="AB409" s="10"/>
    </row>
    <row r="410" spans="1:28" ht="13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25"/>
      <c r="O410" s="125"/>
      <c r="P410" s="125"/>
      <c r="Q410" s="125"/>
      <c r="R410" s="125"/>
      <c r="S410" s="125"/>
      <c r="T410" s="125"/>
      <c r="U410" s="125"/>
      <c r="V410" s="125"/>
      <c r="W410" s="10"/>
      <c r="X410" s="10"/>
      <c r="Y410" s="10"/>
      <c r="Z410" s="10"/>
      <c r="AA410" s="10"/>
      <c r="AB410" s="10"/>
    </row>
    <row r="411" spans="1:28" ht="13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25"/>
      <c r="O411" s="125"/>
      <c r="P411" s="125"/>
      <c r="Q411" s="125"/>
      <c r="R411" s="125"/>
      <c r="S411" s="125"/>
      <c r="T411" s="125"/>
      <c r="U411" s="125"/>
      <c r="V411" s="125"/>
      <c r="W411" s="10"/>
      <c r="X411" s="10"/>
      <c r="Y411" s="10"/>
      <c r="Z411" s="10"/>
      <c r="AA411" s="10"/>
      <c r="AB411" s="10"/>
    </row>
    <row r="412" spans="1:28" ht="13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25"/>
      <c r="O412" s="125"/>
      <c r="P412" s="125"/>
      <c r="Q412" s="125"/>
      <c r="R412" s="125"/>
      <c r="S412" s="125"/>
      <c r="T412" s="125"/>
      <c r="U412" s="125"/>
      <c r="V412" s="125"/>
      <c r="W412" s="10"/>
      <c r="X412" s="10"/>
      <c r="Y412" s="10"/>
      <c r="Z412" s="10"/>
      <c r="AA412" s="10"/>
      <c r="AB412" s="10"/>
    </row>
    <row r="413" spans="1:28" ht="13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25"/>
      <c r="O413" s="125"/>
      <c r="P413" s="125"/>
      <c r="Q413" s="125"/>
      <c r="R413" s="125"/>
      <c r="S413" s="125"/>
      <c r="T413" s="125"/>
      <c r="U413" s="125"/>
      <c r="V413" s="125"/>
      <c r="W413" s="10"/>
      <c r="X413" s="10"/>
      <c r="Y413" s="10"/>
      <c r="Z413" s="10"/>
      <c r="AA413" s="10"/>
      <c r="AB413" s="10"/>
    </row>
    <row r="414" spans="1:28" ht="13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25"/>
      <c r="O414" s="125"/>
      <c r="P414" s="125"/>
      <c r="Q414" s="125"/>
      <c r="R414" s="125"/>
      <c r="S414" s="125"/>
      <c r="T414" s="125"/>
      <c r="U414" s="125"/>
      <c r="V414" s="125"/>
      <c r="W414" s="10"/>
      <c r="X414" s="10"/>
      <c r="Y414" s="10"/>
      <c r="Z414" s="10"/>
      <c r="AA414" s="10"/>
      <c r="AB414" s="10"/>
    </row>
    <row r="415" spans="1:28" ht="13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25"/>
      <c r="O415" s="125"/>
      <c r="P415" s="125"/>
      <c r="Q415" s="125"/>
      <c r="R415" s="125"/>
      <c r="S415" s="125"/>
      <c r="T415" s="125"/>
      <c r="U415" s="125"/>
      <c r="V415" s="125"/>
      <c r="W415" s="10"/>
      <c r="X415" s="10"/>
      <c r="Y415" s="10"/>
      <c r="Z415" s="10"/>
      <c r="AA415" s="10"/>
      <c r="AB415" s="10"/>
    </row>
    <row r="416" spans="1:28" ht="13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25"/>
      <c r="O416" s="125"/>
      <c r="P416" s="125"/>
      <c r="Q416" s="125"/>
      <c r="R416" s="125"/>
      <c r="S416" s="125"/>
      <c r="T416" s="125"/>
      <c r="U416" s="125"/>
      <c r="V416" s="125"/>
      <c r="W416" s="10"/>
      <c r="X416" s="10"/>
      <c r="Y416" s="10"/>
      <c r="Z416" s="10"/>
      <c r="AA416" s="10"/>
      <c r="AB416" s="10"/>
    </row>
    <row r="417" spans="1:28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25"/>
      <c r="O417" s="125"/>
      <c r="P417" s="125"/>
      <c r="Q417" s="125"/>
      <c r="R417" s="125"/>
      <c r="S417" s="125"/>
      <c r="T417" s="125"/>
      <c r="U417" s="125"/>
      <c r="V417" s="125"/>
      <c r="W417" s="10"/>
      <c r="X417" s="10"/>
      <c r="Y417" s="10"/>
      <c r="Z417" s="10"/>
      <c r="AA417" s="10"/>
      <c r="AB417" s="10"/>
    </row>
    <row r="418" spans="1:28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25"/>
      <c r="O418" s="125"/>
      <c r="P418" s="125"/>
      <c r="Q418" s="125"/>
      <c r="R418" s="125"/>
      <c r="S418" s="125"/>
      <c r="T418" s="125"/>
      <c r="U418" s="125"/>
      <c r="V418" s="125"/>
      <c r="W418" s="10"/>
      <c r="X418" s="10"/>
      <c r="Y418" s="10"/>
      <c r="Z418" s="10"/>
      <c r="AA418" s="10"/>
      <c r="AB418" s="10"/>
    </row>
    <row r="419" spans="1:28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25"/>
      <c r="O419" s="125"/>
      <c r="P419" s="125"/>
      <c r="Q419" s="125"/>
      <c r="R419" s="125"/>
      <c r="S419" s="125"/>
      <c r="T419" s="125"/>
      <c r="U419" s="125"/>
      <c r="V419" s="125"/>
      <c r="W419" s="10"/>
      <c r="X419" s="10"/>
      <c r="Y419" s="10"/>
      <c r="Z419" s="10"/>
      <c r="AA419" s="10"/>
      <c r="AB419" s="10"/>
    </row>
    <row r="420" spans="1:28" ht="13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25"/>
      <c r="O420" s="125"/>
      <c r="P420" s="125"/>
      <c r="Q420" s="125"/>
      <c r="R420" s="125"/>
      <c r="S420" s="125"/>
      <c r="T420" s="125"/>
      <c r="U420" s="125"/>
      <c r="V420" s="125"/>
      <c r="W420" s="10"/>
      <c r="X420" s="10"/>
      <c r="Y420" s="10"/>
      <c r="Z420" s="10"/>
      <c r="AA420" s="10"/>
      <c r="AB420" s="10"/>
    </row>
    <row r="421" spans="1:28" ht="13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25"/>
      <c r="O421" s="125"/>
      <c r="P421" s="125"/>
      <c r="Q421" s="125"/>
      <c r="R421" s="125"/>
      <c r="S421" s="125"/>
      <c r="T421" s="125"/>
      <c r="U421" s="125"/>
      <c r="V421" s="125"/>
      <c r="W421" s="10"/>
      <c r="X421" s="10"/>
      <c r="Y421" s="10"/>
      <c r="Z421" s="10"/>
      <c r="AA421" s="10"/>
      <c r="AB421" s="10"/>
    </row>
    <row r="422" spans="1:28" ht="13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25"/>
      <c r="O422" s="125"/>
      <c r="P422" s="125"/>
      <c r="Q422" s="125"/>
      <c r="R422" s="125"/>
      <c r="S422" s="125"/>
      <c r="T422" s="125"/>
      <c r="U422" s="125"/>
      <c r="V422" s="125"/>
      <c r="W422" s="10"/>
      <c r="X422" s="10"/>
      <c r="Y422" s="10"/>
      <c r="Z422" s="10"/>
      <c r="AA422" s="10"/>
      <c r="AB422" s="10"/>
    </row>
    <row r="423" spans="1:28" ht="13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25"/>
      <c r="O423" s="125"/>
      <c r="P423" s="125"/>
      <c r="Q423" s="125"/>
      <c r="R423" s="125"/>
      <c r="S423" s="125"/>
      <c r="T423" s="125"/>
      <c r="U423" s="125"/>
      <c r="V423" s="125"/>
      <c r="W423" s="10"/>
      <c r="X423" s="10"/>
      <c r="Y423" s="10"/>
      <c r="Z423" s="10"/>
      <c r="AA423" s="10"/>
      <c r="AB423" s="10"/>
    </row>
    <row r="424" spans="1:28" ht="13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25"/>
      <c r="O424" s="125"/>
      <c r="P424" s="125"/>
      <c r="Q424" s="125"/>
      <c r="R424" s="125"/>
      <c r="S424" s="125"/>
      <c r="T424" s="125"/>
      <c r="U424" s="125"/>
      <c r="V424" s="125"/>
      <c r="W424" s="10"/>
      <c r="X424" s="10"/>
      <c r="Y424" s="10"/>
      <c r="Z424" s="10"/>
      <c r="AA424" s="10"/>
      <c r="AB424" s="10"/>
    </row>
    <row r="425" spans="1:28" ht="13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25"/>
      <c r="O425" s="125"/>
      <c r="P425" s="125"/>
      <c r="Q425" s="125"/>
      <c r="R425" s="125"/>
      <c r="S425" s="125"/>
      <c r="T425" s="125"/>
      <c r="U425" s="125"/>
      <c r="V425" s="125"/>
      <c r="W425" s="10"/>
      <c r="X425" s="10"/>
      <c r="Y425" s="10"/>
      <c r="Z425" s="10"/>
      <c r="AA425" s="10"/>
      <c r="AB425" s="10"/>
    </row>
    <row r="426" spans="1:28" ht="13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25"/>
      <c r="O426" s="125"/>
      <c r="P426" s="125"/>
      <c r="Q426" s="125"/>
      <c r="R426" s="125"/>
      <c r="S426" s="125"/>
      <c r="T426" s="125"/>
      <c r="U426" s="125"/>
      <c r="V426" s="125"/>
      <c r="W426" s="10"/>
      <c r="X426" s="10"/>
      <c r="Y426" s="10"/>
      <c r="Z426" s="10"/>
      <c r="AA426" s="10"/>
      <c r="AB426" s="10"/>
    </row>
    <row r="427" spans="1:28" ht="13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25"/>
      <c r="O427" s="125"/>
      <c r="P427" s="125"/>
      <c r="Q427" s="125"/>
      <c r="R427" s="125"/>
      <c r="S427" s="125"/>
      <c r="T427" s="125"/>
      <c r="U427" s="125"/>
      <c r="V427" s="125"/>
      <c r="W427" s="10"/>
      <c r="X427" s="10"/>
      <c r="Y427" s="10"/>
      <c r="Z427" s="10"/>
      <c r="AA427" s="10"/>
      <c r="AB427" s="10"/>
    </row>
    <row r="428" spans="1:28" ht="13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25"/>
      <c r="O428" s="125"/>
      <c r="P428" s="125"/>
      <c r="Q428" s="125"/>
      <c r="R428" s="125"/>
      <c r="S428" s="125"/>
      <c r="T428" s="125"/>
      <c r="U428" s="125"/>
      <c r="V428" s="125"/>
      <c r="W428" s="10"/>
      <c r="X428" s="10"/>
      <c r="Y428" s="10"/>
      <c r="Z428" s="10"/>
      <c r="AA428" s="10"/>
      <c r="AB428" s="10"/>
    </row>
    <row r="429" spans="1:28" ht="13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25"/>
      <c r="O429" s="125"/>
      <c r="P429" s="125"/>
      <c r="Q429" s="125"/>
      <c r="R429" s="125"/>
      <c r="S429" s="125"/>
      <c r="T429" s="125"/>
      <c r="U429" s="125"/>
      <c r="V429" s="125"/>
      <c r="W429" s="10"/>
      <c r="X429" s="10"/>
      <c r="Y429" s="10"/>
      <c r="Z429" s="10"/>
      <c r="AA429" s="10"/>
      <c r="AB429" s="10"/>
    </row>
    <row r="430" spans="1:28" ht="13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25"/>
      <c r="O430" s="125"/>
      <c r="P430" s="125"/>
      <c r="Q430" s="125"/>
      <c r="R430" s="125"/>
      <c r="S430" s="125"/>
      <c r="T430" s="125"/>
      <c r="U430" s="125"/>
      <c r="V430" s="125"/>
      <c r="W430" s="10"/>
      <c r="X430" s="10"/>
      <c r="Y430" s="10"/>
      <c r="Z430" s="10"/>
      <c r="AA430" s="10"/>
      <c r="AB430" s="10"/>
    </row>
    <row r="431" spans="1:28" ht="13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25"/>
      <c r="O431" s="125"/>
      <c r="P431" s="125"/>
      <c r="Q431" s="125"/>
      <c r="R431" s="125"/>
      <c r="S431" s="125"/>
      <c r="T431" s="125"/>
      <c r="U431" s="125"/>
      <c r="V431" s="125"/>
      <c r="W431" s="10"/>
      <c r="X431" s="10"/>
      <c r="Y431" s="10"/>
      <c r="Z431" s="10"/>
      <c r="AA431" s="10"/>
      <c r="AB431" s="10"/>
    </row>
    <row r="432" spans="1:28" ht="13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25"/>
      <c r="O432" s="125"/>
      <c r="P432" s="125"/>
      <c r="Q432" s="125"/>
      <c r="R432" s="125"/>
      <c r="S432" s="125"/>
      <c r="T432" s="125"/>
      <c r="U432" s="125"/>
      <c r="V432" s="125"/>
      <c r="W432" s="10"/>
      <c r="X432" s="10"/>
      <c r="Y432" s="10"/>
      <c r="Z432" s="10"/>
      <c r="AA432" s="10"/>
      <c r="AB432" s="10"/>
    </row>
    <row r="433" spans="1:28" ht="13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25"/>
      <c r="O433" s="125"/>
      <c r="P433" s="125"/>
      <c r="Q433" s="125"/>
      <c r="R433" s="125"/>
      <c r="S433" s="125"/>
      <c r="T433" s="125"/>
      <c r="U433" s="125"/>
      <c r="V433" s="125"/>
      <c r="W433" s="10"/>
      <c r="X433" s="10"/>
      <c r="Y433" s="10"/>
      <c r="Z433" s="10"/>
      <c r="AA433" s="10"/>
      <c r="AB433" s="10"/>
    </row>
    <row r="434" spans="1:28" ht="13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25"/>
      <c r="O434" s="125"/>
      <c r="P434" s="125"/>
      <c r="Q434" s="125"/>
      <c r="R434" s="125"/>
      <c r="S434" s="125"/>
      <c r="T434" s="125"/>
      <c r="U434" s="125"/>
      <c r="V434" s="125"/>
      <c r="W434" s="10"/>
      <c r="X434" s="10"/>
      <c r="Y434" s="10"/>
      <c r="Z434" s="10"/>
      <c r="AA434" s="10"/>
      <c r="AB434" s="10"/>
    </row>
    <row r="435" spans="1:28" ht="13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25"/>
      <c r="O435" s="125"/>
      <c r="P435" s="125"/>
      <c r="Q435" s="125"/>
      <c r="R435" s="125"/>
      <c r="S435" s="125"/>
      <c r="T435" s="125"/>
      <c r="U435" s="125"/>
      <c r="V435" s="125"/>
      <c r="W435" s="10"/>
      <c r="X435" s="10"/>
      <c r="Y435" s="10"/>
      <c r="Z435" s="10"/>
      <c r="AA435" s="10"/>
      <c r="AB435" s="10"/>
    </row>
    <row r="436" spans="1:28" ht="13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25"/>
      <c r="O436" s="125"/>
      <c r="P436" s="125"/>
      <c r="Q436" s="125"/>
      <c r="R436" s="125"/>
      <c r="S436" s="125"/>
      <c r="T436" s="125"/>
      <c r="U436" s="125"/>
      <c r="V436" s="125"/>
      <c r="W436" s="10"/>
      <c r="X436" s="10"/>
      <c r="Y436" s="10"/>
      <c r="Z436" s="10"/>
      <c r="AA436" s="10"/>
      <c r="AB436" s="10"/>
    </row>
    <row r="437" spans="1:28" ht="13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25"/>
      <c r="O437" s="125"/>
      <c r="P437" s="125"/>
      <c r="Q437" s="125"/>
      <c r="R437" s="125"/>
      <c r="S437" s="125"/>
      <c r="T437" s="125"/>
      <c r="U437" s="125"/>
      <c r="V437" s="125"/>
      <c r="W437" s="10"/>
      <c r="X437" s="10"/>
      <c r="Y437" s="10"/>
      <c r="Z437" s="10"/>
      <c r="AA437" s="10"/>
      <c r="AB437" s="10"/>
    </row>
    <row r="438" spans="1:28" ht="13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25"/>
      <c r="O438" s="125"/>
      <c r="P438" s="125"/>
      <c r="Q438" s="125"/>
      <c r="R438" s="125"/>
      <c r="S438" s="125"/>
      <c r="T438" s="125"/>
      <c r="U438" s="125"/>
      <c r="V438" s="125"/>
      <c r="W438" s="10"/>
      <c r="X438" s="10"/>
      <c r="Y438" s="10"/>
      <c r="Z438" s="10"/>
      <c r="AA438" s="10"/>
      <c r="AB438" s="10"/>
    </row>
    <row r="439" spans="1:28" ht="13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25"/>
      <c r="O439" s="125"/>
      <c r="P439" s="125"/>
      <c r="Q439" s="125"/>
      <c r="R439" s="125"/>
      <c r="S439" s="125"/>
      <c r="T439" s="125"/>
      <c r="U439" s="125"/>
      <c r="V439" s="125"/>
      <c r="W439" s="10"/>
      <c r="X439" s="10"/>
      <c r="Y439" s="10"/>
      <c r="Z439" s="10"/>
      <c r="AA439" s="10"/>
      <c r="AB439" s="10"/>
    </row>
    <row r="440" spans="1:28" ht="13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25"/>
      <c r="O440" s="125"/>
      <c r="P440" s="125"/>
      <c r="Q440" s="125"/>
      <c r="R440" s="125"/>
      <c r="S440" s="125"/>
      <c r="T440" s="125"/>
      <c r="U440" s="125"/>
      <c r="V440" s="125"/>
      <c r="W440" s="10"/>
      <c r="X440" s="10"/>
      <c r="Y440" s="10"/>
      <c r="Z440" s="10"/>
      <c r="AA440" s="10"/>
      <c r="AB440" s="10"/>
    </row>
    <row r="441" spans="1:28" ht="13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25"/>
      <c r="O441" s="125"/>
      <c r="P441" s="125"/>
      <c r="Q441" s="125"/>
      <c r="R441" s="125"/>
      <c r="S441" s="125"/>
      <c r="T441" s="125"/>
      <c r="U441" s="125"/>
      <c r="V441" s="125"/>
      <c r="W441" s="10"/>
      <c r="X441" s="10"/>
      <c r="Y441" s="10"/>
      <c r="Z441" s="10"/>
      <c r="AA441" s="10"/>
      <c r="AB441" s="10"/>
    </row>
    <row r="442" spans="1:28" ht="13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25"/>
      <c r="O442" s="125"/>
      <c r="P442" s="125"/>
      <c r="Q442" s="125"/>
      <c r="R442" s="125"/>
      <c r="S442" s="125"/>
      <c r="T442" s="125"/>
      <c r="U442" s="125"/>
      <c r="V442" s="125"/>
      <c r="W442" s="10"/>
      <c r="X442" s="10"/>
      <c r="Y442" s="10"/>
      <c r="Z442" s="10"/>
      <c r="AA442" s="10"/>
      <c r="AB442" s="10"/>
    </row>
    <row r="443" spans="1:28" ht="13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25"/>
      <c r="O443" s="125"/>
      <c r="P443" s="125"/>
      <c r="Q443" s="125"/>
      <c r="R443" s="125"/>
      <c r="S443" s="125"/>
      <c r="T443" s="125"/>
      <c r="U443" s="125"/>
      <c r="V443" s="125"/>
      <c r="W443" s="10"/>
      <c r="X443" s="10"/>
      <c r="Y443" s="10"/>
      <c r="Z443" s="10"/>
      <c r="AA443" s="10"/>
      <c r="AB443" s="10"/>
    </row>
    <row r="444" spans="1:28" ht="13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25"/>
      <c r="O444" s="125"/>
      <c r="P444" s="125"/>
      <c r="Q444" s="125"/>
      <c r="R444" s="125"/>
      <c r="S444" s="125"/>
      <c r="T444" s="125"/>
      <c r="U444" s="125"/>
      <c r="V444" s="125"/>
      <c r="W444" s="10"/>
      <c r="X444" s="10"/>
      <c r="Y444" s="10"/>
      <c r="Z444" s="10"/>
      <c r="AA444" s="10"/>
      <c r="AB444" s="10"/>
    </row>
    <row r="445" spans="1:28" ht="13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25"/>
      <c r="O445" s="125"/>
      <c r="P445" s="125"/>
      <c r="Q445" s="125"/>
      <c r="R445" s="125"/>
      <c r="S445" s="125"/>
      <c r="T445" s="125"/>
      <c r="U445" s="125"/>
      <c r="V445" s="125"/>
      <c r="W445" s="10"/>
      <c r="X445" s="10"/>
      <c r="Y445" s="10"/>
      <c r="Z445" s="10"/>
      <c r="AA445" s="10"/>
      <c r="AB445" s="10"/>
    </row>
    <row r="446" spans="1:28" ht="13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25"/>
      <c r="O446" s="125"/>
      <c r="P446" s="125"/>
      <c r="Q446" s="125"/>
      <c r="R446" s="125"/>
      <c r="S446" s="125"/>
      <c r="T446" s="125"/>
      <c r="U446" s="125"/>
      <c r="V446" s="125"/>
      <c r="W446" s="10"/>
      <c r="X446" s="10"/>
      <c r="Y446" s="10"/>
      <c r="Z446" s="10"/>
      <c r="AA446" s="10"/>
      <c r="AB446" s="10"/>
    </row>
    <row r="447" spans="1:28" ht="13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25"/>
      <c r="O447" s="125"/>
      <c r="P447" s="125"/>
      <c r="Q447" s="125"/>
      <c r="R447" s="125"/>
      <c r="S447" s="125"/>
      <c r="T447" s="125"/>
      <c r="U447" s="125"/>
      <c r="V447" s="125"/>
      <c r="W447" s="10"/>
      <c r="X447" s="10"/>
      <c r="Y447" s="10"/>
      <c r="Z447" s="10"/>
      <c r="AA447" s="10"/>
      <c r="AB447" s="10"/>
    </row>
    <row r="448" spans="1:28" ht="13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25"/>
      <c r="O448" s="125"/>
      <c r="P448" s="125"/>
      <c r="Q448" s="125"/>
      <c r="R448" s="125"/>
      <c r="S448" s="125"/>
      <c r="T448" s="125"/>
      <c r="U448" s="125"/>
      <c r="V448" s="125"/>
      <c r="W448" s="10"/>
      <c r="X448" s="10"/>
      <c r="Y448" s="10"/>
      <c r="Z448" s="10"/>
      <c r="AA448" s="10"/>
      <c r="AB448" s="10"/>
    </row>
    <row r="449" spans="1:28" ht="13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25"/>
      <c r="O449" s="125"/>
      <c r="P449" s="125"/>
      <c r="Q449" s="125"/>
      <c r="R449" s="125"/>
      <c r="S449" s="125"/>
      <c r="T449" s="125"/>
      <c r="U449" s="125"/>
      <c r="V449" s="125"/>
      <c r="W449" s="10"/>
      <c r="X449" s="10"/>
      <c r="Y449" s="10"/>
      <c r="Z449" s="10"/>
      <c r="AA449" s="10"/>
      <c r="AB449" s="10"/>
    </row>
    <row r="450" spans="1:28" ht="13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25"/>
      <c r="O450" s="125"/>
      <c r="P450" s="125"/>
      <c r="Q450" s="125"/>
      <c r="R450" s="125"/>
      <c r="S450" s="125"/>
      <c r="T450" s="125"/>
      <c r="U450" s="125"/>
      <c r="V450" s="125"/>
      <c r="W450" s="10"/>
      <c r="X450" s="10"/>
      <c r="Y450" s="10"/>
      <c r="Z450" s="10"/>
      <c r="AA450" s="10"/>
      <c r="AB450" s="10"/>
    </row>
    <row r="451" spans="1:28" ht="13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25"/>
      <c r="O451" s="125"/>
      <c r="P451" s="125"/>
      <c r="Q451" s="125"/>
      <c r="R451" s="125"/>
      <c r="S451" s="125"/>
      <c r="T451" s="125"/>
      <c r="U451" s="125"/>
      <c r="V451" s="125"/>
      <c r="W451" s="10"/>
      <c r="X451" s="10"/>
      <c r="Y451" s="10"/>
      <c r="Z451" s="10"/>
      <c r="AA451" s="10"/>
      <c r="AB451" s="10"/>
    </row>
    <row r="452" spans="1:28" ht="13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25"/>
      <c r="O452" s="125"/>
      <c r="P452" s="125"/>
      <c r="Q452" s="125"/>
      <c r="R452" s="125"/>
      <c r="S452" s="125"/>
      <c r="T452" s="125"/>
      <c r="U452" s="125"/>
      <c r="V452" s="125"/>
      <c r="W452" s="10"/>
      <c r="X452" s="10"/>
      <c r="Y452" s="10"/>
      <c r="Z452" s="10"/>
      <c r="AA452" s="10"/>
      <c r="AB452" s="10"/>
    </row>
    <row r="453" spans="1:28" ht="13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25"/>
      <c r="O453" s="125"/>
      <c r="P453" s="125"/>
      <c r="Q453" s="125"/>
      <c r="R453" s="125"/>
      <c r="S453" s="125"/>
      <c r="T453" s="125"/>
      <c r="U453" s="125"/>
      <c r="V453" s="125"/>
      <c r="W453" s="10"/>
      <c r="X453" s="10"/>
      <c r="Y453" s="10"/>
      <c r="Z453" s="10"/>
      <c r="AA453" s="10"/>
      <c r="AB453" s="10"/>
    </row>
    <row r="454" spans="1:28" ht="13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25"/>
      <c r="O454" s="125"/>
      <c r="P454" s="125"/>
      <c r="Q454" s="125"/>
      <c r="R454" s="125"/>
      <c r="S454" s="125"/>
      <c r="T454" s="125"/>
      <c r="U454" s="125"/>
      <c r="V454" s="125"/>
      <c r="W454" s="10"/>
      <c r="X454" s="10"/>
      <c r="Y454" s="10"/>
      <c r="Z454" s="10"/>
      <c r="AA454" s="10"/>
      <c r="AB454" s="10"/>
    </row>
    <row r="455" spans="1:28" ht="13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25"/>
      <c r="O455" s="125"/>
      <c r="P455" s="125"/>
      <c r="Q455" s="125"/>
      <c r="R455" s="125"/>
      <c r="S455" s="125"/>
      <c r="T455" s="125"/>
      <c r="U455" s="125"/>
      <c r="V455" s="125"/>
      <c r="W455" s="10"/>
      <c r="X455" s="10"/>
      <c r="Y455" s="10"/>
      <c r="Z455" s="10"/>
      <c r="AA455" s="10"/>
      <c r="AB455" s="10"/>
    </row>
    <row r="456" spans="1:28" ht="13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25"/>
      <c r="O456" s="125"/>
      <c r="P456" s="125"/>
      <c r="Q456" s="125"/>
      <c r="R456" s="125"/>
      <c r="S456" s="125"/>
      <c r="T456" s="125"/>
      <c r="U456" s="125"/>
      <c r="V456" s="125"/>
      <c r="W456" s="10"/>
      <c r="X456" s="10"/>
      <c r="Y456" s="10"/>
      <c r="Z456" s="10"/>
      <c r="AA456" s="10"/>
      <c r="AB456" s="10"/>
    </row>
    <row r="457" spans="1:28" ht="13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25"/>
      <c r="O457" s="125"/>
      <c r="P457" s="125"/>
      <c r="Q457" s="125"/>
      <c r="R457" s="125"/>
      <c r="S457" s="125"/>
      <c r="T457" s="125"/>
      <c r="U457" s="125"/>
      <c r="V457" s="125"/>
      <c r="W457" s="10"/>
      <c r="X457" s="10"/>
      <c r="Y457" s="10"/>
      <c r="Z457" s="10"/>
      <c r="AA457" s="10"/>
      <c r="AB457" s="10"/>
    </row>
    <row r="458" spans="1:28" ht="13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25"/>
      <c r="O458" s="125"/>
      <c r="P458" s="125"/>
      <c r="Q458" s="125"/>
      <c r="R458" s="125"/>
      <c r="S458" s="125"/>
      <c r="T458" s="125"/>
      <c r="U458" s="125"/>
      <c r="V458" s="125"/>
      <c r="W458" s="10"/>
      <c r="X458" s="10"/>
      <c r="Y458" s="10"/>
      <c r="Z458" s="10"/>
      <c r="AA458" s="10"/>
      <c r="AB458" s="10"/>
    </row>
    <row r="459" spans="1:28" ht="13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25"/>
      <c r="O459" s="125"/>
      <c r="P459" s="125"/>
      <c r="Q459" s="125"/>
      <c r="R459" s="125"/>
      <c r="S459" s="125"/>
      <c r="T459" s="125"/>
      <c r="U459" s="125"/>
      <c r="V459" s="125"/>
      <c r="W459" s="10"/>
      <c r="X459" s="10"/>
      <c r="Y459" s="10"/>
      <c r="Z459" s="10"/>
      <c r="AA459" s="10"/>
      <c r="AB459" s="10"/>
    </row>
    <row r="460" spans="1:28" ht="13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25"/>
      <c r="O460" s="125"/>
      <c r="P460" s="125"/>
      <c r="Q460" s="125"/>
      <c r="R460" s="125"/>
      <c r="S460" s="125"/>
      <c r="T460" s="125"/>
      <c r="U460" s="125"/>
      <c r="V460" s="125"/>
      <c r="W460" s="10"/>
      <c r="X460" s="10"/>
      <c r="Y460" s="10"/>
      <c r="Z460" s="10"/>
      <c r="AA460" s="10"/>
      <c r="AB460" s="10"/>
    </row>
    <row r="461" spans="1:28" ht="13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25"/>
      <c r="O461" s="125"/>
      <c r="P461" s="125"/>
      <c r="Q461" s="125"/>
      <c r="R461" s="125"/>
      <c r="S461" s="125"/>
      <c r="T461" s="125"/>
      <c r="U461" s="125"/>
      <c r="V461" s="125"/>
      <c r="W461" s="10"/>
      <c r="X461" s="10"/>
      <c r="Y461" s="10"/>
      <c r="Z461" s="10"/>
      <c r="AA461" s="10"/>
      <c r="AB461" s="10"/>
    </row>
    <row r="462" spans="1:28" ht="13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25"/>
      <c r="O462" s="125"/>
      <c r="P462" s="125"/>
      <c r="Q462" s="125"/>
      <c r="R462" s="125"/>
      <c r="S462" s="125"/>
      <c r="T462" s="125"/>
      <c r="U462" s="125"/>
      <c r="V462" s="125"/>
      <c r="W462" s="10"/>
      <c r="X462" s="10"/>
      <c r="Y462" s="10"/>
      <c r="Z462" s="10"/>
      <c r="AA462" s="10"/>
      <c r="AB462" s="10"/>
    </row>
    <row r="463" spans="1:28" ht="13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25"/>
      <c r="O463" s="125"/>
      <c r="P463" s="125"/>
      <c r="Q463" s="125"/>
      <c r="R463" s="125"/>
      <c r="S463" s="125"/>
      <c r="T463" s="125"/>
      <c r="U463" s="125"/>
      <c r="V463" s="125"/>
      <c r="W463" s="10"/>
      <c r="X463" s="10"/>
      <c r="Y463" s="10"/>
      <c r="Z463" s="10"/>
      <c r="AA463" s="10"/>
      <c r="AB463" s="10"/>
    </row>
    <row r="464" spans="1:28" ht="13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25"/>
      <c r="O464" s="125"/>
      <c r="P464" s="125"/>
      <c r="Q464" s="125"/>
      <c r="R464" s="125"/>
      <c r="S464" s="125"/>
      <c r="T464" s="125"/>
      <c r="U464" s="125"/>
      <c r="V464" s="125"/>
      <c r="W464" s="10"/>
      <c r="X464" s="10"/>
      <c r="Y464" s="10"/>
      <c r="Z464" s="10"/>
      <c r="AA464" s="10"/>
      <c r="AB464" s="10"/>
    </row>
    <row r="465" spans="1:28" ht="13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25"/>
      <c r="O465" s="125"/>
      <c r="P465" s="125"/>
      <c r="Q465" s="125"/>
      <c r="R465" s="125"/>
      <c r="S465" s="125"/>
      <c r="T465" s="125"/>
      <c r="U465" s="125"/>
      <c r="V465" s="125"/>
      <c r="W465" s="10"/>
      <c r="X465" s="10"/>
      <c r="Y465" s="10"/>
      <c r="Z465" s="10"/>
      <c r="AA465" s="10"/>
      <c r="AB465" s="10"/>
    </row>
    <row r="466" spans="1:28" ht="13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25"/>
      <c r="O466" s="125"/>
      <c r="P466" s="125"/>
      <c r="Q466" s="125"/>
      <c r="R466" s="125"/>
      <c r="S466" s="125"/>
      <c r="T466" s="125"/>
      <c r="U466" s="125"/>
      <c r="V466" s="125"/>
      <c r="W466" s="10"/>
      <c r="X466" s="10"/>
      <c r="Y466" s="10"/>
      <c r="Z466" s="10"/>
      <c r="AA466" s="10"/>
      <c r="AB466" s="10"/>
    </row>
    <row r="467" spans="1:28" ht="13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25"/>
      <c r="O467" s="125"/>
      <c r="P467" s="125"/>
      <c r="Q467" s="125"/>
      <c r="R467" s="125"/>
      <c r="S467" s="125"/>
      <c r="T467" s="125"/>
      <c r="U467" s="125"/>
      <c r="V467" s="125"/>
      <c r="W467" s="10"/>
      <c r="X467" s="10"/>
      <c r="Y467" s="10"/>
      <c r="Z467" s="10"/>
      <c r="AA467" s="10"/>
      <c r="AB467" s="10"/>
    </row>
    <row r="468" spans="1:28" ht="13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25"/>
      <c r="O468" s="125"/>
      <c r="P468" s="125"/>
      <c r="Q468" s="125"/>
      <c r="R468" s="125"/>
      <c r="S468" s="125"/>
      <c r="T468" s="125"/>
      <c r="U468" s="125"/>
      <c r="V468" s="125"/>
      <c r="W468" s="10"/>
      <c r="X468" s="10"/>
      <c r="Y468" s="10"/>
      <c r="Z468" s="10"/>
      <c r="AA468" s="10"/>
      <c r="AB468" s="10"/>
    </row>
    <row r="469" spans="1:28" ht="13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25"/>
      <c r="O469" s="125"/>
      <c r="P469" s="125"/>
      <c r="Q469" s="125"/>
      <c r="R469" s="125"/>
      <c r="S469" s="125"/>
      <c r="T469" s="125"/>
      <c r="U469" s="125"/>
      <c r="V469" s="125"/>
      <c r="W469" s="10"/>
      <c r="X469" s="10"/>
      <c r="Y469" s="10"/>
      <c r="Z469" s="10"/>
      <c r="AA469" s="10"/>
      <c r="AB469" s="10"/>
    </row>
    <row r="470" spans="1:28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25"/>
      <c r="O470" s="125"/>
      <c r="P470" s="125"/>
      <c r="Q470" s="125"/>
      <c r="R470" s="125"/>
      <c r="S470" s="125"/>
      <c r="T470" s="125"/>
      <c r="U470" s="125"/>
      <c r="V470" s="125"/>
      <c r="W470" s="10"/>
      <c r="X470" s="10"/>
      <c r="Y470" s="10"/>
      <c r="Z470" s="10"/>
      <c r="AA470" s="10"/>
      <c r="AB470" s="10"/>
    </row>
    <row r="471" spans="1:28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25"/>
      <c r="O471" s="125"/>
      <c r="P471" s="125"/>
      <c r="Q471" s="125"/>
      <c r="R471" s="125"/>
      <c r="S471" s="125"/>
      <c r="T471" s="125"/>
      <c r="U471" s="125"/>
      <c r="V471" s="125"/>
      <c r="W471" s="10"/>
      <c r="X471" s="10"/>
      <c r="Y471" s="10"/>
      <c r="Z471" s="10"/>
      <c r="AA471" s="10"/>
      <c r="AB471" s="10"/>
    </row>
    <row r="472" spans="1:28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25"/>
      <c r="O472" s="125"/>
      <c r="P472" s="125"/>
      <c r="Q472" s="125"/>
      <c r="R472" s="125"/>
      <c r="S472" s="125"/>
      <c r="T472" s="125"/>
      <c r="U472" s="125"/>
      <c r="V472" s="125"/>
      <c r="W472" s="10"/>
      <c r="X472" s="10"/>
      <c r="Y472" s="10"/>
      <c r="Z472" s="10"/>
      <c r="AA472" s="10"/>
      <c r="AB472" s="10"/>
    </row>
    <row r="473" spans="1:28" ht="13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25"/>
      <c r="O473" s="125"/>
      <c r="P473" s="125"/>
      <c r="Q473" s="125"/>
      <c r="R473" s="125"/>
      <c r="S473" s="125"/>
      <c r="T473" s="125"/>
      <c r="U473" s="125"/>
      <c r="V473" s="125"/>
      <c r="W473" s="10"/>
      <c r="X473" s="10"/>
      <c r="Y473" s="10"/>
      <c r="Z473" s="10"/>
      <c r="AA473" s="10"/>
      <c r="AB473" s="10"/>
    </row>
    <row r="474" spans="1:28" ht="13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25"/>
      <c r="O474" s="125"/>
      <c r="P474" s="125"/>
      <c r="Q474" s="125"/>
      <c r="R474" s="125"/>
      <c r="S474" s="125"/>
      <c r="T474" s="125"/>
      <c r="U474" s="125"/>
      <c r="V474" s="125"/>
      <c r="W474" s="10"/>
      <c r="X474" s="10"/>
      <c r="Y474" s="10"/>
      <c r="Z474" s="10"/>
      <c r="AA474" s="10"/>
      <c r="AB474" s="10"/>
    </row>
    <row r="475" spans="1:28" ht="13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25"/>
      <c r="O475" s="125"/>
      <c r="P475" s="125"/>
      <c r="Q475" s="125"/>
      <c r="R475" s="125"/>
      <c r="S475" s="125"/>
      <c r="T475" s="125"/>
      <c r="U475" s="125"/>
      <c r="V475" s="125"/>
      <c r="W475" s="10"/>
      <c r="X475" s="10"/>
      <c r="Y475" s="10"/>
      <c r="Z475" s="10"/>
      <c r="AA475" s="10"/>
      <c r="AB475" s="10"/>
    </row>
    <row r="476" spans="1:28" ht="13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25"/>
      <c r="O476" s="125"/>
      <c r="P476" s="125"/>
      <c r="Q476" s="125"/>
      <c r="R476" s="125"/>
      <c r="S476" s="125"/>
      <c r="T476" s="125"/>
      <c r="U476" s="125"/>
      <c r="V476" s="125"/>
      <c r="W476" s="10"/>
      <c r="X476" s="10"/>
      <c r="Y476" s="10"/>
      <c r="Z476" s="10"/>
      <c r="AA476" s="10"/>
      <c r="AB476" s="10"/>
    </row>
    <row r="477" spans="1:28" ht="13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25"/>
      <c r="O477" s="125"/>
      <c r="P477" s="125"/>
      <c r="Q477" s="125"/>
      <c r="R477" s="125"/>
      <c r="S477" s="125"/>
      <c r="T477" s="125"/>
      <c r="U477" s="125"/>
      <c r="V477" s="125"/>
      <c r="W477" s="10"/>
      <c r="X477" s="10"/>
      <c r="Y477" s="10"/>
      <c r="Z477" s="10"/>
      <c r="AA477" s="10"/>
      <c r="AB477" s="10"/>
    </row>
    <row r="478" spans="1:28" ht="13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25"/>
      <c r="O478" s="125"/>
      <c r="P478" s="125"/>
      <c r="Q478" s="125"/>
      <c r="R478" s="125"/>
      <c r="S478" s="125"/>
      <c r="T478" s="125"/>
      <c r="U478" s="125"/>
      <c r="V478" s="125"/>
      <c r="W478" s="10"/>
      <c r="X478" s="10"/>
      <c r="Y478" s="10"/>
      <c r="Z478" s="10"/>
      <c r="AA478" s="10"/>
      <c r="AB478" s="10"/>
    </row>
    <row r="479" spans="1:28" ht="13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25"/>
      <c r="O479" s="125"/>
      <c r="P479" s="125"/>
      <c r="Q479" s="125"/>
      <c r="R479" s="125"/>
      <c r="S479" s="125"/>
      <c r="T479" s="125"/>
      <c r="U479" s="125"/>
      <c r="V479" s="125"/>
      <c r="W479" s="10"/>
      <c r="X479" s="10"/>
      <c r="Y479" s="10"/>
      <c r="Z479" s="10"/>
      <c r="AA479" s="10"/>
      <c r="AB479" s="10"/>
    </row>
    <row r="480" spans="1:28" ht="13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25"/>
      <c r="O480" s="125"/>
      <c r="P480" s="125"/>
      <c r="Q480" s="125"/>
      <c r="R480" s="125"/>
      <c r="S480" s="125"/>
      <c r="T480" s="125"/>
      <c r="U480" s="125"/>
      <c r="V480" s="125"/>
      <c r="W480" s="10"/>
      <c r="X480" s="10"/>
      <c r="Y480" s="10"/>
      <c r="Z480" s="10"/>
      <c r="AA480" s="10"/>
      <c r="AB480" s="10"/>
    </row>
    <row r="481" spans="1:28" ht="13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25"/>
      <c r="O481" s="125"/>
      <c r="P481" s="125"/>
      <c r="Q481" s="125"/>
      <c r="R481" s="125"/>
      <c r="S481" s="125"/>
      <c r="T481" s="125"/>
      <c r="U481" s="125"/>
      <c r="V481" s="125"/>
      <c r="W481" s="10"/>
      <c r="X481" s="10"/>
      <c r="Y481" s="10"/>
      <c r="Z481" s="10"/>
      <c r="AA481" s="10"/>
      <c r="AB481" s="10"/>
    </row>
    <row r="482" spans="1:28" ht="13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25"/>
      <c r="O482" s="125"/>
      <c r="P482" s="125"/>
      <c r="Q482" s="125"/>
      <c r="R482" s="125"/>
      <c r="S482" s="125"/>
      <c r="T482" s="125"/>
      <c r="U482" s="125"/>
      <c r="V482" s="125"/>
      <c r="W482" s="10"/>
      <c r="X482" s="10"/>
      <c r="Y482" s="10"/>
      <c r="Z482" s="10"/>
      <c r="AA482" s="10"/>
      <c r="AB482" s="10"/>
    </row>
    <row r="483" spans="1:28" ht="13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25"/>
      <c r="O483" s="125"/>
      <c r="P483" s="125"/>
      <c r="Q483" s="125"/>
      <c r="R483" s="125"/>
      <c r="S483" s="125"/>
      <c r="T483" s="125"/>
      <c r="U483" s="125"/>
      <c r="V483" s="125"/>
      <c r="W483" s="10"/>
      <c r="X483" s="10"/>
      <c r="Y483" s="10"/>
      <c r="Z483" s="10"/>
      <c r="AA483" s="10"/>
      <c r="AB483" s="10"/>
    </row>
    <row r="484" spans="1:28" ht="13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25"/>
      <c r="O484" s="125"/>
      <c r="P484" s="125"/>
      <c r="Q484" s="125"/>
      <c r="R484" s="125"/>
      <c r="S484" s="125"/>
      <c r="T484" s="125"/>
      <c r="U484" s="125"/>
      <c r="V484" s="125"/>
      <c r="W484" s="10"/>
      <c r="X484" s="10"/>
      <c r="Y484" s="10"/>
      <c r="Z484" s="10"/>
      <c r="AA484" s="10"/>
      <c r="AB484" s="10"/>
    </row>
    <row r="485" spans="1:28" ht="13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25"/>
      <c r="O485" s="125"/>
      <c r="P485" s="125"/>
      <c r="Q485" s="125"/>
      <c r="R485" s="125"/>
      <c r="S485" s="125"/>
      <c r="T485" s="125"/>
      <c r="U485" s="125"/>
      <c r="V485" s="125"/>
      <c r="W485" s="10"/>
      <c r="X485" s="10"/>
      <c r="Y485" s="10"/>
      <c r="Z485" s="10"/>
      <c r="AA485" s="10"/>
      <c r="AB485" s="10"/>
    </row>
    <row r="486" spans="1:28" ht="13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25"/>
      <c r="O486" s="125"/>
      <c r="P486" s="125"/>
      <c r="Q486" s="125"/>
      <c r="R486" s="125"/>
      <c r="S486" s="125"/>
      <c r="T486" s="125"/>
      <c r="U486" s="125"/>
      <c r="V486" s="125"/>
      <c r="W486" s="10"/>
      <c r="X486" s="10"/>
      <c r="Y486" s="10"/>
      <c r="Z486" s="10"/>
      <c r="AA486" s="10"/>
      <c r="AB486" s="10"/>
    </row>
    <row r="487" spans="1:28" ht="13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25"/>
      <c r="O487" s="125"/>
      <c r="P487" s="125"/>
      <c r="Q487" s="125"/>
      <c r="R487" s="125"/>
      <c r="S487" s="125"/>
      <c r="T487" s="125"/>
      <c r="U487" s="125"/>
      <c r="V487" s="125"/>
      <c r="W487" s="10"/>
      <c r="X487" s="10"/>
      <c r="Y487" s="10"/>
      <c r="Z487" s="10"/>
      <c r="AA487" s="10"/>
      <c r="AB487" s="10"/>
    </row>
    <row r="488" spans="1:28" ht="13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25"/>
      <c r="O488" s="125"/>
      <c r="P488" s="125"/>
      <c r="Q488" s="125"/>
      <c r="R488" s="125"/>
      <c r="S488" s="125"/>
      <c r="T488" s="125"/>
      <c r="U488" s="125"/>
      <c r="V488" s="125"/>
      <c r="W488" s="10"/>
      <c r="X488" s="10"/>
      <c r="Y488" s="10"/>
      <c r="Z488" s="10"/>
      <c r="AA488" s="10"/>
      <c r="AB488" s="10"/>
    </row>
    <row r="489" spans="1:28" ht="13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25"/>
      <c r="O489" s="125"/>
      <c r="P489" s="125"/>
      <c r="Q489" s="125"/>
      <c r="R489" s="125"/>
      <c r="S489" s="125"/>
      <c r="T489" s="125"/>
      <c r="U489" s="125"/>
      <c r="V489" s="125"/>
      <c r="W489" s="10"/>
      <c r="X489" s="10"/>
      <c r="Y489" s="10"/>
      <c r="Z489" s="10"/>
      <c r="AA489" s="10"/>
      <c r="AB489" s="10"/>
    </row>
    <row r="490" spans="1:28" ht="13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25"/>
      <c r="O490" s="125"/>
      <c r="P490" s="125"/>
      <c r="Q490" s="125"/>
      <c r="R490" s="125"/>
      <c r="S490" s="125"/>
      <c r="T490" s="125"/>
      <c r="U490" s="125"/>
      <c r="V490" s="125"/>
      <c r="W490" s="10"/>
      <c r="X490" s="10"/>
      <c r="Y490" s="10"/>
      <c r="Z490" s="10"/>
      <c r="AA490" s="10"/>
      <c r="AB490" s="10"/>
    </row>
    <row r="491" spans="1:28" ht="13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25"/>
      <c r="O491" s="125"/>
      <c r="P491" s="125"/>
      <c r="Q491" s="125"/>
      <c r="R491" s="125"/>
      <c r="S491" s="125"/>
      <c r="T491" s="125"/>
      <c r="U491" s="125"/>
      <c r="V491" s="125"/>
      <c r="W491" s="10"/>
      <c r="X491" s="10"/>
      <c r="Y491" s="10"/>
      <c r="Z491" s="10"/>
      <c r="AA491" s="10"/>
      <c r="AB491" s="10"/>
    </row>
    <row r="492" spans="1:28" ht="13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25"/>
      <c r="O492" s="125"/>
      <c r="P492" s="125"/>
      <c r="Q492" s="125"/>
      <c r="R492" s="125"/>
      <c r="S492" s="125"/>
      <c r="T492" s="125"/>
      <c r="U492" s="125"/>
      <c r="V492" s="125"/>
      <c r="W492" s="10"/>
      <c r="X492" s="10"/>
      <c r="Y492" s="10"/>
      <c r="Z492" s="10"/>
      <c r="AA492" s="10"/>
      <c r="AB492" s="10"/>
    </row>
    <row r="493" spans="1:28" ht="13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25"/>
      <c r="O493" s="125"/>
      <c r="P493" s="125"/>
      <c r="Q493" s="125"/>
      <c r="R493" s="125"/>
      <c r="S493" s="125"/>
      <c r="T493" s="125"/>
      <c r="U493" s="125"/>
      <c r="V493" s="125"/>
      <c r="W493" s="10"/>
      <c r="X493" s="10"/>
      <c r="Y493" s="10"/>
      <c r="Z493" s="10"/>
      <c r="AA493" s="10"/>
      <c r="AB493" s="10"/>
    </row>
    <row r="494" spans="1:28" ht="13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25"/>
      <c r="O494" s="125"/>
      <c r="P494" s="125"/>
      <c r="Q494" s="125"/>
      <c r="R494" s="125"/>
      <c r="S494" s="125"/>
      <c r="T494" s="125"/>
      <c r="U494" s="125"/>
      <c r="V494" s="125"/>
      <c r="W494" s="10"/>
      <c r="X494" s="10"/>
      <c r="Y494" s="10"/>
      <c r="Z494" s="10"/>
      <c r="AA494" s="10"/>
      <c r="AB494" s="10"/>
    </row>
    <row r="495" spans="1:28" ht="13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25"/>
      <c r="O495" s="125"/>
      <c r="P495" s="125"/>
      <c r="Q495" s="125"/>
      <c r="R495" s="125"/>
      <c r="S495" s="125"/>
      <c r="T495" s="125"/>
      <c r="U495" s="125"/>
      <c r="V495" s="125"/>
      <c r="W495" s="10"/>
      <c r="X495" s="10"/>
      <c r="Y495" s="10"/>
      <c r="Z495" s="10"/>
      <c r="AA495" s="10"/>
      <c r="AB495" s="10"/>
    </row>
    <row r="496" spans="1:28" ht="13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25"/>
      <c r="O496" s="125"/>
      <c r="P496" s="125"/>
      <c r="Q496" s="125"/>
      <c r="R496" s="125"/>
      <c r="S496" s="125"/>
      <c r="T496" s="125"/>
      <c r="U496" s="125"/>
      <c r="V496" s="125"/>
      <c r="W496" s="10"/>
      <c r="X496" s="10"/>
      <c r="Y496" s="10"/>
      <c r="Z496" s="10"/>
      <c r="AA496" s="10"/>
      <c r="AB496" s="10"/>
    </row>
    <row r="497" spans="1:28" ht="13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25"/>
      <c r="O497" s="125"/>
      <c r="P497" s="125"/>
      <c r="Q497" s="125"/>
      <c r="R497" s="125"/>
      <c r="S497" s="125"/>
      <c r="T497" s="125"/>
      <c r="U497" s="125"/>
      <c r="V497" s="125"/>
      <c r="W497" s="10"/>
      <c r="X497" s="10"/>
      <c r="Y497" s="10"/>
      <c r="Z497" s="10"/>
      <c r="AA497" s="10"/>
      <c r="AB497" s="10"/>
    </row>
    <row r="498" spans="1:28" ht="13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25"/>
      <c r="O498" s="125"/>
      <c r="P498" s="125"/>
      <c r="Q498" s="125"/>
      <c r="R498" s="125"/>
      <c r="S498" s="125"/>
      <c r="T498" s="125"/>
      <c r="U498" s="125"/>
      <c r="V498" s="125"/>
      <c r="W498" s="10"/>
      <c r="X498" s="10"/>
      <c r="Y498" s="10"/>
      <c r="Z498" s="10"/>
      <c r="AA498" s="10"/>
      <c r="AB498" s="10"/>
    </row>
    <row r="499" spans="1:28" ht="13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25"/>
      <c r="O499" s="125"/>
      <c r="P499" s="125"/>
      <c r="Q499" s="125"/>
      <c r="R499" s="125"/>
      <c r="S499" s="125"/>
      <c r="T499" s="125"/>
      <c r="U499" s="125"/>
      <c r="V499" s="125"/>
      <c r="W499" s="10"/>
      <c r="X499" s="10"/>
      <c r="Y499" s="10"/>
      <c r="Z499" s="10"/>
      <c r="AA499" s="10"/>
      <c r="AB499" s="10"/>
    </row>
    <row r="500" spans="1:28" ht="13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25"/>
      <c r="O500" s="125"/>
      <c r="P500" s="125"/>
      <c r="Q500" s="125"/>
      <c r="R500" s="125"/>
      <c r="S500" s="125"/>
      <c r="T500" s="125"/>
      <c r="U500" s="125"/>
      <c r="V500" s="125"/>
      <c r="W500" s="10"/>
      <c r="X500" s="10"/>
      <c r="Y500" s="10"/>
      <c r="Z500" s="10"/>
      <c r="AA500" s="10"/>
      <c r="AB500" s="10"/>
    </row>
    <row r="501" spans="1:28" ht="13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25"/>
      <c r="O501" s="125"/>
      <c r="P501" s="125"/>
      <c r="Q501" s="125"/>
      <c r="R501" s="125"/>
      <c r="S501" s="125"/>
      <c r="T501" s="125"/>
      <c r="U501" s="125"/>
      <c r="V501" s="125"/>
      <c r="W501" s="10"/>
      <c r="X501" s="10"/>
      <c r="Y501" s="10"/>
      <c r="Z501" s="10"/>
      <c r="AA501" s="10"/>
      <c r="AB501" s="10"/>
    </row>
    <row r="502" spans="1:28" ht="13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25"/>
      <c r="O502" s="125"/>
      <c r="P502" s="125"/>
      <c r="Q502" s="125"/>
      <c r="R502" s="125"/>
      <c r="S502" s="125"/>
      <c r="T502" s="125"/>
      <c r="U502" s="125"/>
      <c r="V502" s="125"/>
      <c r="W502" s="10"/>
      <c r="X502" s="10"/>
      <c r="Y502" s="10"/>
      <c r="Z502" s="10"/>
      <c r="AA502" s="10"/>
      <c r="AB502" s="10"/>
    </row>
    <row r="503" spans="1:28" ht="13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25"/>
      <c r="O503" s="125"/>
      <c r="P503" s="125"/>
      <c r="Q503" s="125"/>
      <c r="R503" s="125"/>
      <c r="S503" s="125"/>
      <c r="T503" s="125"/>
      <c r="U503" s="125"/>
      <c r="V503" s="125"/>
      <c r="W503" s="10"/>
      <c r="X503" s="10"/>
      <c r="Y503" s="10"/>
      <c r="Z503" s="10"/>
      <c r="AA503" s="10"/>
      <c r="AB503" s="10"/>
    </row>
    <row r="504" spans="1:28" ht="13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25"/>
      <c r="O504" s="125"/>
      <c r="P504" s="125"/>
      <c r="Q504" s="125"/>
      <c r="R504" s="125"/>
      <c r="S504" s="125"/>
      <c r="T504" s="125"/>
      <c r="U504" s="125"/>
      <c r="V504" s="125"/>
      <c r="W504" s="10"/>
      <c r="X504" s="10"/>
      <c r="Y504" s="10"/>
      <c r="Z504" s="10"/>
      <c r="AA504" s="10"/>
      <c r="AB504" s="10"/>
    </row>
    <row r="505" spans="1:28" ht="13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25"/>
      <c r="O505" s="125"/>
      <c r="P505" s="125"/>
      <c r="Q505" s="125"/>
      <c r="R505" s="125"/>
      <c r="S505" s="125"/>
      <c r="T505" s="125"/>
      <c r="U505" s="125"/>
      <c r="V505" s="125"/>
      <c r="W505" s="10"/>
      <c r="X505" s="10"/>
      <c r="Y505" s="10"/>
      <c r="Z505" s="10"/>
      <c r="AA505" s="10"/>
      <c r="AB505" s="10"/>
    </row>
    <row r="506" spans="1:28" ht="13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25"/>
      <c r="O506" s="125"/>
      <c r="P506" s="125"/>
      <c r="Q506" s="125"/>
      <c r="R506" s="125"/>
      <c r="S506" s="125"/>
      <c r="T506" s="125"/>
      <c r="U506" s="125"/>
      <c r="V506" s="125"/>
      <c r="W506" s="10"/>
      <c r="X506" s="10"/>
      <c r="Y506" s="10"/>
      <c r="Z506" s="10"/>
      <c r="AA506" s="10"/>
      <c r="AB506" s="10"/>
    </row>
    <row r="507" spans="1:28" ht="13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25"/>
      <c r="O507" s="125"/>
      <c r="P507" s="125"/>
      <c r="Q507" s="125"/>
      <c r="R507" s="125"/>
      <c r="S507" s="125"/>
      <c r="T507" s="125"/>
      <c r="U507" s="125"/>
      <c r="V507" s="125"/>
      <c r="W507" s="10"/>
      <c r="X507" s="10"/>
      <c r="Y507" s="10"/>
      <c r="Z507" s="10"/>
      <c r="AA507" s="10"/>
      <c r="AB507" s="10"/>
    </row>
    <row r="508" spans="1:28" ht="13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25"/>
      <c r="O508" s="125"/>
      <c r="P508" s="125"/>
      <c r="Q508" s="125"/>
      <c r="R508" s="125"/>
      <c r="S508" s="125"/>
      <c r="T508" s="125"/>
      <c r="U508" s="125"/>
      <c r="V508" s="125"/>
      <c r="W508" s="10"/>
      <c r="X508" s="10"/>
      <c r="Y508" s="10"/>
      <c r="Z508" s="10"/>
      <c r="AA508" s="10"/>
      <c r="AB508" s="10"/>
    </row>
    <row r="509" spans="1:28" ht="13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25"/>
      <c r="O509" s="125"/>
      <c r="P509" s="125"/>
      <c r="Q509" s="125"/>
      <c r="R509" s="125"/>
      <c r="S509" s="125"/>
      <c r="T509" s="125"/>
      <c r="U509" s="125"/>
      <c r="V509" s="125"/>
      <c r="W509" s="10"/>
      <c r="X509" s="10"/>
      <c r="Y509" s="10"/>
      <c r="Z509" s="10"/>
      <c r="AA509" s="10"/>
      <c r="AB509" s="10"/>
    </row>
    <row r="510" spans="1:28" ht="13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25"/>
      <c r="O510" s="125"/>
      <c r="P510" s="125"/>
      <c r="Q510" s="125"/>
      <c r="R510" s="125"/>
      <c r="S510" s="125"/>
      <c r="T510" s="125"/>
      <c r="U510" s="125"/>
      <c r="V510" s="125"/>
      <c r="W510" s="10"/>
      <c r="X510" s="10"/>
      <c r="Y510" s="10"/>
      <c r="Z510" s="10"/>
      <c r="AA510" s="10"/>
      <c r="AB510" s="10"/>
    </row>
    <row r="511" spans="1:28" ht="13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25"/>
      <c r="O511" s="125"/>
      <c r="P511" s="125"/>
      <c r="Q511" s="125"/>
      <c r="R511" s="125"/>
      <c r="S511" s="125"/>
      <c r="T511" s="125"/>
      <c r="U511" s="125"/>
      <c r="V511" s="125"/>
      <c r="W511" s="10"/>
      <c r="X511" s="10"/>
      <c r="Y511" s="10"/>
      <c r="Z511" s="10"/>
      <c r="AA511" s="10"/>
      <c r="AB511" s="10"/>
    </row>
    <row r="512" spans="1:28" ht="13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25"/>
      <c r="O512" s="125"/>
      <c r="P512" s="125"/>
      <c r="Q512" s="125"/>
      <c r="R512" s="125"/>
      <c r="S512" s="125"/>
      <c r="T512" s="125"/>
      <c r="U512" s="125"/>
      <c r="V512" s="125"/>
      <c r="W512" s="10"/>
      <c r="X512" s="10"/>
      <c r="Y512" s="10"/>
      <c r="Z512" s="10"/>
      <c r="AA512" s="10"/>
      <c r="AB512" s="10"/>
    </row>
    <row r="513" spans="1:28" ht="13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25"/>
      <c r="O513" s="125"/>
      <c r="P513" s="125"/>
      <c r="Q513" s="125"/>
      <c r="R513" s="125"/>
      <c r="S513" s="125"/>
      <c r="T513" s="125"/>
      <c r="U513" s="125"/>
      <c r="V513" s="125"/>
      <c r="W513" s="10"/>
      <c r="X513" s="10"/>
      <c r="Y513" s="10"/>
      <c r="Z513" s="10"/>
      <c r="AA513" s="10"/>
      <c r="AB513" s="10"/>
    </row>
    <row r="514" spans="1:28" ht="13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25"/>
      <c r="O514" s="125"/>
      <c r="P514" s="125"/>
      <c r="Q514" s="125"/>
      <c r="R514" s="125"/>
      <c r="S514" s="125"/>
      <c r="T514" s="125"/>
      <c r="U514" s="125"/>
      <c r="V514" s="125"/>
      <c r="W514" s="10"/>
      <c r="X514" s="10"/>
      <c r="Y514" s="10"/>
      <c r="Z514" s="10"/>
      <c r="AA514" s="10"/>
      <c r="AB514" s="10"/>
    </row>
    <row r="515" spans="1:28" ht="13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25"/>
      <c r="O515" s="125"/>
      <c r="P515" s="125"/>
      <c r="Q515" s="125"/>
      <c r="R515" s="125"/>
      <c r="S515" s="125"/>
      <c r="T515" s="125"/>
      <c r="U515" s="125"/>
      <c r="V515" s="125"/>
      <c r="W515" s="10"/>
      <c r="X515" s="10"/>
      <c r="Y515" s="10"/>
      <c r="Z515" s="10"/>
      <c r="AA515" s="10"/>
      <c r="AB515" s="10"/>
    </row>
    <row r="516" spans="1:28" ht="13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25"/>
      <c r="O516" s="125"/>
      <c r="P516" s="125"/>
      <c r="Q516" s="125"/>
      <c r="R516" s="125"/>
      <c r="S516" s="125"/>
      <c r="T516" s="125"/>
      <c r="U516" s="125"/>
      <c r="V516" s="125"/>
      <c r="W516" s="10"/>
      <c r="X516" s="10"/>
      <c r="Y516" s="10"/>
      <c r="Z516" s="10"/>
      <c r="AA516" s="10"/>
      <c r="AB516" s="10"/>
    </row>
    <row r="517" spans="1:28" ht="13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25"/>
      <c r="O517" s="125"/>
      <c r="P517" s="125"/>
      <c r="Q517" s="125"/>
      <c r="R517" s="125"/>
      <c r="S517" s="125"/>
      <c r="T517" s="125"/>
      <c r="U517" s="125"/>
      <c r="V517" s="125"/>
      <c r="W517" s="10"/>
      <c r="X517" s="10"/>
      <c r="Y517" s="10"/>
      <c r="Z517" s="10"/>
      <c r="AA517" s="10"/>
      <c r="AB517" s="10"/>
    </row>
    <row r="518" spans="1:28" ht="13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25"/>
      <c r="O518" s="125"/>
      <c r="P518" s="125"/>
      <c r="Q518" s="125"/>
      <c r="R518" s="125"/>
      <c r="S518" s="125"/>
      <c r="T518" s="125"/>
      <c r="U518" s="125"/>
      <c r="V518" s="125"/>
      <c r="W518" s="10"/>
      <c r="X518" s="10"/>
      <c r="Y518" s="10"/>
      <c r="Z518" s="10"/>
      <c r="AA518" s="10"/>
      <c r="AB518" s="10"/>
    </row>
    <row r="519" spans="1:28" ht="13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25"/>
      <c r="O519" s="125"/>
      <c r="P519" s="125"/>
      <c r="Q519" s="125"/>
      <c r="R519" s="125"/>
      <c r="S519" s="125"/>
      <c r="T519" s="125"/>
      <c r="U519" s="125"/>
      <c r="V519" s="125"/>
      <c r="W519" s="10"/>
      <c r="X519" s="10"/>
      <c r="Y519" s="10"/>
      <c r="Z519" s="10"/>
      <c r="AA519" s="10"/>
      <c r="AB519" s="10"/>
    </row>
    <row r="520" spans="1:28" ht="13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25"/>
      <c r="O520" s="125"/>
      <c r="P520" s="125"/>
      <c r="Q520" s="125"/>
      <c r="R520" s="125"/>
      <c r="S520" s="125"/>
      <c r="T520" s="125"/>
      <c r="U520" s="125"/>
      <c r="V520" s="125"/>
      <c r="W520" s="10"/>
      <c r="X520" s="10"/>
      <c r="Y520" s="10"/>
      <c r="Z520" s="10"/>
      <c r="AA520" s="10"/>
      <c r="AB520" s="10"/>
    </row>
    <row r="521" spans="1:28" ht="13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25"/>
      <c r="O521" s="125"/>
      <c r="P521" s="125"/>
      <c r="Q521" s="125"/>
      <c r="R521" s="125"/>
      <c r="S521" s="125"/>
      <c r="T521" s="125"/>
      <c r="U521" s="125"/>
      <c r="V521" s="125"/>
      <c r="W521" s="10"/>
      <c r="X521" s="10"/>
      <c r="Y521" s="10"/>
      <c r="Z521" s="10"/>
      <c r="AA521" s="10"/>
      <c r="AB521" s="10"/>
    </row>
    <row r="522" spans="1:28" ht="13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25"/>
      <c r="O522" s="125"/>
      <c r="P522" s="125"/>
      <c r="Q522" s="125"/>
      <c r="R522" s="125"/>
      <c r="S522" s="125"/>
      <c r="T522" s="125"/>
      <c r="U522" s="125"/>
      <c r="V522" s="125"/>
      <c r="W522" s="10"/>
      <c r="X522" s="10"/>
      <c r="Y522" s="10"/>
      <c r="Z522" s="10"/>
      <c r="AA522" s="10"/>
      <c r="AB522" s="10"/>
    </row>
    <row r="523" spans="1:28" ht="13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25"/>
      <c r="O523" s="125"/>
      <c r="P523" s="125"/>
      <c r="Q523" s="125"/>
      <c r="R523" s="125"/>
      <c r="S523" s="125"/>
      <c r="T523" s="125"/>
      <c r="U523" s="125"/>
      <c r="V523" s="125"/>
      <c r="W523" s="10"/>
      <c r="X523" s="10"/>
      <c r="Y523" s="10"/>
      <c r="Z523" s="10"/>
      <c r="AA523" s="10"/>
      <c r="AB523" s="10"/>
    </row>
    <row r="524" spans="1:28" ht="13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25"/>
      <c r="O524" s="125"/>
      <c r="P524" s="125"/>
      <c r="Q524" s="125"/>
      <c r="R524" s="125"/>
      <c r="S524" s="125"/>
      <c r="T524" s="125"/>
      <c r="U524" s="125"/>
      <c r="V524" s="125"/>
      <c r="W524" s="10"/>
      <c r="X524" s="10"/>
      <c r="Y524" s="10"/>
      <c r="Z524" s="10"/>
      <c r="AA524" s="10"/>
      <c r="AB524" s="10"/>
    </row>
    <row r="525" spans="1:28" ht="13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25"/>
      <c r="O525" s="125"/>
      <c r="P525" s="125"/>
      <c r="Q525" s="125"/>
      <c r="R525" s="125"/>
      <c r="S525" s="125"/>
      <c r="T525" s="125"/>
      <c r="U525" s="125"/>
      <c r="V525" s="125"/>
      <c r="W525" s="10"/>
      <c r="X525" s="10"/>
      <c r="Y525" s="10"/>
      <c r="Z525" s="10"/>
      <c r="AA525" s="10"/>
      <c r="AB525" s="10"/>
    </row>
    <row r="526" spans="1:28" ht="13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25"/>
      <c r="O526" s="125"/>
      <c r="P526" s="125"/>
      <c r="Q526" s="125"/>
      <c r="R526" s="125"/>
      <c r="S526" s="125"/>
      <c r="T526" s="125"/>
      <c r="U526" s="125"/>
      <c r="V526" s="125"/>
      <c r="W526" s="10"/>
      <c r="X526" s="10"/>
      <c r="Y526" s="10"/>
      <c r="Z526" s="10"/>
      <c r="AA526" s="10"/>
      <c r="AB526" s="10"/>
    </row>
    <row r="527" spans="1:28" ht="13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25"/>
      <c r="O527" s="125"/>
      <c r="P527" s="125"/>
      <c r="Q527" s="125"/>
      <c r="R527" s="125"/>
      <c r="S527" s="125"/>
      <c r="T527" s="125"/>
      <c r="U527" s="125"/>
      <c r="V527" s="125"/>
      <c r="W527" s="10"/>
      <c r="X527" s="10"/>
      <c r="Y527" s="10"/>
      <c r="Z527" s="10"/>
      <c r="AA527" s="10"/>
      <c r="AB527" s="10"/>
    </row>
    <row r="528" spans="1:28" ht="13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25"/>
      <c r="O528" s="125"/>
      <c r="P528" s="125"/>
      <c r="Q528" s="125"/>
      <c r="R528" s="125"/>
      <c r="S528" s="125"/>
      <c r="T528" s="125"/>
      <c r="U528" s="125"/>
      <c r="V528" s="125"/>
      <c r="W528" s="10"/>
      <c r="X528" s="10"/>
      <c r="Y528" s="10"/>
      <c r="Z528" s="10"/>
      <c r="AA528" s="10"/>
      <c r="AB528" s="10"/>
    </row>
    <row r="529" spans="1:28" ht="13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25"/>
      <c r="O529" s="125"/>
      <c r="P529" s="125"/>
      <c r="Q529" s="125"/>
      <c r="R529" s="125"/>
      <c r="S529" s="125"/>
      <c r="T529" s="125"/>
      <c r="U529" s="125"/>
      <c r="V529" s="125"/>
      <c r="W529" s="10"/>
      <c r="X529" s="10"/>
      <c r="Y529" s="10"/>
      <c r="Z529" s="10"/>
      <c r="AA529" s="10"/>
      <c r="AB529" s="10"/>
    </row>
    <row r="530" spans="1:28" ht="13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25"/>
      <c r="O530" s="125"/>
      <c r="P530" s="125"/>
      <c r="Q530" s="125"/>
      <c r="R530" s="125"/>
      <c r="S530" s="125"/>
      <c r="T530" s="125"/>
      <c r="U530" s="125"/>
      <c r="V530" s="125"/>
      <c r="W530" s="10"/>
      <c r="X530" s="10"/>
      <c r="Y530" s="10"/>
      <c r="Z530" s="10"/>
      <c r="AA530" s="10"/>
      <c r="AB530" s="10"/>
    </row>
    <row r="531" spans="1:28" ht="13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25"/>
      <c r="O531" s="125"/>
      <c r="P531" s="125"/>
      <c r="Q531" s="125"/>
      <c r="R531" s="125"/>
      <c r="S531" s="125"/>
      <c r="T531" s="125"/>
      <c r="U531" s="125"/>
      <c r="V531" s="125"/>
      <c r="W531" s="10"/>
      <c r="X531" s="10"/>
      <c r="Y531" s="10"/>
      <c r="Z531" s="10"/>
      <c r="AA531" s="10"/>
      <c r="AB531" s="10"/>
    </row>
    <row r="532" spans="1:28" ht="13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25"/>
      <c r="O532" s="125"/>
      <c r="P532" s="125"/>
      <c r="Q532" s="125"/>
      <c r="R532" s="125"/>
      <c r="S532" s="125"/>
      <c r="T532" s="125"/>
      <c r="U532" s="125"/>
      <c r="V532" s="125"/>
      <c r="W532" s="10"/>
      <c r="X532" s="10"/>
      <c r="Y532" s="10"/>
      <c r="Z532" s="10"/>
      <c r="AA532" s="10"/>
      <c r="AB532" s="10"/>
    </row>
    <row r="533" spans="1:28" ht="13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25"/>
      <c r="O533" s="125"/>
      <c r="P533" s="125"/>
      <c r="Q533" s="125"/>
      <c r="R533" s="125"/>
      <c r="S533" s="125"/>
      <c r="T533" s="125"/>
      <c r="U533" s="125"/>
      <c r="V533" s="125"/>
      <c r="W533" s="10"/>
      <c r="X533" s="10"/>
      <c r="Y533" s="10"/>
      <c r="Z533" s="10"/>
      <c r="AA533" s="10"/>
      <c r="AB533" s="10"/>
    </row>
    <row r="534" spans="1:28" ht="13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25"/>
      <c r="O534" s="125"/>
      <c r="P534" s="125"/>
      <c r="Q534" s="125"/>
      <c r="R534" s="125"/>
      <c r="S534" s="125"/>
      <c r="T534" s="125"/>
      <c r="U534" s="125"/>
      <c r="V534" s="125"/>
      <c r="W534" s="10"/>
      <c r="X534" s="10"/>
      <c r="Y534" s="10"/>
      <c r="Z534" s="10"/>
      <c r="AA534" s="10"/>
      <c r="AB534" s="10"/>
    </row>
    <row r="535" spans="1:28" ht="13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25"/>
      <c r="O535" s="125"/>
      <c r="P535" s="125"/>
      <c r="Q535" s="125"/>
      <c r="R535" s="125"/>
      <c r="S535" s="125"/>
      <c r="T535" s="125"/>
      <c r="U535" s="125"/>
      <c r="V535" s="125"/>
      <c r="W535" s="10"/>
      <c r="X535" s="10"/>
      <c r="Y535" s="10"/>
      <c r="Z535" s="10"/>
      <c r="AA535" s="10"/>
      <c r="AB535" s="10"/>
    </row>
    <row r="536" spans="1:28" ht="13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25"/>
      <c r="O536" s="125"/>
      <c r="P536" s="125"/>
      <c r="Q536" s="125"/>
      <c r="R536" s="125"/>
      <c r="S536" s="125"/>
      <c r="T536" s="125"/>
      <c r="U536" s="125"/>
      <c r="V536" s="125"/>
      <c r="W536" s="10"/>
      <c r="X536" s="10"/>
      <c r="Y536" s="10"/>
      <c r="Z536" s="10"/>
      <c r="AA536" s="10"/>
      <c r="AB536" s="10"/>
    </row>
    <row r="537" spans="1:28" ht="13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25"/>
      <c r="O537" s="125"/>
      <c r="P537" s="125"/>
      <c r="Q537" s="125"/>
      <c r="R537" s="125"/>
      <c r="S537" s="125"/>
      <c r="T537" s="125"/>
      <c r="U537" s="125"/>
      <c r="V537" s="125"/>
      <c r="W537" s="10"/>
      <c r="X537" s="10"/>
      <c r="Y537" s="10"/>
      <c r="Z537" s="10"/>
      <c r="AA537" s="10"/>
      <c r="AB537" s="10"/>
    </row>
    <row r="538" spans="1:28" ht="13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25"/>
      <c r="O538" s="125"/>
      <c r="P538" s="125"/>
      <c r="Q538" s="125"/>
      <c r="R538" s="125"/>
      <c r="S538" s="125"/>
      <c r="T538" s="125"/>
      <c r="U538" s="125"/>
      <c r="V538" s="125"/>
      <c r="W538" s="10"/>
      <c r="X538" s="10"/>
      <c r="Y538" s="10"/>
      <c r="Z538" s="10"/>
      <c r="AA538" s="10"/>
      <c r="AB538" s="10"/>
    </row>
    <row r="539" spans="1:28" ht="13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25"/>
      <c r="O539" s="125"/>
      <c r="P539" s="125"/>
      <c r="Q539" s="125"/>
      <c r="R539" s="125"/>
      <c r="S539" s="125"/>
      <c r="T539" s="125"/>
      <c r="U539" s="125"/>
      <c r="V539" s="125"/>
      <c r="W539" s="10"/>
      <c r="X539" s="10"/>
      <c r="Y539" s="10"/>
      <c r="Z539" s="10"/>
      <c r="AA539" s="10"/>
      <c r="AB539" s="10"/>
    </row>
    <row r="540" spans="1:28" ht="13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25"/>
      <c r="O540" s="125"/>
      <c r="P540" s="125"/>
      <c r="Q540" s="125"/>
      <c r="R540" s="125"/>
      <c r="S540" s="125"/>
      <c r="T540" s="125"/>
      <c r="U540" s="125"/>
      <c r="V540" s="125"/>
      <c r="W540" s="10"/>
      <c r="X540" s="10"/>
      <c r="Y540" s="10"/>
      <c r="Z540" s="10"/>
      <c r="AA540" s="10"/>
      <c r="AB540" s="10"/>
    </row>
    <row r="541" spans="1:28" ht="13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25"/>
      <c r="O541" s="125"/>
      <c r="P541" s="125"/>
      <c r="Q541" s="125"/>
      <c r="R541" s="125"/>
      <c r="S541" s="125"/>
      <c r="T541" s="125"/>
      <c r="U541" s="125"/>
      <c r="V541" s="125"/>
      <c r="W541" s="10"/>
      <c r="X541" s="10"/>
      <c r="Y541" s="10"/>
      <c r="Z541" s="10"/>
      <c r="AA541" s="10"/>
      <c r="AB541" s="10"/>
    </row>
    <row r="542" spans="1:28" ht="13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25"/>
      <c r="O542" s="125"/>
      <c r="P542" s="125"/>
      <c r="Q542" s="125"/>
      <c r="R542" s="125"/>
      <c r="S542" s="125"/>
      <c r="T542" s="125"/>
      <c r="U542" s="125"/>
      <c r="V542" s="125"/>
      <c r="W542" s="10"/>
      <c r="X542" s="10"/>
      <c r="Y542" s="10"/>
      <c r="Z542" s="10"/>
      <c r="AA542" s="10"/>
      <c r="AB542" s="10"/>
    </row>
    <row r="543" spans="1:28" ht="13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25"/>
      <c r="O543" s="125"/>
      <c r="P543" s="125"/>
      <c r="Q543" s="125"/>
      <c r="R543" s="125"/>
      <c r="S543" s="125"/>
      <c r="T543" s="125"/>
      <c r="U543" s="125"/>
      <c r="V543" s="125"/>
      <c r="W543" s="10"/>
      <c r="X543" s="10"/>
      <c r="Y543" s="10"/>
      <c r="Z543" s="10"/>
      <c r="AA543" s="10"/>
      <c r="AB543" s="10"/>
    </row>
    <row r="544" spans="1:28" ht="13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25"/>
      <c r="O544" s="125"/>
      <c r="P544" s="125"/>
      <c r="Q544" s="125"/>
      <c r="R544" s="125"/>
      <c r="S544" s="125"/>
      <c r="T544" s="125"/>
      <c r="U544" s="125"/>
      <c r="V544" s="125"/>
      <c r="W544" s="10"/>
      <c r="X544" s="10"/>
      <c r="Y544" s="10"/>
      <c r="Z544" s="10"/>
      <c r="AA544" s="10"/>
      <c r="AB544" s="10"/>
    </row>
    <row r="545" spans="1:28" ht="13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25"/>
      <c r="O545" s="125"/>
      <c r="P545" s="125"/>
      <c r="Q545" s="125"/>
      <c r="R545" s="125"/>
      <c r="S545" s="125"/>
      <c r="T545" s="125"/>
      <c r="U545" s="125"/>
      <c r="V545" s="125"/>
      <c r="W545" s="10"/>
      <c r="X545" s="10"/>
      <c r="Y545" s="10"/>
      <c r="Z545" s="10"/>
      <c r="AA545" s="10"/>
      <c r="AB545" s="10"/>
    </row>
    <row r="546" spans="1:28" ht="13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25"/>
      <c r="O546" s="125"/>
      <c r="P546" s="125"/>
      <c r="Q546" s="125"/>
      <c r="R546" s="125"/>
      <c r="S546" s="125"/>
      <c r="T546" s="125"/>
      <c r="U546" s="125"/>
      <c r="V546" s="125"/>
      <c r="W546" s="10"/>
      <c r="X546" s="10"/>
      <c r="Y546" s="10"/>
      <c r="Z546" s="10"/>
      <c r="AA546" s="10"/>
      <c r="AB546" s="10"/>
    </row>
    <row r="547" spans="1:28" ht="13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25"/>
      <c r="O547" s="125"/>
      <c r="P547" s="125"/>
      <c r="Q547" s="125"/>
      <c r="R547" s="125"/>
      <c r="S547" s="125"/>
      <c r="T547" s="125"/>
      <c r="U547" s="125"/>
      <c r="V547" s="125"/>
      <c r="W547" s="10"/>
      <c r="X547" s="10"/>
      <c r="Y547" s="10"/>
      <c r="Z547" s="10"/>
      <c r="AA547" s="10"/>
      <c r="AB547" s="10"/>
    </row>
    <row r="548" spans="1:28" ht="13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25"/>
      <c r="O548" s="125"/>
      <c r="P548" s="125"/>
      <c r="Q548" s="125"/>
      <c r="R548" s="125"/>
      <c r="S548" s="125"/>
      <c r="T548" s="125"/>
      <c r="U548" s="125"/>
      <c r="V548" s="125"/>
      <c r="W548" s="10"/>
      <c r="X548" s="10"/>
      <c r="Y548" s="10"/>
      <c r="Z548" s="10"/>
      <c r="AA548" s="10"/>
      <c r="AB548" s="10"/>
    </row>
    <row r="549" spans="1:28" ht="13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25"/>
      <c r="O549" s="125"/>
      <c r="P549" s="125"/>
      <c r="Q549" s="125"/>
      <c r="R549" s="125"/>
      <c r="S549" s="125"/>
      <c r="T549" s="125"/>
      <c r="U549" s="125"/>
      <c r="V549" s="125"/>
      <c r="W549" s="10"/>
      <c r="X549" s="10"/>
      <c r="Y549" s="10"/>
      <c r="Z549" s="10"/>
      <c r="AA549" s="10"/>
      <c r="AB549" s="10"/>
    </row>
    <row r="550" spans="1:28" ht="13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25"/>
      <c r="O550" s="125"/>
      <c r="P550" s="125"/>
      <c r="Q550" s="125"/>
      <c r="R550" s="125"/>
      <c r="S550" s="125"/>
      <c r="T550" s="125"/>
      <c r="U550" s="125"/>
      <c r="V550" s="125"/>
      <c r="W550" s="10"/>
      <c r="X550" s="10"/>
      <c r="Y550" s="10"/>
      <c r="Z550" s="10"/>
      <c r="AA550" s="10"/>
      <c r="AB550" s="10"/>
    </row>
    <row r="551" spans="1:28" ht="13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25"/>
      <c r="O551" s="125"/>
      <c r="P551" s="125"/>
      <c r="Q551" s="125"/>
      <c r="R551" s="125"/>
      <c r="S551" s="125"/>
      <c r="T551" s="125"/>
      <c r="U551" s="125"/>
      <c r="V551" s="125"/>
      <c r="W551" s="10"/>
      <c r="X551" s="10"/>
      <c r="Y551" s="10"/>
      <c r="Z551" s="10"/>
      <c r="AA551" s="10"/>
      <c r="AB551" s="10"/>
    </row>
    <row r="552" spans="1:28" ht="13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25"/>
      <c r="O552" s="125"/>
      <c r="P552" s="125"/>
      <c r="Q552" s="125"/>
      <c r="R552" s="125"/>
      <c r="S552" s="125"/>
      <c r="T552" s="125"/>
      <c r="U552" s="125"/>
      <c r="V552" s="125"/>
      <c r="W552" s="10"/>
      <c r="X552" s="10"/>
      <c r="Y552" s="10"/>
      <c r="Z552" s="10"/>
      <c r="AA552" s="10"/>
      <c r="AB552" s="10"/>
    </row>
    <row r="553" spans="1:28" ht="13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25"/>
      <c r="O553" s="125"/>
      <c r="P553" s="125"/>
      <c r="Q553" s="125"/>
      <c r="R553" s="125"/>
      <c r="S553" s="125"/>
      <c r="T553" s="125"/>
      <c r="U553" s="125"/>
      <c r="V553" s="125"/>
      <c r="W553" s="10"/>
      <c r="X553" s="10"/>
      <c r="Y553" s="10"/>
      <c r="Z553" s="10"/>
      <c r="AA553" s="10"/>
      <c r="AB553" s="10"/>
    </row>
    <row r="554" spans="1:28" ht="13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25"/>
      <c r="O554" s="125"/>
      <c r="P554" s="125"/>
      <c r="Q554" s="125"/>
      <c r="R554" s="125"/>
      <c r="S554" s="125"/>
      <c r="T554" s="125"/>
      <c r="U554" s="125"/>
      <c r="V554" s="125"/>
      <c r="W554" s="10"/>
      <c r="X554" s="10"/>
      <c r="Y554" s="10"/>
      <c r="Z554" s="10"/>
      <c r="AA554" s="10"/>
      <c r="AB554" s="10"/>
    </row>
    <row r="555" spans="1:28" ht="13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25"/>
      <c r="O555" s="125"/>
      <c r="P555" s="125"/>
      <c r="Q555" s="125"/>
      <c r="R555" s="125"/>
      <c r="S555" s="125"/>
      <c r="T555" s="125"/>
      <c r="U555" s="125"/>
      <c r="V555" s="125"/>
      <c r="W555" s="10"/>
      <c r="X555" s="10"/>
      <c r="Y555" s="10"/>
      <c r="Z555" s="10"/>
      <c r="AA555" s="10"/>
      <c r="AB555" s="10"/>
    </row>
    <row r="556" spans="1:28" ht="13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25"/>
      <c r="O556" s="125"/>
      <c r="P556" s="125"/>
      <c r="Q556" s="125"/>
      <c r="R556" s="125"/>
      <c r="S556" s="125"/>
      <c r="T556" s="125"/>
      <c r="U556" s="125"/>
      <c r="V556" s="125"/>
      <c r="W556" s="10"/>
      <c r="X556" s="10"/>
      <c r="Y556" s="10"/>
      <c r="Z556" s="10"/>
      <c r="AA556" s="10"/>
      <c r="AB556" s="10"/>
    </row>
    <row r="557" spans="1:28" ht="13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25"/>
      <c r="O557" s="125"/>
      <c r="P557" s="125"/>
      <c r="Q557" s="125"/>
      <c r="R557" s="125"/>
      <c r="S557" s="125"/>
      <c r="T557" s="125"/>
      <c r="U557" s="125"/>
      <c r="V557" s="125"/>
      <c r="W557" s="10"/>
      <c r="X557" s="10"/>
      <c r="Y557" s="10"/>
      <c r="Z557" s="10"/>
      <c r="AA557" s="10"/>
      <c r="AB557" s="10"/>
    </row>
    <row r="558" spans="1:28" ht="13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25"/>
      <c r="O558" s="125"/>
      <c r="P558" s="125"/>
      <c r="Q558" s="125"/>
      <c r="R558" s="125"/>
      <c r="S558" s="125"/>
      <c r="T558" s="125"/>
      <c r="U558" s="125"/>
      <c r="V558" s="125"/>
      <c r="W558" s="10"/>
      <c r="X558" s="10"/>
      <c r="Y558" s="10"/>
      <c r="Z558" s="10"/>
      <c r="AA558" s="10"/>
      <c r="AB558" s="10"/>
    </row>
    <row r="559" spans="1:28" ht="13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25"/>
      <c r="O559" s="125"/>
      <c r="P559" s="125"/>
      <c r="Q559" s="125"/>
      <c r="R559" s="125"/>
      <c r="S559" s="125"/>
      <c r="T559" s="125"/>
      <c r="U559" s="125"/>
      <c r="V559" s="125"/>
      <c r="W559" s="10"/>
      <c r="X559" s="10"/>
      <c r="Y559" s="10"/>
      <c r="Z559" s="10"/>
      <c r="AA559" s="10"/>
      <c r="AB559" s="10"/>
    </row>
    <row r="560" spans="1:28" ht="13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25"/>
      <c r="O560" s="125"/>
      <c r="P560" s="125"/>
      <c r="Q560" s="125"/>
      <c r="R560" s="125"/>
      <c r="S560" s="125"/>
      <c r="T560" s="125"/>
      <c r="U560" s="125"/>
      <c r="V560" s="125"/>
      <c r="W560" s="10"/>
      <c r="X560" s="10"/>
      <c r="Y560" s="10"/>
      <c r="Z560" s="10"/>
      <c r="AA560" s="10"/>
      <c r="AB560" s="10"/>
    </row>
    <row r="561" spans="1:28" ht="13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25"/>
      <c r="O561" s="125"/>
      <c r="P561" s="125"/>
      <c r="Q561" s="125"/>
      <c r="R561" s="125"/>
      <c r="S561" s="125"/>
      <c r="T561" s="125"/>
      <c r="U561" s="125"/>
      <c r="V561" s="125"/>
      <c r="W561" s="10"/>
      <c r="X561" s="10"/>
      <c r="Y561" s="10"/>
      <c r="Z561" s="10"/>
      <c r="AA561" s="10"/>
      <c r="AB561" s="10"/>
    </row>
    <row r="562" spans="1:28" ht="13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25"/>
      <c r="O562" s="125"/>
      <c r="P562" s="125"/>
      <c r="Q562" s="125"/>
      <c r="R562" s="125"/>
      <c r="S562" s="125"/>
      <c r="T562" s="125"/>
      <c r="U562" s="125"/>
      <c r="V562" s="125"/>
      <c r="W562" s="10"/>
      <c r="X562" s="10"/>
      <c r="Y562" s="10"/>
      <c r="Z562" s="10"/>
      <c r="AA562" s="10"/>
      <c r="AB562" s="10"/>
    </row>
    <row r="563" spans="1:28" ht="13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25"/>
      <c r="O563" s="125"/>
      <c r="P563" s="125"/>
      <c r="Q563" s="125"/>
      <c r="R563" s="125"/>
      <c r="S563" s="125"/>
      <c r="T563" s="125"/>
      <c r="U563" s="125"/>
      <c r="V563" s="125"/>
      <c r="W563" s="10"/>
      <c r="X563" s="10"/>
      <c r="Y563" s="10"/>
      <c r="Z563" s="10"/>
      <c r="AA563" s="10"/>
      <c r="AB563" s="10"/>
    </row>
    <row r="564" spans="1:28" ht="13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25"/>
      <c r="O564" s="125"/>
      <c r="P564" s="125"/>
      <c r="Q564" s="125"/>
      <c r="R564" s="125"/>
      <c r="S564" s="125"/>
      <c r="T564" s="125"/>
      <c r="U564" s="125"/>
      <c r="V564" s="125"/>
      <c r="W564" s="10"/>
      <c r="X564" s="10"/>
      <c r="Y564" s="10"/>
      <c r="Z564" s="10"/>
      <c r="AA564" s="10"/>
      <c r="AB564" s="10"/>
    </row>
    <row r="565" spans="1:28" ht="13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25"/>
      <c r="O565" s="125"/>
      <c r="P565" s="125"/>
      <c r="Q565" s="125"/>
      <c r="R565" s="125"/>
      <c r="S565" s="125"/>
      <c r="T565" s="125"/>
      <c r="U565" s="125"/>
      <c r="V565" s="125"/>
      <c r="W565" s="10"/>
      <c r="X565" s="10"/>
      <c r="Y565" s="10"/>
      <c r="Z565" s="10"/>
      <c r="AA565" s="10"/>
      <c r="AB565" s="10"/>
    </row>
    <row r="566" spans="1:28" ht="13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25"/>
      <c r="O566" s="125"/>
      <c r="P566" s="125"/>
      <c r="Q566" s="125"/>
      <c r="R566" s="125"/>
      <c r="S566" s="125"/>
      <c r="T566" s="125"/>
      <c r="U566" s="125"/>
      <c r="V566" s="125"/>
      <c r="W566" s="10"/>
      <c r="X566" s="10"/>
      <c r="Y566" s="10"/>
      <c r="Z566" s="10"/>
      <c r="AA566" s="10"/>
      <c r="AB566" s="10"/>
    </row>
    <row r="567" spans="1:28" ht="13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25"/>
      <c r="O567" s="125"/>
      <c r="P567" s="125"/>
      <c r="Q567" s="125"/>
      <c r="R567" s="125"/>
      <c r="S567" s="125"/>
      <c r="T567" s="125"/>
      <c r="U567" s="125"/>
      <c r="V567" s="125"/>
      <c r="W567" s="10"/>
      <c r="X567" s="10"/>
      <c r="Y567" s="10"/>
      <c r="Z567" s="10"/>
      <c r="AA567" s="10"/>
      <c r="AB567" s="10"/>
    </row>
    <row r="568" spans="1:28" ht="13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25"/>
      <c r="O568" s="125"/>
      <c r="P568" s="125"/>
      <c r="Q568" s="125"/>
      <c r="R568" s="125"/>
      <c r="S568" s="125"/>
      <c r="T568" s="125"/>
      <c r="U568" s="125"/>
      <c r="V568" s="125"/>
      <c r="W568" s="10"/>
      <c r="X568" s="10"/>
      <c r="Y568" s="10"/>
      <c r="Z568" s="10"/>
      <c r="AA568" s="10"/>
      <c r="AB568" s="10"/>
    </row>
    <row r="569" spans="1:28" ht="13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25"/>
      <c r="O569" s="125"/>
      <c r="P569" s="125"/>
      <c r="Q569" s="125"/>
      <c r="R569" s="125"/>
      <c r="S569" s="125"/>
      <c r="T569" s="125"/>
      <c r="U569" s="125"/>
      <c r="V569" s="125"/>
      <c r="W569" s="10"/>
      <c r="X569" s="10"/>
      <c r="Y569" s="10"/>
      <c r="Z569" s="10"/>
      <c r="AA569" s="10"/>
      <c r="AB569" s="10"/>
    </row>
    <row r="570" spans="1:28" ht="13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25"/>
      <c r="O570" s="125"/>
      <c r="P570" s="125"/>
      <c r="Q570" s="125"/>
      <c r="R570" s="125"/>
      <c r="S570" s="125"/>
      <c r="T570" s="125"/>
      <c r="U570" s="125"/>
      <c r="V570" s="125"/>
      <c r="W570" s="10"/>
      <c r="X570" s="10"/>
      <c r="Y570" s="10"/>
      <c r="Z570" s="10"/>
      <c r="AA570" s="10"/>
      <c r="AB570" s="10"/>
    </row>
    <row r="571" spans="1:28" ht="13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25"/>
      <c r="O571" s="125"/>
      <c r="P571" s="125"/>
      <c r="Q571" s="125"/>
      <c r="R571" s="125"/>
      <c r="S571" s="125"/>
      <c r="T571" s="125"/>
      <c r="U571" s="125"/>
      <c r="V571" s="125"/>
      <c r="W571" s="10"/>
      <c r="X571" s="10"/>
      <c r="Y571" s="10"/>
      <c r="Z571" s="10"/>
      <c r="AA571" s="10"/>
      <c r="AB571" s="10"/>
    </row>
    <row r="572" spans="1:28" ht="13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25"/>
      <c r="O572" s="125"/>
      <c r="P572" s="125"/>
      <c r="Q572" s="125"/>
      <c r="R572" s="125"/>
      <c r="S572" s="125"/>
      <c r="T572" s="125"/>
      <c r="U572" s="125"/>
      <c r="V572" s="125"/>
      <c r="W572" s="10"/>
      <c r="X572" s="10"/>
      <c r="Y572" s="10"/>
      <c r="Z572" s="10"/>
      <c r="AA572" s="10"/>
      <c r="AB572" s="10"/>
    </row>
    <row r="573" spans="1:28" ht="13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25"/>
      <c r="O573" s="125"/>
      <c r="P573" s="125"/>
      <c r="Q573" s="125"/>
      <c r="R573" s="125"/>
      <c r="S573" s="125"/>
      <c r="T573" s="125"/>
      <c r="U573" s="125"/>
      <c r="V573" s="125"/>
      <c r="W573" s="10"/>
      <c r="X573" s="10"/>
      <c r="Y573" s="10"/>
      <c r="Z573" s="10"/>
      <c r="AA573" s="10"/>
      <c r="AB573" s="10"/>
    </row>
    <row r="574" spans="1:28" ht="13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25"/>
      <c r="O574" s="125"/>
      <c r="P574" s="125"/>
      <c r="Q574" s="125"/>
      <c r="R574" s="125"/>
      <c r="S574" s="125"/>
      <c r="T574" s="125"/>
      <c r="U574" s="125"/>
      <c r="V574" s="125"/>
      <c r="W574" s="10"/>
      <c r="X574" s="10"/>
      <c r="Y574" s="10"/>
      <c r="Z574" s="10"/>
      <c r="AA574" s="10"/>
      <c r="AB574" s="10"/>
    </row>
    <row r="575" spans="1:28" ht="13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25"/>
      <c r="O575" s="125"/>
      <c r="P575" s="125"/>
      <c r="Q575" s="125"/>
      <c r="R575" s="125"/>
      <c r="S575" s="125"/>
      <c r="T575" s="125"/>
      <c r="U575" s="125"/>
      <c r="V575" s="125"/>
      <c r="W575" s="10"/>
      <c r="X575" s="10"/>
      <c r="Y575" s="10"/>
      <c r="Z575" s="10"/>
      <c r="AA575" s="10"/>
      <c r="AB575" s="10"/>
    </row>
    <row r="576" spans="1:28" ht="13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25"/>
      <c r="O576" s="125"/>
      <c r="P576" s="125"/>
      <c r="Q576" s="125"/>
      <c r="R576" s="125"/>
      <c r="S576" s="125"/>
      <c r="T576" s="125"/>
      <c r="U576" s="125"/>
      <c r="V576" s="125"/>
      <c r="W576" s="10"/>
      <c r="X576" s="10"/>
      <c r="Y576" s="10"/>
      <c r="Z576" s="10"/>
      <c r="AA576" s="10"/>
      <c r="AB576" s="10"/>
    </row>
    <row r="577" spans="1:28" ht="13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25"/>
      <c r="O577" s="125"/>
      <c r="P577" s="125"/>
      <c r="Q577" s="125"/>
      <c r="R577" s="125"/>
      <c r="S577" s="125"/>
      <c r="T577" s="125"/>
      <c r="U577" s="125"/>
      <c r="V577" s="125"/>
      <c r="W577" s="10"/>
      <c r="X577" s="10"/>
      <c r="Y577" s="10"/>
      <c r="Z577" s="10"/>
      <c r="AA577" s="10"/>
      <c r="AB577" s="10"/>
    </row>
    <row r="578" spans="1:28" ht="13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25"/>
      <c r="O578" s="125"/>
      <c r="P578" s="125"/>
      <c r="Q578" s="125"/>
      <c r="R578" s="125"/>
      <c r="S578" s="125"/>
      <c r="T578" s="125"/>
      <c r="U578" s="125"/>
      <c r="V578" s="125"/>
      <c r="W578" s="10"/>
      <c r="X578" s="10"/>
      <c r="Y578" s="10"/>
      <c r="Z578" s="10"/>
      <c r="AA578" s="10"/>
      <c r="AB578" s="10"/>
    </row>
    <row r="579" spans="1:28" ht="13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25"/>
      <c r="O579" s="125"/>
      <c r="P579" s="125"/>
      <c r="Q579" s="125"/>
      <c r="R579" s="125"/>
      <c r="S579" s="125"/>
      <c r="T579" s="125"/>
      <c r="U579" s="125"/>
      <c r="V579" s="125"/>
      <c r="W579" s="10"/>
      <c r="X579" s="10"/>
      <c r="Y579" s="10"/>
      <c r="Z579" s="10"/>
      <c r="AA579" s="10"/>
      <c r="AB579" s="10"/>
    </row>
    <row r="580" spans="1:28" ht="13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25"/>
      <c r="O580" s="125"/>
      <c r="P580" s="125"/>
      <c r="Q580" s="125"/>
      <c r="R580" s="125"/>
      <c r="S580" s="125"/>
      <c r="T580" s="125"/>
      <c r="U580" s="125"/>
      <c r="V580" s="125"/>
      <c r="W580" s="10"/>
      <c r="X580" s="10"/>
      <c r="Y580" s="10"/>
      <c r="Z580" s="10"/>
      <c r="AA580" s="10"/>
      <c r="AB580" s="10"/>
    </row>
    <row r="581" spans="1:28" ht="13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25"/>
      <c r="O581" s="125"/>
      <c r="P581" s="125"/>
      <c r="Q581" s="125"/>
      <c r="R581" s="125"/>
      <c r="S581" s="125"/>
      <c r="T581" s="125"/>
      <c r="U581" s="125"/>
      <c r="V581" s="125"/>
      <c r="W581" s="10"/>
      <c r="X581" s="10"/>
      <c r="Y581" s="10"/>
      <c r="Z581" s="10"/>
      <c r="AA581" s="10"/>
      <c r="AB581" s="10"/>
    </row>
    <row r="582" spans="1:28" ht="13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25"/>
      <c r="O582" s="125"/>
      <c r="P582" s="125"/>
      <c r="Q582" s="125"/>
      <c r="R582" s="125"/>
      <c r="S582" s="125"/>
      <c r="T582" s="125"/>
      <c r="U582" s="125"/>
      <c r="V582" s="125"/>
      <c r="W582" s="10"/>
      <c r="X582" s="10"/>
      <c r="Y582" s="10"/>
      <c r="Z582" s="10"/>
      <c r="AA582" s="10"/>
      <c r="AB582" s="10"/>
    </row>
    <row r="583" spans="1:28" ht="13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25"/>
      <c r="O583" s="125"/>
      <c r="P583" s="125"/>
      <c r="Q583" s="125"/>
      <c r="R583" s="125"/>
      <c r="S583" s="125"/>
      <c r="T583" s="125"/>
      <c r="U583" s="125"/>
      <c r="V583" s="125"/>
      <c r="W583" s="10"/>
      <c r="X583" s="10"/>
      <c r="Y583" s="10"/>
      <c r="Z583" s="10"/>
      <c r="AA583" s="10"/>
      <c r="AB583" s="10"/>
    </row>
    <row r="584" spans="1:28" ht="13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25"/>
      <c r="O584" s="125"/>
      <c r="P584" s="125"/>
      <c r="Q584" s="125"/>
      <c r="R584" s="125"/>
      <c r="S584" s="125"/>
      <c r="T584" s="125"/>
      <c r="U584" s="125"/>
      <c r="V584" s="125"/>
      <c r="W584" s="10"/>
      <c r="X584" s="10"/>
      <c r="Y584" s="10"/>
      <c r="Z584" s="10"/>
      <c r="AA584" s="10"/>
      <c r="AB584" s="10"/>
    </row>
    <row r="585" spans="1:28" ht="13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25"/>
      <c r="O585" s="125"/>
      <c r="P585" s="125"/>
      <c r="Q585" s="125"/>
      <c r="R585" s="125"/>
      <c r="S585" s="125"/>
      <c r="T585" s="125"/>
      <c r="U585" s="125"/>
      <c r="V585" s="125"/>
      <c r="W585" s="10"/>
      <c r="X585" s="10"/>
      <c r="Y585" s="10"/>
      <c r="Z585" s="10"/>
      <c r="AA585" s="10"/>
      <c r="AB585" s="10"/>
    </row>
    <row r="586" spans="1:28" ht="13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25"/>
      <c r="O586" s="125"/>
      <c r="P586" s="125"/>
      <c r="Q586" s="125"/>
      <c r="R586" s="125"/>
      <c r="S586" s="125"/>
      <c r="T586" s="125"/>
      <c r="U586" s="125"/>
      <c r="V586" s="125"/>
      <c r="W586" s="10"/>
      <c r="X586" s="10"/>
      <c r="Y586" s="10"/>
      <c r="Z586" s="10"/>
      <c r="AA586" s="10"/>
      <c r="AB586" s="10"/>
    </row>
    <row r="587" spans="1:28" ht="13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25"/>
      <c r="O587" s="125"/>
      <c r="P587" s="125"/>
      <c r="Q587" s="125"/>
      <c r="R587" s="125"/>
      <c r="S587" s="125"/>
      <c r="T587" s="125"/>
      <c r="U587" s="125"/>
      <c r="V587" s="125"/>
      <c r="W587" s="10"/>
      <c r="X587" s="10"/>
      <c r="Y587" s="10"/>
      <c r="Z587" s="10"/>
      <c r="AA587" s="10"/>
      <c r="AB587" s="10"/>
    </row>
    <row r="588" spans="1:28" ht="13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25"/>
      <c r="O588" s="125"/>
      <c r="P588" s="125"/>
      <c r="Q588" s="125"/>
      <c r="R588" s="125"/>
      <c r="S588" s="125"/>
      <c r="T588" s="125"/>
      <c r="U588" s="125"/>
      <c r="V588" s="125"/>
      <c r="W588" s="10"/>
      <c r="X588" s="10"/>
      <c r="Y588" s="10"/>
      <c r="Z588" s="10"/>
      <c r="AA588" s="10"/>
      <c r="AB588" s="10"/>
    </row>
    <row r="589" spans="1:28" ht="13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25"/>
      <c r="O589" s="125"/>
      <c r="P589" s="125"/>
      <c r="Q589" s="125"/>
      <c r="R589" s="125"/>
      <c r="S589" s="125"/>
      <c r="T589" s="125"/>
      <c r="U589" s="125"/>
      <c r="V589" s="125"/>
      <c r="W589" s="10"/>
      <c r="X589" s="10"/>
      <c r="Y589" s="10"/>
      <c r="Z589" s="10"/>
      <c r="AA589" s="10"/>
      <c r="AB589" s="10"/>
    </row>
    <row r="590" spans="1:28" ht="13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25"/>
      <c r="O590" s="125"/>
      <c r="P590" s="125"/>
      <c r="Q590" s="125"/>
      <c r="R590" s="125"/>
      <c r="S590" s="125"/>
      <c r="T590" s="125"/>
      <c r="U590" s="125"/>
      <c r="V590" s="125"/>
      <c r="W590" s="10"/>
      <c r="X590" s="10"/>
      <c r="Y590" s="10"/>
      <c r="Z590" s="10"/>
      <c r="AA590" s="10"/>
      <c r="AB590" s="10"/>
    </row>
    <row r="591" spans="1:28" ht="13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25"/>
      <c r="O591" s="125"/>
      <c r="P591" s="125"/>
      <c r="Q591" s="125"/>
      <c r="R591" s="125"/>
      <c r="S591" s="125"/>
      <c r="T591" s="125"/>
      <c r="U591" s="125"/>
      <c r="V591" s="125"/>
      <c r="W591" s="10"/>
      <c r="X591" s="10"/>
      <c r="Y591" s="10"/>
      <c r="Z591" s="10"/>
      <c r="AA591" s="10"/>
      <c r="AB591" s="10"/>
    </row>
    <row r="592" spans="1:28" ht="13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25"/>
      <c r="O592" s="125"/>
      <c r="P592" s="125"/>
      <c r="Q592" s="125"/>
      <c r="R592" s="125"/>
      <c r="S592" s="125"/>
      <c r="T592" s="125"/>
      <c r="U592" s="125"/>
      <c r="V592" s="125"/>
      <c r="W592" s="10"/>
      <c r="X592" s="10"/>
      <c r="Y592" s="10"/>
      <c r="Z592" s="10"/>
      <c r="AA592" s="10"/>
      <c r="AB592" s="10"/>
    </row>
    <row r="593" spans="1:28" ht="13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25"/>
      <c r="O593" s="125"/>
      <c r="P593" s="125"/>
      <c r="Q593" s="125"/>
      <c r="R593" s="125"/>
      <c r="S593" s="125"/>
      <c r="T593" s="125"/>
      <c r="U593" s="125"/>
      <c r="V593" s="125"/>
      <c r="W593" s="10"/>
      <c r="X593" s="10"/>
      <c r="Y593" s="10"/>
      <c r="Z593" s="10"/>
      <c r="AA593" s="10"/>
      <c r="AB593" s="10"/>
    </row>
    <row r="594" spans="1:28" ht="13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25"/>
      <c r="O594" s="125"/>
      <c r="P594" s="125"/>
      <c r="Q594" s="125"/>
      <c r="R594" s="125"/>
      <c r="S594" s="125"/>
      <c r="T594" s="125"/>
      <c r="U594" s="125"/>
      <c r="V594" s="125"/>
      <c r="W594" s="10"/>
      <c r="X594" s="10"/>
      <c r="Y594" s="10"/>
      <c r="Z594" s="10"/>
      <c r="AA594" s="10"/>
      <c r="AB594" s="10"/>
    </row>
    <row r="595" spans="1:28" ht="13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25"/>
      <c r="O595" s="125"/>
      <c r="P595" s="125"/>
      <c r="Q595" s="125"/>
      <c r="R595" s="125"/>
      <c r="S595" s="125"/>
      <c r="T595" s="125"/>
      <c r="U595" s="125"/>
      <c r="V595" s="125"/>
      <c r="W595" s="10"/>
      <c r="X595" s="10"/>
      <c r="Y595" s="10"/>
      <c r="Z595" s="10"/>
      <c r="AA595" s="10"/>
      <c r="AB595" s="10"/>
    </row>
    <row r="596" spans="1:28" ht="13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25"/>
      <c r="O596" s="125"/>
      <c r="P596" s="125"/>
      <c r="Q596" s="125"/>
      <c r="R596" s="125"/>
      <c r="S596" s="125"/>
      <c r="T596" s="125"/>
      <c r="U596" s="125"/>
      <c r="V596" s="125"/>
      <c r="W596" s="10"/>
      <c r="X596" s="10"/>
      <c r="Y596" s="10"/>
      <c r="Z596" s="10"/>
      <c r="AA596" s="10"/>
      <c r="AB596" s="10"/>
    </row>
    <row r="597" spans="1:28" ht="13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25"/>
      <c r="O597" s="125"/>
      <c r="P597" s="125"/>
      <c r="Q597" s="125"/>
      <c r="R597" s="125"/>
      <c r="S597" s="125"/>
      <c r="T597" s="125"/>
      <c r="U597" s="125"/>
      <c r="V597" s="125"/>
      <c r="W597" s="10"/>
      <c r="X597" s="10"/>
      <c r="Y597" s="10"/>
      <c r="Z597" s="10"/>
      <c r="AA597" s="10"/>
      <c r="AB597" s="10"/>
    </row>
    <row r="598" spans="1:28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25"/>
      <c r="O598" s="125"/>
      <c r="P598" s="125"/>
      <c r="Q598" s="125"/>
      <c r="R598" s="125"/>
      <c r="S598" s="125"/>
      <c r="T598" s="125"/>
      <c r="U598" s="125"/>
      <c r="V598" s="125"/>
      <c r="W598" s="10"/>
      <c r="X598" s="10"/>
      <c r="Y598" s="10"/>
      <c r="Z598" s="10"/>
      <c r="AA598" s="10"/>
      <c r="AB598" s="10"/>
    </row>
    <row r="599" spans="1:28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25"/>
      <c r="O599" s="125"/>
      <c r="P599" s="125"/>
      <c r="Q599" s="125"/>
      <c r="R599" s="125"/>
      <c r="S599" s="125"/>
      <c r="T599" s="125"/>
      <c r="U599" s="125"/>
      <c r="V599" s="125"/>
      <c r="W599" s="10"/>
      <c r="X599" s="10"/>
      <c r="Y599" s="10"/>
      <c r="Z599" s="10"/>
      <c r="AA599" s="10"/>
      <c r="AB599" s="10"/>
    </row>
    <row r="600" spans="1:28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25"/>
      <c r="O600" s="125"/>
      <c r="P600" s="125"/>
      <c r="Q600" s="125"/>
      <c r="R600" s="125"/>
      <c r="S600" s="125"/>
      <c r="T600" s="125"/>
      <c r="U600" s="125"/>
      <c r="V600" s="125"/>
      <c r="W600" s="10"/>
      <c r="X600" s="10"/>
      <c r="Y600" s="10"/>
      <c r="Z600" s="10"/>
      <c r="AA600" s="10"/>
      <c r="AB600" s="10"/>
    </row>
    <row r="601" spans="1:28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25"/>
      <c r="O601" s="125"/>
      <c r="P601" s="125"/>
      <c r="Q601" s="125"/>
      <c r="R601" s="125"/>
      <c r="S601" s="125"/>
      <c r="T601" s="125"/>
      <c r="U601" s="125"/>
      <c r="V601" s="125"/>
      <c r="W601" s="10"/>
      <c r="X601" s="10"/>
      <c r="Y601" s="10"/>
      <c r="Z601" s="10"/>
      <c r="AA601" s="10"/>
      <c r="AB601" s="10"/>
    </row>
    <row r="602" spans="1:28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25"/>
      <c r="O602" s="125"/>
      <c r="P602" s="125"/>
      <c r="Q602" s="125"/>
      <c r="R602" s="125"/>
      <c r="S602" s="125"/>
      <c r="T602" s="125"/>
      <c r="U602" s="125"/>
      <c r="V602" s="125"/>
      <c r="W602" s="10"/>
      <c r="X602" s="10"/>
      <c r="Y602" s="10"/>
      <c r="Z602" s="10"/>
      <c r="AA602" s="10"/>
      <c r="AB602" s="10"/>
    </row>
    <row r="603" spans="1:28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25"/>
      <c r="O603" s="125"/>
      <c r="P603" s="125"/>
      <c r="Q603" s="125"/>
      <c r="R603" s="125"/>
      <c r="S603" s="125"/>
      <c r="T603" s="125"/>
      <c r="U603" s="125"/>
      <c r="V603" s="125"/>
      <c r="W603" s="10"/>
      <c r="X603" s="10"/>
      <c r="Y603" s="10"/>
      <c r="Z603" s="10"/>
      <c r="AA603" s="10"/>
      <c r="AB603" s="10"/>
    </row>
    <row r="604" spans="1:28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25"/>
      <c r="O604" s="125"/>
      <c r="P604" s="125"/>
      <c r="Q604" s="125"/>
      <c r="R604" s="125"/>
      <c r="S604" s="125"/>
      <c r="T604" s="125"/>
      <c r="U604" s="125"/>
      <c r="V604" s="125"/>
      <c r="W604" s="10"/>
      <c r="X604" s="10"/>
      <c r="Y604" s="10"/>
      <c r="Z604" s="10"/>
      <c r="AA604" s="10"/>
      <c r="AB604" s="10"/>
    </row>
    <row r="605" spans="1:28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25"/>
      <c r="O605" s="125"/>
      <c r="P605" s="125"/>
      <c r="Q605" s="125"/>
      <c r="R605" s="125"/>
      <c r="S605" s="125"/>
      <c r="T605" s="125"/>
      <c r="U605" s="125"/>
      <c r="V605" s="125"/>
      <c r="W605" s="10"/>
      <c r="X605" s="10"/>
      <c r="Y605" s="10"/>
      <c r="Z605" s="10"/>
      <c r="AA605" s="10"/>
      <c r="AB605" s="10"/>
    </row>
    <row r="606" spans="1:28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25"/>
      <c r="O606" s="125"/>
      <c r="P606" s="125"/>
      <c r="Q606" s="125"/>
      <c r="R606" s="125"/>
      <c r="S606" s="125"/>
      <c r="T606" s="125"/>
      <c r="U606" s="125"/>
      <c r="V606" s="125"/>
      <c r="W606" s="10"/>
      <c r="X606" s="10"/>
      <c r="Y606" s="10"/>
      <c r="Z606" s="10"/>
      <c r="AA606" s="10"/>
      <c r="AB606" s="10"/>
    </row>
    <row r="607" spans="1:28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25"/>
      <c r="O607" s="125"/>
      <c r="P607" s="125"/>
      <c r="Q607" s="125"/>
      <c r="R607" s="125"/>
      <c r="S607" s="125"/>
      <c r="T607" s="125"/>
      <c r="U607" s="125"/>
      <c r="V607" s="125"/>
      <c r="W607" s="10"/>
      <c r="X607" s="10"/>
      <c r="Y607" s="10"/>
      <c r="Z607" s="10"/>
      <c r="AA607" s="10"/>
      <c r="AB607" s="10"/>
    </row>
    <row r="608" spans="1:28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25"/>
      <c r="O608" s="125"/>
      <c r="P608" s="125"/>
      <c r="Q608" s="125"/>
      <c r="R608" s="125"/>
      <c r="S608" s="125"/>
      <c r="T608" s="125"/>
      <c r="U608" s="125"/>
      <c r="V608" s="125"/>
      <c r="W608" s="10"/>
      <c r="X608" s="10"/>
      <c r="Y608" s="10"/>
      <c r="Z608" s="10"/>
      <c r="AA608" s="10"/>
      <c r="AB608" s="10"/>
    </row>
    <row r="609" spans="1:28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25"/>
      <c r="O609" s="125"/>
      <c r="P609" s="125"/>
      <c r="Q609" s="125"/>
      <c r="R609" s="125"/>
      <c r="S609" s="125"/>
      <c r="T609" s="125"/>
      <c r="U609" s="125"/>
      <c r="V609" s="125"/>
      <c r="W609" s="10"/>
      <c r="X609" s="10"/>
      <c r="Y609" s="10"/>
      <c r="Z609" s="10"/>
      <c r="AA609" s="10"/>
      <c r="AB609" s="10"/>
    </row>
    <row r="610" spans="1:28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25"/>
      <c r="O610" s="125"/>
      <c r="P610" s="125"/>
      <c r="Q610" s="125"/>
      <c r="R610" s="125"/>
      <c r="S610" s="125"/>
      <c r="T610" s="125"/>
      <c r="U610" s="125"/>
      <c r="V610" s="125"/>
      <c r="W610" s="10"/>
      <c r="X610" s="10"/>
      <c r="Y610" s="10"/>
      <c r="Z610" s="10"/>
      <c r="AA610" s="10"/>
      <c r="AB610" s="10"/>
    </row>
    <row r="611" spans="1:28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25"/>
      <c r="O611" s="125"/>
      <c r="P611" s="125"/>
      <c r="Q611" s="125"/>
      <c r="R611" s="125"/>
      <c r="S611" s="125"/>
      <c r="T611" s="125"/>
      <c r="U611" s="125"/>
      <c r="V611" s="125"/>
      <c r="W611" s="10"/>
      <c r="X611" s="10"/>
      <c r="Y611" s="10"/>
      <c r="Z611" s="10"/>
      <c r="AA611" s="10"/>
      <c r="AB611" s="10"/>
    </row>
    <row r="612" spans="1:28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25"/>
      <c r="O612" s="125"/>
      <c r="P612" s="125"/>
      <c r="Q612" s="125"/>
      <c r="R612" s="125"/>
      <c r="S612" s="125"/>
      <c r="T612" s="125"/>
      <c r="U612" s="125"/>
      <c r="V612" s="125"/>
      <c r="W612" s="10"/>
      <c r="X612" s="10"/>
      <c r="Y612" s="10"/>
      <c r="Z612" s="10"/>
      <c r="AA612" s="10"/>
      <c r="AB612" s="10"/>
    </row>
    <row r="613" spans="1:28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25"/>
      <c r="O613" s="125"/>
      <c r="P613" s="125"/>
      <c r="Q613" s="125"/>
      <c r="R613" s="125"/>
      <c r="S613" s="125"/>
      <c r="T613" s="125"/>
      <c r="U613" s="125"/>
      <c r="V613" s="125"/>
      <c r="W613" s="10"/>
      <c r="X613" s="10"/>
      <c r="Y613" s="10"/>
      <c r="Z613" s="10"/>
      <c r="AA613" s="10"/>
      <c r="AB613" s="10"/>
    </row>
    <row r="614" spans="1:28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25"/>
      <c r="O614" s="125"/>
      <c r="P614" s="125"/>
      <c r="Q614" s="125"/>
      <c r="R614" s="125"/>
      <c r="S614" s="125"/>
      <c r="T614" s="125"/>
      <c r="U614" s="125"/>
      <c r="V614" s="125"/>
      <c r="W614" s="10"/>
      <c r="X614" s="10"/>
      <c r="Y614" s="10"/>
      <c r="Z614" s="10"/>
      <c r="AA614" s="10"/>
      <c r="AB614" s="10"/>
    </row>
    <row r="615" spans="1:28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25"/>
      <c r="O615" s="125"/>
      <c r="P615" s="125"/>
      <c r="Q615" s="125"/>
      <c r="R615" s="125"/>
      <c r="S615" s="125"/>
      <c r="T615" s="125"/>
      <c r="U615" s="125"/>
      <c r="V615" s="125"/>
      <c r="W615" s="10"/>
      <c r="X615" s="10"/>
      <c r="Y615" s="10"/>
      <c r="Z615" s="10"/>
      <c r="AA615" s="10"/>
      <c r="AB615" s="10"/>
    </row>
    <row r="616" spans="1:28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25"/>
      <c r="O616" s="125"/>
      <c r="P616" s="125"/>
      <c r="Q616" s="125"/>
      <c r="R616" s="125"/>
      <c r="S616" s="125"/>
      <c r="T616" s="125"/>
      <c r="U616" s="125"/>
      <c r="V616" s="125"/>
      <c r="W616" s="10"/>
      <c r="X616" s="10"/>
      <c r="Y616" s="10"/>
      <c r="Z616" s="10"/>
      <c r="AA616" s="10"/>
      <c r="AB616" s="10"/>
    </row>
    <row r="617" spans="1:28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25"/>
      <c r="O617" s="125"/>
      <c r="P617" s="125"/>
      <c r="Q617" s="125"/>
      <c r="R617" s="125"/>
      <c r="S617" s="125"/>
      <c r="T617" s="125"/>
      <c r="U617" s="125"/>
      <c r="V617" s="125"/>
      <c r="W617" s="10"/>
      <c r="X617" s="10"/>
      <c r="Y617" s="10"/>
      <c r="Z617" s="10"/>
      <c r="AA617" s="10"/>
      <c r="AB617" s="10"/>
    </row>
    <row r="618" spans="1:28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25"/>
      <c r="O618" s="125"/>
      <c r="P618" s="125"/>
      <c r="Q618" s="125"/>
      <c r="R618" s="125"/>
      <c r="S618" s="125"/>
      <c r="T618" s="125"/>
      <c r="U618" s="125"/>
      <c r="V618" s="125"/>
      <c r="W618" s="10"/>
      <c r="X618" s="10"/>
      <c r="Y618" s="10"/>
      <c r="Z618" s="10"/>
      <c r="AA618" s="10"/>
      <c r="AB618" s="10"/>
    </row>
    <row r="619" spans="1:28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25"/>
      <c r="O619" s="125"/>
      <c r="P619" s="125"/>
      <c r="Q619" s="125"/>
      <c r="R619" s="125"/>
      <c r="S619" s="125"/>
      <c r="T619" s="125"/>
      <c r="U619" s="125"/>
      <c r="V619" s="125"/>
      <c r="W619" s="10"/>
      <c r="X619" s="10"/>
      <c r="Y619" s="10"/>
      <c r="Z619" s="10"/>
      <c r="AA619" s="10"/>
      <c r="AB619" s="10"/>
    </row>
    <row r="620" spans="1:28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25"/>
      <c r="O620" s="125"/>
      <c r="P620" s="125"/>
      <c r="Q620" s="125"/>
      <c r="R620" s="125"/>
      <c r="S620" s="125"/>
      <c r="T620" s="125"/>
      <c r="U620" s="125"/>
      <c r="V620" s="125"/>
      <c r="W620" s="10"/>
      <c r="X620" s="10"/>
      <c r="Y620" s="10"/>
      <c r="Z620" s="10"/>
      <c r="AA620" s="10"/>
      <c r="AB620" s="10"/>
    </row>
    <row r="621" spans="1:28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25"/>
      <c r="O621" s="125"/>
      <c r="P621" s="125"/>
      <c r="Q621" s="125"/>
      <c r="R621" s="125"/>
      <c r="S621" s="125"/>
      <c r="T621" s="125"/>
      <c r="U621" s="125"/>
      <c r="V621" s="125"/>
      <c r="W621" s="10"/>
      <c r="X621" s="10"/>
      <c r="Y621" s="10"/>
      <c r="Z621" s="10"/>
      <c r="AA621" s="10"/>
      <c r="AB621" s="10"/>
    </row>
    <row r="622" spans="1:28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25"/>
      <c r="O622" s="125"/>
      <c r="P622" s="125"/>
      <c r="Q622" s="125"/>
      <c r="R622" s="125"/>
      <c r="S622" s="125"/>
      <c r="T622" s="125"/>
      <c r="U622" s="125"/>
      <c r="V622" s="125"/>
      <c r="W622" s="10"/>
      <c r="X622" s="10"/>
      <c r="Y622" s="10"/>
      <c r="Z622" s="10"/>
      <c r="AA622" s="10"/>
      <c r="AB622" s="10"/>
    </row>
    <row r="623" spans="1:28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25"/>
      <c r="O623" s="125"/>
      <c r="P623" s="125"/>
      <c r="Q623" s="125"/>
      <c r="R623" s="125"/>
      <c r="S623" s="125"/>
      <c r="T623" s="125"/>
      <c r="U623" s="125"/>
      <c r="V623" s="125"/>
      <c r="W623" s="10"/>
      <c r="X623" s="10"/>
      <c r="Y623" s="10"/>
      <c r="Z623" s="10"/>
      <c r="AA623" s="10"/>
      <c r="AB623" s="10"/>
    </row>
    <row r="624" spans="1:28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25"/>
      <c r="O624" s="125"/>
      <c r="P624" s="125"/>
      <c r="Q624" s="125"/>
      <c r="R624" s="125"/>
      <c r="S624" s="125"/>
      <c r="T624" s="125"/>
      <c r="U624" s="125"/>
      <c r="V624" s="125"/>
      <c r="W624" s="10"/>
      <c r="X624" s="10"/>
      <c r="Y624" s="10"/>
      <c r="Z624" s="10"/>
      <c r="AA624" s="10"/>
      <c r="AB624" s="10"/>
    </row>
    <row r="625" spans="1:28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25"/>
      <c r="O625" s="125"/>
      <c r="P625" s="125"/>
      <c r="Q625" s="125"/>
      <c r="R625" s="125"/>
      <c r="S625" s="125"/>
      <c r="T625" s="125"/>
      <c r="U625" s="125"/>
      <c r="V625" s="125"/>
      <c r="W625" s="10"/>
      <c r="X625" s="10"/>
      <c r="Y625" s="10"/>
      <c r="Z625" s="10"/>
      <c r="AA625" s="10"/>
      <c r="AB625" s="10"/>
    </row>
    <row r="626" spans="1:28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25"/>
      <c r="O626" s="125"/>
      <c r="P626" s="125"/>
      <c r="Q626" s="125"/>
      <c r="R626" s="125"/>
      <c r="S626" s="125"/>
      <c r="T626" s="125"/>
      <c r="U626" s="125"/>
      <c r="V626" s="125"/>
      <c r="W626" s="10"/>
      <c r="X626" s="10"/>
      <c r="Y626" s="10"/>
      <c r="Z626" s="10"/>
      <c r="AA626" s="10"/>
      <c r="AB626" s="10"/>
    </row>
    <row r="627" spans="1:28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25"/>
      <c r="O627" s="125"/>
      <c r="P627" s="125"/>
      <c r="Q627" s="125"/>
      <c r="R627" s="125"/>
      <c r="S627" s="125"/>
      <c r="T627" s="125"/>
      <c r="U627" s="125"/>
      <c r="V627" s="125"/>
      <c r="W627" s="10"/>
      <c r="X627" s="10"/>
      <c r="Y627" s="10"/>
      <c r="Z627" s="10"/>
      <c r="AA627" s="10"/>
      <c r="AB627" s="10"/>
    </row>
    <row r="628" spans="1:28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25"/>
      <c r="O628" s="125"/>
      <c r="P628" s="125"/>
      <c r="Q628" s="125"/>
      <c r="R628" s="125"/>
      <c r="S628" s="125"/>
      <c r="T628" s="125"/>
      <c r="U628" s="125"/>
      <c r="V628" s="125"/>
      <c r="W628" s="10"/>
      <c r="X628" s="10"/>
      <c r="Y628" s="10"/>
      <c r="Z628" s="10"/>
      <c r="AA628" s="10"/>
      <c r="AB628" s="10"/>
    </row>
    <row r="629" spans="1:28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25"/>
      <c r="O629" s="125"/>
      <c r="P629" s="125"/>
      <c r="Q629" s="125"/>
      <c r="R629" s="125"/>
      <c r="S629" s="125"/>
      <c r="T629" s="125"/>
      <c r="U629" s="125"/>
      <c r="V629" s="125"/>
      <c r="W629" s="10"/>
      <c r="X629" s="10"/>
      <c r="Y629" s="10"/>
      <c r="Z629" s="10"/>
      <c r="AA629" s="10"/>
      <c r="AB629" s="10"/>
    </row>
    <row r="630" spans="1:28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25"/>
      <c r="O630" s="125"/>
      <c r="P630" s="125"/>
      <c r="Q630" s="125"/>
      <c r="R630" s="125"/>
      <c r="S630" s="125"/>
      <c r="T630" s="125"/>
      <c r="U630" s="125"/>
      <c r="V630" s="125"/>
      <c r="W630" s="10"/>
      <c r="X630" s="10"/>
      <c r="Y630" s="10"/>
      <c r="Z630" s="10"/>
      <c r="AA630" s="10"/>
      <c r="AB630" s="10"/>
    </row>
    <row r="631" spans="1:28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25"/>
      <c r="O631" s="125"/>
      <c r="P631" s="125"/>
      <c r="Q631" s="125"/>
      <c r="R631" s="125"/>
      <c r="S631" s="125"/>
      <c r="T631" s="125"/>
      <c r="U631" s="125"/>
      <c r="V631" s="125"/>
      <c r="W631" s="10"/>
      <c r="X631" s="10"/>
      <c r="Y631" s="10"/>
      <c r="Z631" s="10"/>
      <c r="AA631" s="10"/>
      <c r="AB631" s="10"/>
    </row>
    <row r="632" spans="1:28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25"/>
      <c r="O632" s="125"/>
      <c r="P632" s="125"/>
      <c r="Q632" s="125"/>
      <c r="R632" s="125"/>
      <c r="S632" s="125"/>
      <c r="T632" s="125"/>
      <c r="U632" s="125"/>
      <c r="V632" s="125"/>
      <c r="W632" s="10"/>
      <c r="X632" s="10"/>
      <c r="Y632" s="10"/>
      <c r="Z632" s="10"/>
      <c r="AA632" s="10"/>
      <c r="AB632" s="10"/>
    </row>
    <row r="633" spans="1:28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25"/>
      <c r="O633" s="125"/>
      <c r="P633" s="125"/>
      <c r="Q633" s="125"/>
      <c r="R633" s="125"/>
      <c r="S633" s="125"/>
      <c r="T633" s="125"/>
      <c r="U633" s="125"/>
      <c r="V633" s="125"/>
      <c r="W633" s="10"/>
      <c r="X633" s="10"/>
      <c r="Y633" s="10"/>
      <c r="Z633" s="10"/>
      <c r="AA633" s="10"/>
      <c r="AB633" s="10"/>
    </row>
    <row r="634" spans="1:28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25"/>
      <c r="O634" s="125"/>
      <c r="P634" s="125"/>
      <c r="Q634" s="125"/>
      <c r="R634" s="125"/>
      <c r="S634" s="125"/>
      <c r="T634" s="125"/>
      <c r="U634" s="125"/>
      <c r="V634" s="125"/>
      <c r="W634" s="10"/>
      <c r="X634" s="10"/>
      <c r="Y634" s="10"/>
      <c r="Z634" s="10"/>
      <c r="AA634" s="10"/>
      <c r="AB634" s="10"/>
    </row>
    <row r="635" spans="1:28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25"/>
      <c r="O635" s="125"/>
      <c r="P635" s="125"/>
      <c r="Q635" s="125"/>
      <c r="R635" s="125"/>
      <c r="S635" s="125"/>
      <c r="T635" s="125"/>
      <c r="U635" s="125"/>
      <c r="V635" s="125"/>
      <c r="W635" s="10"/>
      <c r="X635" s="10"/>
      <c r="Y635" s="10"/>
      <c r="Z635" s="10"/>
      <c r="AA635" s="10"/>
      <c r="AB635" s="10"/>
    </row>
    <row r="636" spans="1:28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25"/>
      <c r="O636" s="125"/>
      <c r="P636" s="125"/>
      <c r="Q636" s="125"/>
      <c r="R636" s="125"/>
      <c r="S636" s="125"/>
      <c r="T636" s="125"/>
      <c r="U636" s="125"/>
      <c r="V636" s="125"/>
      <c r="W636" s="10"/>
      <c r="X636" s="10"/>
      <c r="Y636" s="10"/>
      <c r="Z636" s="10"/>
      <c r="AA636" s="10"/>
      <c r="AB636" s="10"/>
    </row>
    <row r="637" spans="1:28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25"/>
      <c r="O637" s="125"/>
      <c r="P637" s="125"/>
      <c r="Q637" s="125"/>
      <c r="R637" s="125"/>
      <c r="S637" s="125"/>
      <c r="T637" s="125"/>
      <c r="U637" s="125"/>
      <c r="V637" s="125"/>
      <c r="W637" s="10"/>
      <c r="X637" s="10"/>
      <c r="Y637" s="10"/>
      <c r="Z637" s="10"/>
      <c r="AA637" s="10"/>
      <c r="AB637" s="10"/>
    </row>
    <row r="638" spans="1:28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25"/>
      <c r="O638" s="125"/>
      <c r="P638" s="125"/>
      <c r="Q638" s="125"/>
      <c r="R638" s="125"/>
      <c r="S638" s="125"/>
      <c r="T638" s="125"/>
      <c r="U638" s="125"/>
      <c r="V638" s="125"/>
      <c r="W638" s="10"/>
      <c r="X638" s="10"/>
      <c r="Y638" s="10"/>
      <c r="Z638" s="10"/>
      <c r="AA638" s="10"/>
      <c r="AB638" s="10"/>
    </row>
    <row r="639" spans="1:28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25"/>
      <c r="O639" s="125"/>
      <c r="P639" s="125"/>
      <c r="Q639" s="125"/>
      <c r="R639" s="125"/>
      <c r="S639" s="125"/>
      <c r="T639" s="125"/>
      <c r="U639" s="125"/>
      <c r="V639" s="125"/>
      <c r="W639" s="10"/>
      <c r="X639" s="10"/>
      <c r="Y639" s="10"/>
      <c r="Z639" s="10"/>
      <c r="AA639" s="10"/>
      <c r="AB639" s="10"/>
    </row>
    <row r="640" spans="1:28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25"/>
      <c r="O640" s="125"/>
      <c r="P640" s="125"/>
      <c r="Q640" s="125"/>
      <c r="R640" s="125"/>
      <c r="S640" s="125"/>
      <c r="T640" s="125"/>
      <c r="U640" s="125"/>
      <c r="V640" s="125"/>
      <c r="W640" s="10"/>
      <c r="X640" s="10"/>
      <c r="Y640" s="10"/>
      <c r="Z640" s="10"/>
      <c r="AA640" s="10"/>
      <c r="AB640" s="10"/>
    </row>
    <row r="641" spans="1:28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25"/>
      <c r="O641" s="125"/>
      <c r="P641" s="125"/>
      <c r="Q641" s="125"/>
      <c r="R641" s="125"/>
      <c r="S641" s="125"/>
      <c r="T641" s="125"/>
      <c r="U641" s="125"/>
      <c r="V641" s="125"/>
      <c r="W641" s="10"/>
      <c r="X641" s="10"/>
      <c r="Y641" s="10"/>
      <c r="Z641" s="10"/>
      <c r="AA641" s="10"/>
      <c r="AB641" s="10"/>
    </row>
    <row r="642" spans="1:28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25"/>
      <c r="O642" s="125"/>
      <c r="P642" s="125"/>
      <c r="Q642" s="125"/>
      <c r="R642" s="125"/>
      <c r="S642" s="125"/>
      <c r="T642" s="125"/>
      <c r="U642" s="125"/>
      <c r="V642" s="125"/>
      <c r="W642" s="10"/>
      <c r="X642" s="10"/>
      <c r="Y642" s="10"/>
      <c r="Z642" s="10"/>
      <c r="AA642" s="10"/>
      <c r="AB642" s="10"/>
    </row>
    <row r="643" spans="1:28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25"/>
      <c r="O643" s="125"/>
      <c r="P643" s="125"/>
      <c r="Q643" s="125"/>
      <c r="R643" s="125"/>
      <c r="S643" s="125"/>
      <c r="T643" s="125"/>
      <c r="U643" s="125"/>
      <c r="V643" s="125"/>
      <c r="W643" s="10"/>
      <c r="X643" s="10"/>
      <c r="Y643" s="10"/>
      <c r="Z643" s="10"/>
      <c r="AA643" s="10"/>
      <c r="AB643" s="10"/>
    </row>
    <row r="644" spans="1:28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25"/>
      <c r="O644" s="125"/>
      <c r="P644" s="125"/>
      <c r="Q644" s="125"/>
      <c r="R644" s="125"/>
      <c r="S644" s="125"/>
      <c r="T644" s="125"/>
      <c r="U644" s="125"/>
      <c r="V644" s="125"/>
      <c r="W644" s="10"/>
      <c r="X644" s="10"/>
      <c r="Y644" s="10"/>
      <c r="Z644" s="10"/>
      <c r="AA644" s="10"/>
      <c r="AB644" s="10"/>
    </row>
    <row r="645" spans="1:28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25"/>
      <c r="O645" s="125"/>
      <c r="P645" s="125"/>
      <c r="Q645" s="125"/>
      <c r="R645" s="125"/>
      <c r="S645" s="125"/>
      <c r="T645" s="125"/>
      <c r="U645" s="125"/>
      <c r="V645" s="125"/>
      <c r="W645" s="10"/>
      <c r="X645" s="10"/>
      <c r="Y645" s="10"/>
      <c r="Z645" s="10"/>
      <c r="AA645" s="10"/>
      <c r="AB645" s="10"/>
    </row>
    <row r="646" spans="1:28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25"/>
      <c r="O646" s="125"/>
      <c r="P646" s="125"/>
      <c r="Q646" s="125"/>
      <c r="R646" s="125"/>
      <c r="S646" s="125"/>
      <c r="T646" s="125"/>
      <c r="U646" s="125"/>
      <c r="V646" s="125"/>
      <c r="W646" s="10"/>
      <c r="X646" s="10"/>
      <c r="Y646" s="10"/>
      <c r="Z646" s="10"/>
      <c r="AA646" s="10"/>
      <c r="AB646" s="10"/>
    </row>
    <row r="647" spans="1:28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25"/>
      <c r="O647" s="125"/>
      <c r="P647" s="125"/>
      <c r="Q647" s="125"/>
      <c r="R647" s="125"/>
      <c r="S647" s="125"/>
      <c r="T647" s="125"/>
      <c r="U647" s="125"/>
      <c r="V647" s="125"/>
      <c r="W647" s="10"/>
      <c r="X647" s="10"/>
      <c r="Y647" s="10"/>
      <c r="Z647" s="10"/>
      <c r="AA647" s="10"/>
      <c r="AB647" s="10"/>
    </row>
    <row r="648" spans="1:28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25"/>
      <c r="O648" s="125"/>
      <c r="P648" s="125"/>
      <c r="Q648" s="125"/>
      <c r="R648" s="125"/>
      <c r="S648" s="125"/>
      <c r="T648" s="125"/>
      <c r="U648" s="125"/>
      <c r="V648" s="125"/>
      <c r="W648" s="10"/>
      <c r="X648" s="10"/>
      <c r="Y648" s="10"/>
      <c r="Z648" s="10"/>
      <c r="AA648" s="10"/>
      <c r="AB648" s="10"/>
    </row>
    <row r="649" spans="1:28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25"/>
      <c r="O649" s="125"/>
      <c r="P649" s="125"/>
      <c r="Q649" s="125"/>
      <c r="R649" s="125"/>
      <c r="S649" s="125"/>
      <c r="T649" s="125"/>
      <c r="U649" s="125"/>
      <c r="V649" s="125"/>
      <c r="W649" s="10"/>
      <c r="X649" s="10"/>
      <c r="Y649" s="10"/>
      <c r="Z649" s="10"/>
      <c r="AA649" s="10"/>
      <c r="AB649" s="10"/>
    </row>
    <row r="650" spans="1:28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25"/>
      <c r="O650" s="125"/>
      <c r="P650" s="125"/>
      <c r="Q650" s="125"/>
      <c r="R650" s="125"/>
      <c r="S650" s="125"/>
      <c r="T650" s="125"/>
      <c r="U650" s="125"/>
      <c r="V650" s="125"/>
      <c r="W650" s="10"/>
      <c r="X650" s="10"/>
      <c r="Y650" s="10"/>
      <c r="Z650" s="10"/>
      <c r="AA650" s="10"/>
      <c r="AB650" s="10"/>
    </row>
    <row r="651" spans="1:28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25"/>
      <c r="O651" s="125"/>
      <c r="P651" s="125"/>
      <c r="Q651" s="125"/>
      <c r="R651" s="125"/>
      <c r="S651" s="125"/>
      <c r="T651" s="125"/>
      <c r="U651" s="125"/>
      <c r="V651" s="125"/>
      <c r="W651" s="10"/>
      <c r="X651" s="10"/>
      <c r="Y651" s="10"/>
      <c r="Z651" s="10"/>
      <c r="AA651" s="10"/>
      <c r="AB651" s="10"/>
    </row>
    <row r="652" spans="1:28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25"/>
      <c r="O652" s="125"/>
      <c r="P652" s="125"/>
      <c r="Q652" s="125"/>
      <c r="R652" s="125"/>
      <c r="S652" s="125"/>
      <c r="T652" s="125"/>
      <c r="U652" s="125"/>
      <c r="V652" s="125"/>
      <c r="W652" s="10"/>
      <c r="X652" s="10"/>
      <c r="Y652" s="10"/>
      <c r="Z652" s="10"/>
      <c r="AA652" s="10"/>
      <c r="AB652" s="10"/>
    </row>
    <row r="653" spans="1:28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25"/>
      <c r="O653" s="125"/>
      <c r="P653" s="125"/>
      <c r="Q653" s="125"/>
      <c r="R653" s="125"/>
      <c r="S653" s="125"/>
      <c r="T653" s="125"/>
      <c r="U653" s="125"/>
      <c r="V653" s="125"/>
      <c r="W653" s="10"/>
      <c r="X653" s="10"/>
      <c r="Y653" s="10"/>
      <c r="Z653" s="10"/>
      <c r="AA653" s="10"/>
      <c r="AB653" s="10"/>
    </row>
    <row r="654" spans="1:28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25"/>
      <c r="O654" s="125"/>
      <c r="P654" s="125"/>
      <c r="Q654" s="125"/>
      <c r="R654" s="125"/>
      <c r="S654" s="125"/>
      <c r="T654" s="125"/>
      <c r="U654" s="125"/>
      <c r="V654" s="125"/>
      <c r="W654" s="10"/>
      <c r="X654" s="10"/>
      <c r="Y654" s="10"/>
      <c r="Z654" s="10"/>
      <c r="AA654" s="10"/>
      <c r="AB654" s="10"/>
    </row>
    <row r="655" spans="1:28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25"/>
      <c r="O655" s="125"/>
      <c r="P655" s="125"/>
      <c r="Q655" s="125"/>
      <c r="R655" s="125"/>
      <c r="S655" s="125"/>
      <c r="T655" s="125"/>
      <c r="U655" s="125"/>
      <c r="V655" s="125"/>
      <c r="W655" s="10"/>
      <c r="X655" s="10"/>
      <c r="Y655" s="10"/>
      <c r="Z655" s="10"/>
      <c r="AA655" s="10"/>
      <c r="AB655" s="10"/>
    </row>
    <row r="656" spans="1:28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25"/>
      <c r="O656" s="125"/>
      <c r="P656" s="125"/>
      <c r="Q656" s="125"/>
      <c r="R656" s="125"/>
      <c r="S656" s="125"/>
      <c r="T656" s="125"/>
      <c r="U656" s="125"/>
      <c r="V656" s="125"/>
      <c r="W656" s="10"/>
      <c r="X656" s="10"/>
      <c r="Y656" s="10"/>
      <c r="Z656" s="10"/>
      <c r="AA656" s="10"/>
      <c r="AB656" s="10"/>
    </row>
    <row r="657" spans="1:28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25"/>
      <c r="O657" s="125"/>
      <c r="P657" s="125"/>
      <c r="Q657" s="125"/>
      <c r="R657" s="125"/>
      <c r="S657" s="125"/>
      <c r="T657" s="125"/>
      <c r="U657" s="125"/>
      <c r="V657" s="125"/>
      <c r="W657" s="10"/>
      <c r="X657" s="10"/>
      <c r="Y657" s="10"/>
      <c r="Z657" s="10"/>
      <c r="AA657" s="10"/>
      <c r="AB657" s="10"/>
    </row>
    <row r="658" spans="1:28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25"/>
      <c r="O658" s="125"/>
      <c r="P658" s="125"/>
      <c r="Q658" s="125"/>
      <c r="R658" s="125"/>
      <c r="S658" s="125"/>
      <c r="T658" s="125"/>
      <c r="U658" s="125"/>
      <c r="V658" s="125"/>
      <c r="W658" s="10"/>
      <c r="X658" s="10"/>
      <c r="Y658" s="10"/>
      <c r="Z658" s="10"/>
      <c r="AA658" s="10"/>
      <c r="AB658" s="10"/>
    </row>
    <row r="659" spans="1:28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25"/>
      <c r="O659" s="125"/>
      <c r="P659" s="125"/>
      <c r="Q659" s="125"/>
      <c r="R659" s="125"/>
      <c r="S659" s="125"/>
      <c r="T659" s="125"/>
      <c r="U659" s="125"/>
      <c r="V659" s="125"/>
      <c r="W659" s="10"/>
      <c r="X659" s="10"/>
      <c r="Y659" s="10"/>
      <c r="Z659" s="10"/>
      <c r="AA659" s="10"/>
      <c r="AB659" s="10"/>
    </row>
    <row r="660" spans="1:28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25"/>
      <c r="O660" s="125"/>
      <c r="P660" s="125"/>
      <c r="Q660" s="125"/>
      <c r="R660" s="125"/>
      <c r="S660" s="125"/>
      <c r="T660" s="125"/>
      <c r="U660" s="125"/>
      <c r="V660" s="125"/>
      <c r="W660" s="10"/>
      <c r="X660" s="10"/>
      <c r="Y660" s="10"/>
      <c r="Z660" s="10"/>
      <c r="AA660" s="10"/>
      <c r="AB660" s="10"/>
    </row>
    <row r="661" spans="1:28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25"/>
      <c r="O661" s="125"/>
      <c r="P661" s="125"/>
      <c r="Q661" s="125"/>
      <c r="R661" s="125"/>
      <c r="S661" s="125"/>
      <c r="T661" s="125"/>
      <c r="U661" s="125"/>
      <c r="V661" s="125"/>
      <c r="W661" s="10"/>
      <c r="X661" s="10"/>
      <c r="Y661" s="10"/>
      <c r="Z661" s="10"/>
      <c r="AA661" s="10"/>
      <c r="AB661" s="10"/>
    </row>
    <row r="662" spans="1:28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25"/>
      <c r="O662" s="125"/>
      <c r="P662" s="125"/>
      <c r="Q662" s="125"/>
      <c r="R662" s="125"/>
      <c r="S662" s="125"/>
      <c r="T662" s="125"/>
      <c r="U662" s="125"/>
      <c r="V662" s="125"/>
      <c r="W662" s="10"/>
      <c r="X662" s="10"/>
      <c r="Y662" s="10"/>
      <c r="Z662" s="10"/>
      <c r="AA662" s="10"/>
      <c r="AB662" s="10"/>
    </row>
    <row r="663" spans="1:28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25"/>
      <c r="O663" s="125"/>
      <c r="P663" s="125"/>
      <c r="Q663" s="125"/>
      <c r="R663" s="125"/>
      <c r="S663" s="125"/>
      <c r="T663" s="125"/>
      <c r="U663" s="125"/>
      <c r="V663" s="125"/>
      <c r="W663" s="10"/>
      <c r="X663" s="10"/>
      <c r="Y663" s="10"/>
      <c r="Z663" s="10"/>
      <c r="AA663" s="10"/>
      <c r="AB663" s="10"/>
    </row>
    <row r="664" spans="1:28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25"/>
      <c r="O664" s="125"/>
      <c r="P664" s="125"/>
      <c r="Q664" s="125"/>
      <c r="R664" s="125"/>
      <c r="S664" s="125"/>
      <c r="T664" s="125"/>
      <c r="U664" s="125"/>
      <c r="V664" s="125"/>
      <c r="W664" s="10"/>
      <c r="X664" s="10"/>
      <c r="Y664" s="10"/>
      <c r="Z664" s="10"/>
      <c r="AA664" s="10"/>
      <c r="AB664" s="10"/>
    </row>
    <row r="665" spans="1:28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25"/>
      <c r="O665" s="125"/>
      <c r="P665" s="125"/>
      <c r="Q665" s="125"/>
      <c r="R665" s="125"/>
      <c r="S665" s="125"/>
      <c r="T665" s="125"/>
      <c r="U665" s="125"/>
      <c r="V665" s="125"/>
      <c r="W665" s="10"/>
      <c r="X665" s="10"/>
      <c r="Y665" s="10"/>
      <c r="Z665" s="10"/>
      <c r="AA665" s="10"/>
      <c r="AB665" s="10"/>
    </row>
    <row r="666" spans="1:28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25"/>
      <c r="O666" s="125"/>
      <c r="P666" s="125"/>
      <c r="Q666" s="125"/>
      <c r="R666" s="125"/>
      <c r="S666" s="125"/>
      <c r="T666" s="125"/>
      <c r="U666" s="125"/>
      <c r="V666" s="125"/>
      <c r="W666" s="10"/>
      <c r="X666" s="10"/>
      <c r="Y666" s="10"/>
      <c r="Z666" s="10"/>
      <c r="AA666" s="10"/>
      <c r="AB666" s="10"/>
    </row>
    <row r="667" spans="1:28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25"/>
      <c r="O667" s="125"/>
      <c r="P667" s="125"/>
      <c r="Q667" s="125"/>
      <c r="R667" s="125"/>
      <c r="S667" s="125"/>
      <c r="T667" s="125"/>
      <c r="U667" s="125"/>
      <c r="V667" s="125"/>
      <c r="W667" s="10"/>
      <c r="X667" s="10"/>
      <c r="Y667" s="10"/>
      <c r="Z667" s="10"/>
      <c r="AA667" s="10"/>
      <c r="AB667" s="10"/>
    </row>
    <row r="668" spans="1:28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25"/>
      <c r="O668" s="125"/>
      <c r="P668" s="125"/>
      <c r="Q668" s="125"/>
      <c r="R668" s="125"/>
      <c r="S668" s="125"/>
      <c r="T668" s="125"/>
      <c r="U668" s="125"/>
      <c r="V668" s="125"/>
      <c r="W668" s="10"/>
      <c r="X668" s="10"/>
      <c r="Y668" s="10"/>
      <c r="Z668" s="10"/>
      <c r="AA668" s="10"/>
      <c r="AB668" s="10"/>
    </row>
    <row r="669" spans="1:28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25"/>
      <c r="O669" s="125"/>
      <c r="P669" s="125"/>
      <c r="Q669" s="125"/>
      <c r="R669" s="125"/>
      <c r="S669" s="125"/>
      <c r="T669" s="125"/>
      <c r="U669" s="125"/>
      <c r="V669" s="125"/>
      <c r="W669" s="10"/>
      <c r="X669" s="10"/>
      <c r="Y669" s="10"/>
      <c r="Z669" s="10"/>
      <c r="AA669" s="10"/>
      <c r="AB669" s="10"/>
    </row>
    <row r="670" spans="1:28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25"/>
      <c r="O670" s="125"/>
      <c r="P670" s="125"/>
      <c r="Q670" s="125"/>
      <c r="R670" s="125"/>
      <c r="S670" s="125"/>
      <c r="T670" s="125"/>
      <c r="U670" s="125"/>
      <c r="V670" s="125"/>
      <c r="W670" s="10"/>
      <c r="X670" s="10"/>
      <c r="Y670" s="10"/>
      <c r="Z670" s="10"/>
      <c r="AA670" s="10"/>
      <c r="AB670" s="10"/>
    </row>
    <row r="671" spans="1:28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25"/>
      <c r="O671" s="125"/>
      <c r="P671" s="125"/>
      <c r="Q671" s="125"/>
      <c r="R671" s="125"/>
      <c r="S671" s="125"/>
      <c r="T671" s="125"/>
      <c r="U671" s="125"/>
      <c r="V671" s="125"/>
      <c r="W671" s="10"/>
      <c r="X671" s="10"/>
      <c r="Y671" s="10"/>
      <c r="Z671" s="10"/>
      <c r="AA671" s="10"/>
      <c r="AB671" s="10"/>
    </row>
    <row r="672" spans="1:28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25"/>
      <c r="O672" s="125"/>
      <c r="P672" s="125"/>
      <c r="Q672" s="125"/>
      <c r="R672" s="125"/>
      <c r="S672" s="125"/>
      <c r="T672" s="125"/>
      <c r="U672" s="125"/>
      <c r="V672" s="125"/>
      <c r="W672" s="10"/>
      <c r="X672" s="10"/>
      <c r="Y672" s="10"/>
      <c r="Z672" s="10"/>
      <c r="AA672" s="10"/>
      <c r="AB672" s="10"/>
    </row>
    <row r="673" spans="1:28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25"/>
      <c r="O673" s="125"/>
      <c r="P673" s="125"/>
      <c r="Q673" s="125"/>
      <c r="R673" s="125"/>
      <c r="S673" s="125"/>
      <c r="T673" s="125"/>
      <c r="U673" s="125"/>
      <c r="V673" s="125"/>
      <c r="W673" s="10"/>
      <c r="X673" s="10"/>
      <c r="Y673" s="10"/>
      <c r="Z673" s="10"/>
      <c r="AA673" s="10"/>
      <c r="AB673" s="10"/>
    </row>
    <row r="674" spans="1:28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25"/>
      <c r="O674" s="125"/>
      <c r="P674" s="125"/>
      <c r="Q674" s="125"/>
      <c r="R674" s="125"/>
      <c r="S674" s="125"/>
      <c r="T674" s="125"/>
      <c r="U674" s="125"/>
      <c r="V674" s="125"/>
      <c r="W674" s="10"/>
      <c r="X674" s="10"/>
      <c r="Y674" s="10"/>
      <c r="Z674" s="10"/>
      <c r="AA674" s="10"/>
      <c r="AB674" s="10"/>
    </row>
    <row r="675" spans="1:28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25"/>
      <c r="O675" s="125"/>
      <c r="P675" s="125"/>
      <c r="Q675" s="125"/>
      <c r="R675" s="125"/>
      <c r="S675" s="125"/>
      <c r="T675" s="125"/>
      <c r="U675" s="125"/>
      <c r="V675" s="125"/>
      <c r="W675" s="10"/>
      <c r="X675" s="10"/>
      <c r="Y675" s="10"/>
      <c r="Z675" s="10"/>
      <c r="AA675" s="10"/>
      <c r="AB675" s="10"/>
    </row>
    <row r="676" spans="1:28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25"/>
      <c r="O676" s="125"/>
      <c r="P676" s="125"/>
      <c r="Q676" s="125"/>
      <c r="R676" s="125"/>
      <c r="S676" s="125"/>
      <c r="T676" s="125"/>
      <c r="U676" s="125"/>
      <c r="V676" s="125"/>
      <c r="W676" s="10"/>
      <c r="X676" s="10"/>
      <c r="Y676" s="10"/>
      <c r="Z676" s="10"/>
      <c r="AA676" s="10"/>
      <c r="AB676" s="10"/>
    </row>
    <row r="677" spans="1:28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25"/>
      <c r="O677" s="125"/>
      <c r="P677" s="125"/>
      <c r="Q677" s="125"/>
      <c r="R677" s="125"/>
      <c r="S677" s="125"/>
      <c r="T677" s="125"/>
      <c r="U677" s="125"/>
      <c r="V677" s="125"/>
      <c r="W677" s="10"/>
      <c r="X677" s="10"/>
      <c r="Y677" s="10"/>
      <c r="Z677" s="10"/>
      <c r="AA677" s="10"/>
      <c r="AB677" s="10"/>
    </row>
    <row r="678" spans="1:28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25"/>
      <c r="O678" s="125"/>
      <c r="P678" s="125"/>
      <c r="Q678" s="125"/>
      <c r="R678" s="125"/>
      <c r="S678" s="125"/>
      <c r="T678" s="125"/>
      <c r="U678" s="125"/>
      <c r="V678" s="125"/>
      <c r="W678" s="10"/>
      <c r="X678" s="10"/>
      <c r="Y678" s="10"/>
      <c r="Z678" s="10"/>
      <c r="AA678" s="10"/>
      <c r="AB678" s="10"/>
    </row>
    <row r="679" spans="1:28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25"/>
      <c r="O679" s="125"/>
      <c r="P679" s="125"/>
      <c r="Q679" s="125"/>
      <c r="R679" s="125"/>
      <c r="S679" s="125"/>
      <c r="T679" s="125"/>
      <c r="U679" s="125"/>
      <c r="V679" s="125"/>
      <c r="W679" s="10"/>
      <c r="X679" s="10"/>
      <c r="Y679" s="10"/>
      <c r="Z679" s="10"/>
      <c r="AA679" s="10"/>
      <c r="AB679" s="10"/>
    </row>
    <row r="680" spans="1:28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25"/>
      <c r="O680" s="125"/>
      <c r="P680" s="125"/>
      <c r="Q680" s="125"/>
      <c r="R680" s="125"/>
      <c r="S680" s="125"/>
      <c r="T680" s="125"/>
      <c r="U680" s="125"/>
      <c r="V680" s="125"/>
      <c r="W680" s="10"/>
      <c r="X680" s="10"/>
      <c r="Y680" s="10"/>
      <c r="Z680" s="10"/>
      <c r="AA680" s="10"/>
      <c r="AB680" s="10"/>
    </row>
    <row r="681" spans="1:28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25"/>
      <c r="O681" s="125"/>
      <c r="P681" s="125"/>
      <c r="Q681" s="125"/>
      <c r="R681" s="125"/>
      <c r="S681" s="125"/>
      <c r="T681" s="125"/>
      <c r="U681" s="125"/>
      <c r="V681" s="125"/>
      <c r="W681" s="10"/>
      <c r="X681" s="10"/>
      <c r="Y681" s="10"/>
      <c r="Z681" s="10"/>
      <c r="AA681" s="10"/>
      <c r="AB681" s="10"/>
    </row>
    <row r="682" spans="1:28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25"/>
      <c r="O682" s="125"/>
      <c r="P682" s="125"/>
      <c r="Q682" s="125"/>
      <c r="R682" s="125"/>
      <c r="S682" s="125"/>
      <c r="T682" s="125"/>
      <c r="U682" s="125"/>
      <c r="V682" s="125"/>
      <c r="W682" s="10"/>
      <c r="X682" s="10"/>
      <c r="Y682" s="10"/>
      <c r="Z682" s="10"/>
      <c r="AA682" s="10"/>
      <c r="AB682" s="10"/>
    </row>
    <row r="683" spans="1:28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25"/>
      <c r="O683" s="125"/>
      <c r="P683" s="125"/>
      <c r="Q683" s="125"/>
      <c r="R683" s="125"/>
      <c r="S683" s="125"/>
      <c r="T683" s="125"/>
      <c r="U683" s="125"/>
      <c r="V683" s="125"/>
      <c r="W683" s="10"/>
      <c r="X683" s="10"/>
      <c r="Y683" s="10"/>
      <c r="Z683" s="10"/>
      <c r="AA683" s="10"/>
      <c r="AB683" s="10"/>
    </row>
    <row r="684" spans="1:28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25"/>
      <c r="O684" s="125"/>
      <c r="P684" s="125"/>
      <c r="Q684" s="125"/>
      <c r="R684" s="125"/>
      <c r="S684" s="125"/>
      <c r="T684" s="125"/>
      <c r="U684" s="125"/>
      <c r="V684" s="125"/>
      <c r="W684" s="10"/>
      <c r="X684" s="10"/>
      <c r="Y684" s="10"/>
      <c r="Z684" s="10"/>
      <c r="AA684" s="10"/>
      <c r="AB684" s="10"/>
    </row>
    <row r="685" spans="1:28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25"/>
      <c r="O685" s="125"/>
      <c r="P685" s="125"/>
      <c r="Q685" s="125"/>
      <c r="R685" s="125"/>
      <c r="S685" s="125"/>
      <c r="T685" s="125"/>
      <c r="U685" s="125"/>
      <c r="V685" s="125"/>
      <c r="W685" s="10"/>
      <c r="X685" s="10"/>
      <c r="Y685" s="10"/>
      <c r="Z685" s="10"/>
      <c r="AA685" s="10"/>
      <c r="AB685" s="10"/>
    </row>
    <row r="686" spans="1:28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25"/>
      <c r="O686" s="125"/>
      <c r="P686" s="125"/>
      <c r="Q686" s="125"/>
      <c r="R686" s="125"/>
      <c r="S686" s="125"/>
      <c r="T686" s="125"/>
      <c r="U686" s="125"/>
      <c r="V686" s="125"/>
      <c r="W686" s="10"/>
      <c r="X686" s="10"/>
      <c r="Y686" s="10"/>
      <c r="Z686" s="10"/>
      <c r="AA686" s="10"/>
      <c r="AB686" s="10"/>
    </row>
    <row r="687" spans="1:28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25"/>
      <c r="O687" s="125"/>
      <c r="P687" s="125"/>
      <c r="Q687" s="125"/>
      <c r="R687" s="125"/>
      <c r="S687" s="125"/>
      <c r="T687" s="125"/>
      <c r="U687" s="125"/>
      <c r="V687" s="125"/>
      <c r="W687" s="10"/>
      <c r="X687" s="10"/>
      <c r="Y687" s="10"/>
      <c r="Z687" s="10"/>
      <c r="AA687" s="10"/>
      <c r="AB687" s="10"/>
    </row>
    <row r="688" spans="1:28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25"/>
      <c r="O688" s="125"/>
      <c r="P688" s="125"/>
      <c r="Q688" s="125"/>
      <c r="R688" s="125"/>
      <c r="S688" s="125"/>
      <c r="T688" s="125"/>
      <c r="U688" s="125"/>
      <c r="V688" s="125"/>
      <c r="W688" s="10"/>
      <c r="X688" s="10"/>
      <c r="Y688" s="10"/>
      <c r="Z688" s="10"/>
      <c r="AA688" s="10"/>
      <c r="AB688" s="10"/>
    </row>
    <row r="689" spans="1:28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25"/>
      <c r="O689" s="125"/>
      <c r="P689" s="125"/>
      <c r="Q689" s="125"/>
      <c r="R689" s="125"/>
      <c r="S689" s="125"/>
      <c r="T689" s="125"/>
      <c r="U689" s="125"/>
      <c r="V689" s="125"/>
      <c r="W689" s="10"/>
      <c r="X689" s="10"/>
      <c r="Y689" s="10"/>
      <c r="Z689" s="10"/>
      <c r="AA689" s="10"/>
      <c r="AB689" s="10"/>
    </row>
    <row r="690" spans="1:28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25"/>
      <c r="O690" s="125"/>
      <c r="P690" s="125"/>
      <c r="Q690" s="125"/>
      <c r="R690" s="125"/>
      <c r="S690" s="125"/>
      <c r="T690" s="125"/>
      <c r="U690" s="125"/>
      <c r="V690" s="125"/>
      <c r="W690" s="10"/>
      <c r="X690" s="10"/>
      <c r="Y690" s="10"/>
      <c r="Z690" s="10"/>
      <c r="AA690" s="10"/>
      <c r="AB690" s="10"/>
    </row>
    <row r="691" spans="1:28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25"/>
      <c r="O691" s="125"/>
      <c r="P691" s="125"/>
      <c r="Q691" s="125"/>
      <c r="R691" s="125"/>
      <c r="S691" s="125"/>
      <c r="T691" s="125"/>
      <c r="U691" s="125"/>
      <c r="V691" s="125"/>
      <c r="W691" s="10"/>
      <c r="X691" s="10"/>
      <c r="Y691" s="10"/>
      <c r="Z691" s="10"/>
      <c r="AA691" s="10"/>
      <c r="AB691" s="10"/>
    </row>
    <row r="692" spans="1:28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25"/>
      <c r="O692" s="125"/>
      <c r="P692" s="125"/>
      <c r="Q692" s="125"/>
      <c r="R692" s="125"/>
      <c r="S692" s="125"/>
      <c r="T692" s="125"/>
      <c r="U692" s="125"/>
      <c r="V692" s="125"/>
      <c r="W692" s="10"/>
      <c r="X692" s="10"/>
      <c r="Y692" s="10"/>
      <c r="Z692" s="10"/>
      <c r="AA692" s="10"/>
      <c r="AB692" s="10"/>
    </row>
    <row r="693" spans="1:28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25"/>
      <c r="O693" s="125"/>
      <c r="P693" s="125"/>
      <c r="Q693" s="125"/>
      <c r="R693" s="125"/>
      <c r="S693" s="125"/>
      <c r="T693" s="125"/>
      <c r="U693" s="125"/>
      <c r="V693" s="125"/>
      <c r="W693" s="10"/>
      <c r="X693" s="10"/>
      <c r="Y693" s="10"/>
      <c r="Z693" s="10"/>
      <c r="AA693" s="10"/>
      <c r="AB693" s="10"/>
    </row>
    <row r="694" spans="1:28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25"/>
      <c r="O694" s="125"/>
      <c r="P694" s="125"/>
      <c r="Q694" s="125"/>
      <c r="R694" s="125"/>
      <c r="S694" s="125"/>
      <c r="T694" s="125"/>
      <c r="U694" s="125"/>
      <c r="V694" s="125"/>
      <c r="W694" s="10"/>
      <c r="X694" s="10"/>
      <c r="Y694" s="10"/>
      <c r="Z694" s="10"/>
      <c r="AA694" s="10"/>
      <c r="AB694" s="10"/>
    </row>
    <row r="695" spans="1:28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25"/>
      <c r="O695" s="125"/>
      <c r="P695" s="125"/>
      <c r="Q695" s="125"/>
      <c r="R695" s="125"/>
      <c r="S695" s="125"/>
      <c r="T695" s="125"/>
      <c r="U695" s="125"/>
      <c r="V695" s="125"/>
      <c r="W695" s="10"/>
      <c r="X695" s="10"/>
      <c r="Y695" s="10"/>
      <c r="Z695" s="10"/>
      <c r="AA695" s="10"/>
      <c r="AB695" s="10"/>
    </row>
    <row r="696" spans="1:28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25"/>
      <c r="O696" s="125"/>
      <c r="P696" s="125"/>
      <c r="Q696" s="125"/>
      <c r="R696" s="125"/>
      <c r="S696" s="125"/>
      <c r="T696" s="125"/>
      <c r="U696" s="125"/>
      <c r="V696" s="125"/>
      <c r="W696" s="10"/>
      <c r="X696" s="10"/>
      <c r="Y696" s="10"/>
      <c r="Z696" s="10"/>
      <c r="AA696" s="10"/>
      <c r="AB696" s="10"/>
    </row>
    <row r="697" spans="1:28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25"/>
      <c r="O697" s="125"/>
      <c r="P697" s="125"/>
      <c r="Q697" s="125"/>
      <c r="R697" s="125"/>
      <c r="S697" s="125"/>
      <c r="T697" s="125"/>
      <c r="U697" s="125"/>
      <c r="V697" s="125"/>
      <c r="W697" s="10"/>
      <c r="X697" s="10"/>
      <c r="Y697" s="10"/>
      <c r="Z697" s="10"/>
      <c r="AA697" s="10"/>
      <c r="AB697" s="10"/>
    </row>
    <row r="698" spans="1:28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25"/>
      <c r="O698" s="125"/>
      <c r="P698" s="125"/>
      <c r="Q698" s="125"/>
      <c r="R698" s="125"/>
      <c r="S698" s="125"/>
      <c r="T698" s="125"/>
      <c r="U698" s="125"/>
      <c r="V698" s="125"/>
      <c r="W698" s="10"/>
      <c r="X698" s="10"/>
      <c r="Y698" s="10"/>
      <c r="Z698" s="10"/>
      <c r="AA698" s="10"/>
      <c r="AB698" s="10"/>
    </row>
    <row r="699" spans="1:28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25"/>
      <c r="O699" s="125"/>
      <c r="P699" s="125"/>
      <c r="Q699" s="125"/>
      <c r="R699" s="125"/>
      <c r="S699" s="125"/>
      <c r="T699" s="125"/>
      <c r="U699" s="125"/>
      <c r="V699" s="125"/>
      <c r="W699" s="10"/>
      <c r="X699" s="10"/>
      <c r="Y699" s="10"/>
      <c r="Z699" s="10"/>
      <c r="AA699" s="10"/>
      <c r="AB699" s="10"/>
    </row>
    <row r="700" spans="1:28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25"/>
      <c r="O700" s="125"/>
      <c r="P700" s="125"/>
      <c r="Q700" s="125"/>
      <c r="R700" s="125"/>
      <c r="S700" s="125"/>
      <c r="T700" s="125"/>
      <c r="U700" s="125"/>
      <c r="V700" s="125"/>
      <c r="W700" s="10"/>
      <c r="X700" s="10"/>
      <c r="Y700" s="10"/>
      <c r="Z700" s="10"/>
      <c r="AA700" s="10"/>
      <c r="AB700" s="10"/>
    </row>
    <row r="701" spans="1:28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25"/>
      <c r="O701" s="125"/>
      <c r="P701" s="125"/>
      <c r="Q701" s="125"/>
      <c r="R701" s="125"/>
      <c r="S701" s="125"/>
      <c r="T701" s="125"/>
      <c r="U701" s="125"/>
      <c r="V701" s="125"/>
      <c r="W701" s="10"/>
      <c r="X701" s="10"/>
      <c r="Y701" s="10"/>
      <c r="Z701" s="10"/>
      <c r="AA701" s="10"/>
      <c r="AB701" s="10"/>
    </row>
    <row r="702" spans="1:28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25"/>
      <c r="O702" s="125"/>
      <c r="P702" s="125"/>
      <c r="Q702" s="125"/>
      <c r="R702" s="125"/>
      <c r="S702" s="125"/>
      <c r="T702" s="125"/>
      <c r="U702" s="125"/>
      <c r="V702" s="125"/>
      <c r="W702" s="10"/>
      <c r="X702" s="10"/>
      <c r="Y702" s="10"/>
      <c r="Z702" s="10"/>
      <c r="AA702" s="10"/>
      <c r="AB702" s="10"/>
    </row>
    <row r="703" spans="1:28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25"/>
      <c r="O703" s="125"/>
      <c r="P703" s="125"/>
      <c r="Q703" s="125"/>
      <c r="R703" s="125"/>
      <c r="S703" s="125"/>
      <c r="T703" s="125"/>
      <c r="U703" s="125"/>
      <c r="V703" s="125"/>
      <c r="W703" s="10"/>
      <c r="X703" s="10"/>
      <c r="Y703" s="10"/>
      <c r="Z703" s="10"/>
      <c r="AA703" s="10"/>
      <c r="AB703" s="10"/>
    </row>
    <row r="704" spans="1:28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25"/>
      <c r="O704" s="125"/>
      <c r="P704" s="125"/>
      <c r="Q704" s="125"/>
      <c r="R704" s="125"/>
      <c r="S704" s="125"/>
      <c r="T704" s="125"/>
      <c r="U704" s="125"/>
      <c r="V704" s="125"/>
      <c r="W704" s="10"/>
      <c r="X704" s="10"/>
      <c r="Y704" s="10"/>
      <c r="Z704" s="10"/>
      <c r="AA704" s="10"/>
      <c r="AB704" s="10"/>
    </row>
    <row r="705" spans="1:28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25"/>
      <c r="O705" s="125"/>
      <c r="P705" s="125"/>
      <c r="Q705" s="125"/>
      <c r="R705" s="125"/>
      <c r="S705" s="125"/>
      <c r="T705" s="125"/>
      <c r="U705" s="125"/>
      <c r="V705" s="125"/>
      <c r="W705" s="10"/>
      <c r="X705" s="10"/>
      <c r="Y705" s="10"/>
      <c r="Z705" s="10"/>
      <c r="AA705" s="10"/>
      <c r="AB705" s="10"/>
    </row>
    <row r="706" spans="1:28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25"/>
      <c r="O706" s="125"/>
      <c r="P706" s="125"/>
      <c r="Q706" s="125"/>
      <c r="R706" s="125"/>
      <c r="S706" s="125"/>
      <c r="T706" s="125"/>
      <c r="U706" s="125"/>
      <c r="V706" s="125"/>
      <c r="W706" s="10"/>
      <c r="X706" s="10"/>
      <c r="Y706" s="10"/>
      <c r="Z706" s="10"/>
      <c r="AA706" s="10"/>
      <c r="AB706" s="10"/>
    </row>
    <row r="707" spans="1:28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25"/>
      <c r="O707" s="125"/>
      <c r="P707" s="125"/>
      <c r="Q707" s="125"/>
      <c r="R707" s="125"/>
      <c r="S707" s="125"/>
      <c r="T707" s="125"/>
      <c r="U707" s="125"/>
      <c r="V707" s="125"/>
      <c r="W707" s="10"/>
      <c r="X707" s="10"/>
      <c r="Y707" s="10"/>
      <c r="Z707" s="10"/>
      <c r="AA707" s="10"/>
      <c r="AB707" s="10"/>
    </row>
    <row r="708" spans="1:28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25"/>
      <c r="O708" s="125"/>
      <c r="P708" s="125"/>
      <c r="Q708" s="125"/>
      <c r="R708" s="125"/>
      <c r="S708" s="125"/>
      <c r="T708" s="125"/>
      <c r="U708" s="125"/>
      <c r="V708" s="125"/>
      <c r="W708" s="10"/>
      <c r="X708" s="10"/>
      <c r="Y708" s="10"/>
      <c r="Z708" s="10"/>
      <c r="AA708" s="10"/>
      <c r="AB708" s="10"/>
    </row>
    <row r="709" spans="1:28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25"/>
      <c r="O709" s="125"/>
      <c r="P709" s="125"/>
      <c r="Q709" s="125"/>
      <c r="R709" s="125"/>
      <c r="S709" s="125"/>
      <c r="T709" s="125"/>
      <c r="U709" s="125"/>
      <c r="V709" s="125"/>
      <c r="W709" s="10"/>
      <c r="X709" s="10"/>
      <c r="Y709" s="10"/>
      <c r="Z709" s="10"/>
      <c r="AA709" s="10"/>
      <c r="AB709" s="10"/>
    </row>
    <row r="710" spans="1:28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25"/>
      <c r="O710" s="125"/>
      <c r="P710" s="125"/>
      <c r="Q710" s="125"/>
      <c r="R710" s="125"/>
      <c r="S710" s="125"/>
      <c r="T710" s="125"/>
      <c r="U710" s="125"/>
      <c r="V710" s="125"/>
      <c r="W710" s="10"/>
      <c r="X710" s="10"/>
      <c r="Y710" s="10"/>
      <c r="Z710" s="10"/>
      <c r="AA710" s="10"/>
      <c r="AB710" s="10"/>
    </row>
    <row r="711" spans="1:28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25"/>
      <c r="O711" s="125"/>
      <c r="P711" s="125"/>
      <c r="Q711" s="125"/>
      <c r="R711" s="125"/>
      <c r="S711" s="125"/>
      <c r="T711" s="125"/>
      <c r="U711" s="125"/>
      <c r="V711" s="125"/>
      <c r="W711" s="10"/>
      <c r="X711" s="10"/>
      <c r="Y711" s="10"/>
      <c r="Z711" s="10"/>
      <c r="AA711" s="10"/>
      <c r="AB711" s="10"/>
    </row>
    <row r="712" spans="1:28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25"/>
      <c r="O712" s="125"/>
      <c r="P712" s="125"/>
      <c r="Q712" s="125"/>
      <c r="R712" s="125"/>
      <c r="S712" s="125"/>
      <c r="T712" s="125"/>
      <c r="U712" s="125"/>
      <c r="V712" s="125"/>
      <c r="W712" s="10"/>
      <c r="X712" s="10"/>
      <c r="Y712" s="10"/>
      <c r="Z712" s="10"/>
      <c r="AA712" s="10"/>
      <c r="AB712" s="10"/>
    </row>
    <row r="713" spans="1:28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25"/>
      <c r="O713" s="125"/>
      <c r="P713" s="125"/>
      <c r="Q713" s="125"/>
      <c r="R713" s="125"/>
      <c r="S713" s="125"/>
      <c r="T713" s="125"/>
      <c r="U713" s="125"/>
      <c r="V713" s="125"/>
      <c r="W713" s="10"/>
      <c r="X713" s="10"/>
      <c r="Y713" s="10"/>
      <c r="Z713" s="10"/>
      <c r="AA713" s="10"/>
      <c r="AB713" s="10"/>
    </row>
    <row r="714" spans="1:28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25"/>
      <c r="O714" s="125"/>
      <c r="P714" s="125"/>
      <c r="Q714" s="125"/>
      <c r="R714" s="125"/>
      <c r="S714" s="125"/>
      <c r="T714" s="125"/>
      <c r="U714" s="125"/>
      <c r="V714" s="125"/>
      <c r="W714" s="10"/>
      <c r="X714" s="10"/>
      <c r="Y714" s="10"/>
      <c r="Z714" s="10"/>
      <c r="AA714" s="10"/>
      <c r="AB714" s="10"/>
    </row>
    <row r="715" spans="1:28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25"/>
      <c r="O715" s="125"/>
      <c r="P715" s="125"/>
      <c r="Q715" s="125"/>
      <c r="R715" s="125"/>
      <c r="S715" s="125"/>
      <c r="T715" s="125"/>
      <c r="U715" s="125"/>
      <c r="V715" s="125"/>
      <c r="W715" s="10"/>
      <c r="X715" s="10"/>
      <c r="Y715" s="10"/>
      <c r="Z715" s="10"/>
      <c r="AA715" s="10"/>
      <c r="AB715" s="10"/>
    </row>
    <row r="716" spans="1:28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25"/>
      <c r="O716" s="125"/>
      <c r="P716" s="125"/>
      <c r="Q716" s="125"/>
      <c r="R716" s="125"/>
      <c r="S716" s="125"/>
      <c r="T716" s="125"/>
      <c r="U716" s="125"/>
      <c r="V716" s="125"/>
      <c r="W716" s="10"/>
      <c r="X716" s="10"/>
      <c r="Y716" s="10"/>
      <c r="Z716" s="10"/>
      <c r="AA716" s="10"/>
      <c r="AB716" s="10"/>
    </row>
    <row r="717" spans="1:28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25"/>
      <c r="O717" s="125"/>
      <c r="P717" s="125"/>
      <c r="Q717" s="125"/>
      <c r="R717" s="125"/>
      <c r="S717" s="125"/>
      <c r="T717" s="125"/>
      <c r="U717" s="125"/>
      <c r="V717" s="125"/>
      <c r="W717" s="10"/>
      <c r="X717" s="10"/>
      <c r="Y717" s="10"/>
      <c r="Z717" s="10"/>
      <c r="AA717" s="10"/>
      <c r="AB717" s="10"/>
    </row>
    <row r="718" spans="1:28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25"/>
      <c r="O718" s="125"/>
      <c r="P718" s="125"/>
      <c r="Q718" s="125"/>
      <c r="R718" s="125"/>
      <c r="S718" s="125"/>
      <c r="T718" s="125"/>
      <c r="U718" s="125"/>
      <c r="V718" s="125"/>
      <c r="W718" s="10"/>
      <c r="X718" s="10"/>
      <c r="Y718" s="10"/>
      <c r="Z718" s="10"/>
      <c r="AA718" s="10"/>
      <c r="AB718" s="10"/>
    </row>
    <row r="719" spans="1:28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25"/>
      <c r="O719" s="125"/>
      <c r="P719" s="125"/>
      <c r="Q719" s="125"/>
      <c r="R719" s="125"/>
      <c r="S719" s="125"/>
      <c r="T719" s="125"/>
      <c r="U719" s="125"/>
      <c r="V719" s="125"/>
      <c r="W719" s="10"/>
      <c r="X719" s="10"/>
      <c r="Y719" s="10"/>
      <c r="Z719" s="10"/>
      <c r="AA719" s="10"/>
      <c r="AB719" s="10"/>
    </row>
    <row r="720" spans="1:28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25"/>
      <c r="O720" s="125"/>
      <c r="P720" s="125"/>
      <c r="Q720" s="125"/>
      <c r="R720" s="125"/>
      <c r="S720" s="125"/>
      <c r="T720" s="125"/>
      <c r="U720" s="125"/>
      <c r="V720" s="125"/>
      <c r="W720" s="10"/>
      <c r="X720" s="10"/>
      <c r="Y720" s="10"/>
      <c r="Z720" s="10"/>
      <c r="AA720" s="10"/>
      <c r="AB720" s="10"/>
    </row>
    <row r="721" spans="1:28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25"/>
      <c r="O721" s="125"/>
      <c r="P721" s="125"/>
      <c r="Q721" s="125"/>
      <c r="R721" s="125"/>
      <c r="S721" s="125"/>
      <c r="T721" s="125"/>
      <c r="U721" s="125"/>
      <c r="V721" s="125"/>
      <c r="W721" s="10"/>
      <c r="X721" s="10"/>
      <c r="Y721" s="10"/>
      <c r="Z721" s="10"/>
      <c r="AA721" s="10"/>
      <c r="AB721" s="10"/>
    </row>
    <row r="722" spans="1:28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25"/>
      <c r="O722" s="125"/>
      <c r="P722" s="125"/>
      <c r="Q722" s="125"/>
      <c r="R722" s="125"/>
      <c r="S722" s="125"/>
      <c r="T722" s="125"/>
      <c r="U722" s="125"/>
      <c r="V722" s="125"/>
      <c r="W722" s="10"/>
      <c r="X722" s="10"/>
      <c r="Y722" s="10"/>
      <c r="Z722" s="10"/>
      <c r="AA722" s="10"/>
      <c r="AB722" s="10"/>
    </row>
    <row r="723" spans="1:28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25"/>
      <c r="O723" s="125"/>
      <c r="P723" s="125"/>
      <c r="Q723" s="125"/>
      <c r="R723" s="125"/>
      <c r="S723" s="125"/>
      <c r="T723" s="125"/>
      <c r="U723" s="125"/>
      <c r="V723" s="125"/>
      <c r="W723" s="10"/>
      <c r="X723" s="10"/>
      <c r="Y723" s="10"/>
      <c r="Z723" s="10"/>
      <c r="AA723" s="10"/>
      <c r="AB723" s="10"/>
    </row>
    <row r="724" spans="1:28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25"/>
      <c r="O724" s="125"/>
      <c r="P724" s="125"/>
      <c r="Q724" s="125"/>
      <c r="R724" s="125"/>
      <c r="S724" s="125"/>
      <c r="T724" s="125"/>
      <c r="U724" s="125"/>
      <c r="V724" s="125"/>
      <c r="W724" s="10"/>
      <c r="X724" s="10"/>
      <c r="Y724" s="10"/>
      <c r="Z724" s="10"/>
      <c r="AA724" s="10"/>
      <c r="AB724" s="10"/>
    </row>
    <row r="725" spans="1:28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25"/>
      <c r="O725" s="125"/>
      <c r="P725" s="125"/>
      <c r="Q725" s="125"/>
      <c r="R725" s="125"/>
      <c r="S725" s="125"/>
      <c r="T725" s="125"/>
      <c r="U725" s="125"/>
      <c r="V725" s="125"/>
      <c r="W725" s="10"/>
      <c r="X725" s="10"/>
      <c r="Y725" s="10"/>
      <c r="Z725" s="10"/>
      <c r="AA725" s="10"/>
      <c r="AB725" s="10"/>
    </row>
    <row r="726" spans="1:28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25"/>
      <c r="O726" s="125"/>
      <c r="P726" s="125"/>
      <c r="Q726" s="125"/>
      <c r="R726" s="125"/>
      <c r="S726" s="125"/>
      <c r="T726" s="125"/>
      <c r="U726" s="125"/>
      <c r="V726" s="125"/>
      <c r="W726" s="10"/>
      <c r="X726" s="10"/>
      <c r="Y726" s="10"/>
      <c r="Z726" s="10"/>
      <c r="AA726" s="10"/>
      <c r="AB726" s="10"/>
    </row>
    <row r="727" spans="1:28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25"/>
      <c r="O727" s="125"/>
      <c r="P727" s="125"/>
      <c r="Q727" s="125"/>
      <c r="R727" s="125"/>
      <c r="S727" s="125"/>
      <c r="T727" s="125"/>
      <c r="U727" s="125"/>
      <c r="V727" s="125"/>
      <c r="W727" s="10"/>
      <c r="X727" s="10"/>
      <c r="Y727" s="10"/>
      <c r="Z727" s="10"/>
      <c r="AA727" s="10"/>
      <c r="AB727" s="10"/>
    </row>
    <row r="728" spans="1:28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25"/>
      <c r="O728" s="125"/>
      <c r="P728" s="125"/>
      <c r="Q728" s="125"/>
      <c r="R728" s="125"/>
      <c r="S728" s="125"/>
      <c r="T728" s="125"/>
      <c r="U728" s="125"/>
      <c r="V728" s="125"/>
      <c r="W728" s="10"/>
      <c r="X728" s="10"/>
      <c r="Y728" s="10"/>
      <c r="Z728" s="10"/>
      <c r="AA728" s="10"/>
      <c r="AB728" s="10"/>
    </row>
    <row r="729" spans="1:28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25"/>
      <c r="O729" s="125"/>
      <c r="P729" s="125"/>
      <c r="Q729" s="125"/>
      <c r="R729" s="125"/>
      <c r="S729" s="125"/>
      <c r="T729" s="125"/>
      <c r="U729" s="125"/>
      <c r="V729" s="125"/>
      <c r="W729" s="10"/>
      <c r="X729" s="10"/>
      <c r="Y729" s="10"/>
      <c r="Z729" s="10"/>
      <c r="AA729" s="10"/>
      <c r="AB729" s="10"/>
    </row>
    <row r="730" spans="1:28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25"/>
      <c r="O730" s="125"/>
      <c r="P730" s="125"/>
      <c r="Q730" s="125"/>
      <c r="R730" s="125"/>
      <c r="S730" s="125"/>
      <c r="T730" s="125"/>
      <c r="U730" s="125"/>
      <c r="V730" s="125"/>
      <c r="W730" s="10"/>
      <c r="X730" s="10"/>
      <c r="Y730" s="10"/>
      <c r="Z730" s="10"/>
      <c r="AA730" s="10"/>
      <c r="AB730" s="10"/>
    </row>
    <row r="731" spans="1:28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25"/>
      <c r="O731" s="125"/>
      <c r="P731" s="125"/>
      <c r="Q731" s="125"/>
      <c r="R731" s="125"/>
      <c r="S731" s="125"/>
      <c r="T731" s="125"/>
      <c r="U731" s="125"/>
      <c r="V731" s="125"/>
      <c r="W731" s="10"/>
      <c r="X731" s="10"/>
      <c r="Y731" s="10"/>
      <c r="Z731" s="10"/>
      <c r="AA731" s="10"/>
      <c r="AB731" s="10"/>
    </row>
    <row r="732" spans="1:28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25"/>
      <c r="O732" s="125"/>
      <c r="P732" s="125"/>
      <c r="Q732" s="125"/>
      <c r="R732" s="125"/>
      <c r="S732" s="125"/>
      <c r="T732" s="125"/>
      <c r="U732" s="125"/>
      <c r="V732" s="125"/>
      <c r="W732" s="10"/>
      <c r="X732" s="10"/>
      <c r="Y732" s="10"/>
      <c r="Z732" s="10"/>
      <c r="AA732" s="10"/>
      <c r="AB732" s="10"/>
    </row>
    <row r="733" spans="1:28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25"/>
      <c r="O733" s="125"/>
      <c r="P733" s="125"/>
      <c r="Q733" s="125"/>
      <c r="R733" s="125"/>
      <c r="S733" s="125"/>
      <c r="T733" s="125"/>
      <c r="U733" s="125"/>
      <c r="V733" s="125"/>
      <c r="W733" s="10"/>
      <c r="X733" s="10"/>
      <c r="Y733" s="10"/>
      <c r="Z733" s="10"/>
      <c r="AA733" s="10"/>
      <c r="AB733" s="10"/>
    </row>
    <row r="734" spans="1:28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25"/>
      <c r="O734" s="125"/>
      <c r="P734" s="125"/>
      <c r="Q734" s="125"/>
      <c r="R734" s="125"/>
      <c r="S734" s="125"/>
      <c r="T734" s="125"/>
      <c r="U734" s="125"/>
      <c r="V734" s="125"/>
      <c r="W734" s="10"/>
      <c r="X734" s="10"/>
      <c r="Y734" s="10"/>
      <c r="Z734" s="10"/>
      <c r="AA734" s="10"/>
      <c r="AB734" s="10"/>
    </row>
    <row r="735" spans="1:28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25"/>
      <c r="O735" s="125"/>
      <c r="P735" s="125"/>
      <c r="Q735" s="125"/>
      <c r="R735" s="125"/>
      <c r="S735" s="125"/>
      <c r="T735" s="125"/>
      <c r="U735" s="125"/>
      <c r="V735" s="125"/>
      <c r="W735" s="10"/>
      <c r="X735" s="10"/>
      <c r="Y735" s="10"/>
      <c r="Z735" s="10"/>
      <c r="AA735" s="10"/>
      <c r="AB735" s="10"/>
    </row>
    <row r="736" spans="1:28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25"/>
      <c r="O736" s="125"/>
      <c r="P736" s="125"/>
      <c r="Q736" s="125"/>
      <c r="R736" s="125"/>
      <c r="S736" s="125"/>
      <c r="T736" s="125"/>
      <c r="U736" s="125"/>
      <c r="V736" s="125"/>
      <c r="W736" s="10"/>
      <c r="X736" s="10"/>
      <c r="Y736" s="10"/>
      <c r="Z736" s="10"/>
      <c r="AA736" s="10"/>
      <c r="AB736" s="10"/>
    </row>
    <row r="737" spans="1:28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25"/>
      <c r="O737" s="125"/>
      <c r="P737" s="125"/>
      <c r="Q737" s="125"/>
      <c r="R737" s="125"/>
      <c r="S737" s="125"/>
      <c r="T737" s="125"/>
      <c r="U737" s="125"/>
      <c r="V737" s="125"/>
      <c r="W737" s="10"/>
      <c r="X737" s="10"/>
      <c r="Y737" s="10"/>
      <c r="Z737" s="10"/>
      <c r="AA737" s="10"/>
      <c r="AB737" s="10"/>
    </row>
    <row r="738" spans="1:28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25"/>
      <c r="O738" s="125"/>
      <c r="P738" s="125"/>
      <c r="Q738" s="125"/>
      <c r="R738" s="125"/>
      <c r="S738" s="125"/>
      <c r="T738" s="125"/>
      <c r="U738" s="125"/>
      <c r="V738" s="125"/>
      <c r="W738" s="10"/>
      <c r="X738" s="10"/>
      <c r="Y738" s="10"/>
      <c r="Z738" s="10"/>
      <c r="AA738" s="10"/>
      <c r="AB738" s="10"/>
    </row>
    <row r="739" spans="1:28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25"/>
      <c r="O739" s="125"/>
      <c r="P739" s="125"/>
      <c r="Q739" s="125"/>
      <c r="R739" s="125"/>
      <c r="S739" s="125"/>
      <c r="T739" s="125"/>
      <c r="U739" s="125"/>
      <c r="V739" s="125"/>
      <c r="W739" s="10"/>
      <c r="X739" s="10"/>
      <c r="Y739" s="10"/>
      <c r="Z739" s="10"/>
      <c r="AA739" s="10"/>
      <c r="AB739" s="10"/>
    </row>
    <row r="740" spans="1:28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25"/>
      <c r="O740" s="125"/>
      <c r="P740" s="125"/>
      <c r="Q740" s="125"/>
      <c r="R740" s="125"/>
      <c r="S740" s="125"/>
      <c r="T740" s="125"/>
      <c r="U740" s="125"/>
      <c r="V740" s="125"/>
      <c r="W740" s="10"/>
      <c r="X740" s="10"/>
      <c r="Y740" s="10"/>
      <c r="Z740" s="10"/>
      <c r="AA740" s="10"/>
      <c r="AB740" s="10"/>
    </row>
    <row r="741" spans="1:28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25"/>
      <c r="O741" s="125"/>
      <c r="P741" s="125"/>
      <c r="Q741" s="125"/>
      <c r="R741" s="125"/>
      <c r="S741" s="125"/>
      <c r="T741" s="125"/>
      <c r="U741" s="125"/>
      <c r="V741" s="125"/>
      <c r="W741" s="10"/>
      <c r="X741" s="10"/>
      <c r="Y741" s="10"/>
      <c r="Z741" s="10"/>
      <c r="AA741" s="10"/>
      <c r="AB741" s="10"/>
    </row>
    <row r="742" spans="1:28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25"/>
      <c r="O742" s="125"/>
      <c r="P742" s="125"/>
      <c r="Q742" s="125"/>
      <c r="R742" s="125"/>
      <c r="S742" s="125"/>
      <c r="T742" s="125"/>
      <c r="U742" s="125"/>
      <c r="V742" s="125"/>
      <c r="W742" s="10"/>
      <c r="X742" s="10"/>
      <c r="Y742" s="10"/>
      <c r="Z742" s="10"/>
      <c r="AA742" s="10"/>
      <c r="AB742" s="10"/>
    </row>
    <row r="743" spans="1:28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25"/>
      <c r="O743" s="125"/>
      <c r="P743" s="125"/>
      <c r="Q743" s="125"/>
      <c r="R743" s="125"/>
      <c r="S743" s="125"/>
      <c r="T743" s="125"/>
      <c r="U743" s="125"/>
      <c r="V743" s="125"/>
      <c r="W743" s="10"/>
      <c r="X743" s="10"/>
      <c r="Y743" s="10"/>
      <c r="Z743" s="10"/>
      <c r="AA743" s="10"/>
      <c r="AB743" s="10"/>
    </row>
    <row r="744" spans="1:28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25"/>
      <c r="O744" s="125"/>
      <c r="P744" s="125"/>
      <c r="Q744" s="125"/>
      <c r="R744" s="125"/>
      <c r="S744" s="125"/>
      <c r="T744" s="125"/>
      <c r="U744" s="125"/>
      <c r="V744" s="125"/>
      <c r="W744" s="10"/>
      <c r="X744" s="10"/>
      <c r="Y744" s="10"/>
      <c r="Z744" s="10"/>
      <c r="AA744" s="10"/>
      <c r="AB744" s="10"/>
    </row>
    <row r="745" spans="1:28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25"/>
      <c r="O745" s="125"/>
      <c r="P745" s="125"/>
      <c r="Q745" s="125"/>
      <c r="R745" s="125"/>
      <c r="S745" s="125"/>
      <c r="T745" s="125"/>
      <c r="U745" s="125"/>
      <c r="V745" s="125"/>
      <c r="W745" s="10"/>
      <c r="X745" s="10"/>
      <c r="Y745" s="10"/>
      <c r="Z745" s="10"/>
      <c r="AA745" s="10"/>
      <c r="AB745" s="10"/>
    </row>
    <row r="746" spans="1:28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25"/>
      <c r="O746" s="125"/>
      <c r="P746" s="125"/>
      <c r="Q746" s="125"/>
      <c r="R746" s="125"/>
      <c r="S746" s="125"/>
      <c r="T746" s="125"/>
      <c r="U746" s="125"/>
      <c r="V746" s="125"/>
      <c r="W746" s="10"/>
      <c r="X746" s="10"/>
      <c r="Y746" s="10"/>
      <c r="Z746" s="10"/>
      <c r="AA746" s="10"/>
      <c r="AB746" s="10"/>
    </row>
    <row r="747" spans="1:28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25"/>
      <c r="O747" s="125"/>
      <c r="P747" s="125"/>
      <c r="Q747" s="125"/>
      <c r="R747" s="125"/>
      <c r="S747" s="125"/>
      <c r="T747" s="125"/>
      <c r="U747" s="125"/>
      <c r="V747" s="125"/>
      <c r="W747" s="10"/>
      <c r="X747" s="10"/>
      <c r="Y747" s="10"/>
      <c r="Z747" s="10"/>
      <c r="AA747" s="10"/>
      <c r="AB747" s="10"/>
    </row>
    <row r="748" spans="1:28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25"/>
      <c r="O748" s="125"/>
      <c r="P748" s="125"/>
      <c r="Q748" s="125"/>
      <c r="R748" s="125"/>
      <c r="S748" s="125"/>
      <c r="T748" s="125"/>
      <c r="U748" s="125"/>
      <c r="V748" s="125"/>
      <c r="W748" s="10"/>
      <c r="X748" s="10"/>
      <c r="Y748" s="10"/>
      <c r="Z748" s="10"/>
      <c r="AA748" s="10"/>
      <c r="AB748" s="10"/>
    </row>
    <row r="749" spans="1:28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25"/>
      <c r="O749" s="125"/>
      <c r="P749" s="125"/>
      <c r="Q749" s="125"/>
      <c r="R749" s="125"/>
      <c r="S749" s="125"/>
      <c r="T749" s="125"/>
      <c r="U749" s="125"/>
      <c r="V749" s="125"/>
      <c r="W749" s="10"/>
      <c r="X749" s="10"/>
      <c r="Y749" s="10"/>
      <c r="Z749" s="10"/>
      <c r="AA749" s="10"/>
      <c r="AB749" s="10"/>
    </row>
    <row r="750" spans="1:28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25"/>
      <c r="O750" s="125"/>
      <c r="P750" s="125"/>
      <c r="Q750" s="125"/>
      <c r="R750" s="125"/>
      <c r="S750" s="125"/>
      <c r="T750" s="125"/>
      <c r="U750" s="125"/>
      <c r="V750" s="125"/>
      <c r="W750" s="10"/>
      <c r="X750" s="10"/>
      <c r="Y750" s="10"/>
      <c r="Z750" s="10"/>
      <c r="AA750" s="10"/>
      <c r="AB750" s="10"/>
    </row>
    <row r="751" spans="1:28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25"/>
      <c r="O751" s="125"/>
      <c r="P751" s="125"/>
      <c r="Q751" s="125"/>
      <c r="R751" s="125"/>
      <c r="S751" s="125"/>
      <c r="T751" s="125"/>
      <c r="U751" s="125"/>
      <c r="V751" s="125"/>
      <c r="W751" s="10"/>
      <c r="X751" s="10"/>
      <c r="Y751" s="10"/>
      <c r="Z751" s="10"/>
      <c r="AA751" s="10"/>
      <c r="AB751" s="10"/>
    </row>
    <row r="752" spans="1:28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25"/>
      <c r="O752" s="125"/>
      <c r="P752" s="125"/>
      <c r="Q752" s="125"/>
      <c r="R752" s="125"/>
      <c r="S752" s="125"/>
      <c r="T752" s="125"/>
      <c r="U752" s="125"/>
      <c r="V752" s="125"/>
      <c r="W752" s="10"/>
      <c r="X752" s="10"/>
      <c r="Y752" s="10"/>
      <c r="Z752" s="10"/>
      <c r="AA752" s="10"/>
      <c r="AB752" s="10"/>
    </row>
    <row r="753" spans="1:28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25"/>
      <c r="O753" s="125"/>
      <c r="P753" s="125"/>
      <c r="Q753" s="125"/>
      <c r="R753" s="125"/>
      <c r="S753" s="125"/>
      <c r="T753" s="125"/>
      <c r="U753" s="125"/>
      <c r="V753" s="125"/>
      <c r="W753" s="10"/>
      <c r="X753" s="10"/>
      <c r="Y753" s="10"/>
      <c r="Z753" s="10"/>
      <c r="AA753" s="10"/>
      <c r="AB753" s="10"/>
    </row>
    <row r="754" spans="1:28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25"/>
      <c r="O754" s="125"/>
      <c r="P754" s="125"/>
      <c r="Q754" s="125"/>
      <c r="R754" s="125"/>
      <c r="S754" s="125"/>
      <c r="T754" s="125"/>
      <c r="U754" s="125"/>
      <c r="V754" s="125"/>
      <c r="W754" s="10"/>
      <c r="X754" s="10"/>
      <c r="Y754" s="10"/>
      <c r="Z754" s="10"/>
      <c r="AA754" s="10"/>
      <c r="AB754" s="10"/>
    </row>
    <row r="755" spans="1:28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25"/>
      <c r="O755" s="125"/>
      <c r="P755" s="125"/>
      <c r="Q755" s="125"/>
      <c r="R755" s="125"/>
      <c r="S755" s="125"/>
      <c r="T755" s="125"/>
      <c r="U755" s="125"/>
      <c r="V755" s="125"/>
      <c r="W755" s="10"/>
      <c r="X755" s="10"/>
      <c r="Y755" s="10"/>
      <c r="Z755" s="10"/>
      <c r="AA755" s="10"/>
      <c r="AB755" s="10"/>
    </row>
    <row r="756" spans="1:28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25"/>
      <c r="O756" s="125"/>
      <c r="P756" s="125"/>
      <c r="Q756" s="125"/>
      <c r="R756" s="125"/>
      <c r="S756" s="125"/>
      <c r="T756" s="125"/>
      <c r="U756" s="125"/>
      <c r="V756" s="125"/>
      <c r="W756" s="10"/>
      <c r="X756" s="10"/>
      <c r="Y756" s="10"/>
      <c r="Z756" s="10"/>
      <c r="AA756" s="10"/>
      <c r="AB756" s="10"/>
    </row>
    <row r="757" spans="1:28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25"/>
      <c r="O757" s="125"/>
      <c r="P757" s="125"/>
      <c r="Q757" s="125"/>
      <c r="R757" s="125"/>
      <c r="S757" s="125"/>
      <c r="T757" s="125"/>
      <c r="U757" s="125"/>
      <c r="V757" s="125"/>
      <c r="W757" s="10"/>
      <c r="X757" s="10"/>
      <c r="Y757" s="10"/>
      <c r="Z757" s="10"/>
      <c r="AA757" s="10"/>
      <c r="AB757" s="10"/>
    </row>
    <row r="758" spans="1:28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25"/>
      <c r="O758" s="125"/>
      <c r="P758" s="125"/>
      <c r="Q758" s="125"/>
      <c r="R758" s="125"/>
      <c r="S758" s="125"/>
      <c r="T758" s="125"/>
      <c r="U758" s="125"/>
      <c r="V758" s="125"/>
      <c r="W758" s="10"/>
      <c r="X758" s="10"/>
      <c r="Y758" s="10"/>
      <c r="Z758" s="10"/>
      <c r="AA758" s="10"/>
      <c r="AB758" s="10"/>
    </row>
    <row r="759" spans="1:28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25"/>
      <c r="O759" s="125"/>
      <c r="P759" s="125"/>
      <c r="Q759" s="125"/>
      <c r="R759" s="125"/>
      <c r="S759" s="125"/>
      <c r="T759" s="125"/>
      <c r="U759" s="125"/>
      <c r="V759" s="125"/>
      <c r="W759" s="10"/>
      <c r="X759" s="10"/>
      <c r="Y759" s="10"/>
      <c r="Z759" s="10"/>
      <c r="AA759" s="10"/>
      <c r="AB759" s="10"/>
    </row>
    <row r="760" spans="1:28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25"/>
      <c r="O760" s="125"/>
      <c r="P760" s="125"/>
      <c r="Q760" s="125"/>
      <c r="R760" s="125"/>
      <c r="S760" s="125"/>
      <c r="T760" s="125"/>
      <c r="U760" s="125"/>
      <c r="V760" s="125"/>
      <c r="W760" s="10"/>
      <c r="X760" s="10"/>
      <c r="Y760" s="10"/>
      <c r="Z760" s="10"/>
      <c r="AA760" s="10"/>
      <c r="AB760" s="10"/>
    </row>
    <row r="761" spans="1:28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25"/>
      <c r="O761" s="125"/>
      <c r="P761" s="125"/>
      <c r="Q761" s="125"/>
      <c r="R761" s="125"/>
      <c r="S761" s="125"/>
      <c r="T761" s="125"/>
      <c r="U761" s="125"/>
      <c r="V761" s="125"/>
      <c r="W761" s="10"/>
      <c r="X761" s="10"/>
      <c r="Y761" s="10"/>
      <c r="Z761" s="10"/>
      <c r="AA761" s="10"/>
      <c r="AB761" s="10"/>
    </row>
    <row r="762" spans="1:28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25"/>
      <c r="O762" s="125"/>
      <c r="P762" s="125"/>
      <c r="Q762" s="125"/>
      <c r="R762" s="125"/>
      <c r="S762" s="125"/>
      <c r="T762" s="125"/>
      <c r="U762" s="125"/>
      <c r="V762" s="125"/>
      <c r="W762" s="10"/>
      <c r="X762" s="10"/>
      <c r="Y762" s="10"/>
      <c r="Z762" s="10"/>
      <c r="AA762" s="10"/>
      <c r="AB762" s="10"/>
    </row>
    <row r="763" spans="1:28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25"/>
      <c r="O763" s="125"/>
      <c r="P763" s="125"/>
      <c r="Q763" s="125"/>
      <c r="R763" s="125"/>
      <c r="S763" s="125"/>
      <c r="T763" s="125"/>
      <c r="U763" s="125"/>
      <c r="V763" s="125"/>
      <c r="W763" s="10"/>
      <c r="X763" s="10"/>
      <c r="Y763" s="10"/>
      <c r="Z763" s="10"/>
      <c r="AA763" s="10"/>
      <c r="AB763" s="10"/>
    </row>
    <row r="764" spans="1:28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25"/>
      <c r="O764" s="125"/>
      <c r="P764" s="125"/>
      <c r="Q764" s="125"/>
      <c r="R764" s="125"/>
      <c r="S764" s="125"/>
      <c r="T764" s="125"/>
      <c r="U764" s="125"/>
      <c r="V764" s="125"/>
      <c r="W764" s="10"/>
      <c r="X764" s="10"/>
      <c r="Y764" s="10"/>
      <c r="Z764" s="10"/>
      <c r="AA764" s="10"/>
      <c r="AB764" s="10"/>
    </row>
    <row r="765" spans="1:28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25"/>
      <c r="O765" s="125"/>
      <c r="P765" s="125"/>
      <c r="Q765" s="125"/>
      <c r="R765" s="125"/>
      <c r="S765" s="125"/>
      <c r="T765" s="125"/>
      <c r="U765" s="125"/>
      <c r="V765" s="125"/>
      <c r="W765" s="10"/>
      <c r="X765" s="10"/>
      <c r="Y765" s="10"/>
      <c r="Z765" s="10"/>
      <c r="AA765" s="10"/>
      <c r="AB765" s="10"/>
    </row>
    <row r="766" spans="1:28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25"/>
      <c r="O766" s="125"/>
      <c r="P766" s="125"/>
      <c r="Q766" s="125"/>
      <c r="R766" s="125"/>
      <c r="S766" s="125"/>
      <c r="T766" s="125"/>
      <c r="U766" s="125"/>
      <c r="V766" s="125"/>
      <c r="W766" s="10"/>
      <c r="X766" s="10"/>
      <c r="Y766" s="10"/>
      <c r="Z766" s="10"/>
      <c r="AA766" s="10"/>
      <c r="AB766" s="10"/>
    </row>
    <row r="767" spans="1:28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25"/>
      <c r="O767" s="125"/>
      <c r="P767" s="125"/>
      <c r="Q767" s="125"/>
      <c r="R767" s="125"/>
      <c r="S767" s="125"/>
      <c r="T767" s="125"/>
      <c r="U767" s="125"/>
      <c r="V767" s="125"/>
      <c r="W767" s="10"/>
      <c r="X767" s="10"/>
      <c r="Y767" s="10"/>
      <c r="Z767" s="10"/>
      <c r="AA767" s="10"/>
      <c r="AB767" s="10"/>
    </row>
    <row r="768" spans="1:28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25"/>
      <c r="O768" s="125"/>
      <c r="P768" s="125"/>
      <c r="Q768" s="125"/>
      <c r="R768" s="125"/>
      <c r="S768" s="125"/>
      <c r="T768" s="125"/>
      <c r="U768" s="125"/>
      <c r="V768" s="125"/>
      <c r="W768" s="10"/>
      <c r="X768" s="10"/>
      <c r="Y768" s="10"/>
      <c r="Z768" s="10"/>
      <c r="AA768" s="10"/>
      <c r="AB768" s="10"/>
    </row>
    <row r="769" spans="1:28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25"/>
      <c r="O769" s="125"/>
      <c r="P769" s="125"/>
      <c r="Q769" s="125"/>
      <c r="R769" s="125"/>
      <c r="S769" s="125"/>
      <c r="T769" s="125"/>
      <c r="U769" s="125"/>
      <c r="V769" s="125"/>
      <c r="W769" s="10"/>
      <c r="X769" s="10"/>
      <c r="Y769" s="10"/>
      <c r="Z769" s="10"/>
      <c r="AA769" s="10"/>
      <c r="AB769" s="10"/>
    </row>
    <row r="770" spans="1:28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25"/>
      <c r="O770" s="125"/>
      <c r="P770" s="125"/>
      <c r="Q770" s="125"/>
      <c r="R770" s="125"/>
      <c r="S770" s="125"/>
      <c r="T770" s="125"/>
      <c r="U770" s="125"/>
      <c r="V770" s="125"/>
      <c r="W770" s="10"/>
      <c r="X770" s="10"/>
      <c r="Y770" s="10"/>
      <c r="Z770" s="10"/>
      <c r="AA770" s="10"/>
      <c r="AB770" s="10"/>
    </row>
    <row r="771" spans="1:28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25"/>
      <c r="O771" s="125"/>
      <c r="P771" s="125"/>
      <c r="Q771" s="125"/>
      <c r="R771" s="125"/>
      <c r="S771" s="125"/>
      <c r="T771" s="125"/>
      <c r="U771" s="125"/>
      <c r="V771" s="125"/>
      <c r="W771" s="10"/>
      <c r="X771" s="10"/>
      <c r="Y771" s="10"/>
      <c r="Z771" s="10"/>
      <c r="AA771" s="10"/>
      <c r="AB771" s="10"/>
    </row>
    <row r="772" spans="1:28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25"/>
      <c r="O772" s="125"/>
      <c r="P772" s="125"/>
      <c r="Q772" s="125"/>
      <c r="R772" s="125"/>
      <c r="S772" s="125"/>
      <c r="T772" s="125"/>
      <c r="U772" s="125"/>
      <c r="V772" s="125"/>
      <c r="W772" s="10"/>
      <c r="X772" s="10"/>
      <c r="Y772" s="10"/>
      <c r="Z772" s="10"/>
      <c r="AA772" s="10"/>
      <c r="AB772" s="10"/>
    </row>
    <row r="773" spans="1:28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25"/>
      <c r="O773" s="125"/>
      <c r="P773" s="125"/>
      <c r="Q773" s="125"/>
      <c r="R773" s="125"/>
      <c r="S773" s="125"/>
      <c r="T773" s="125"/>
      <c r="U773" s="125"/>
      <c r="V773" s="125"/>
      <c r="W773" s="10"/>
      <c r="X773" s="10"/>
      <c r="Y773" s="10"/>
      <c r="Z773" s="10"/>
      <c r="AA773" s="10"/>
      <c r="AB773" s="10"/>
    </row>
    <row r="774" spans="1:28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25"/>
      <c r="O774" s="125"/>
      <c r="P774" s="125"/>
      <c r="Q774" s="125"/>
      <c r="R774" s="125"/>
      <c r="S774" s="125"/>
      <c r="T774" s="125"/>
      <c r="U774" s="125"/>
      <c r="V774" s="125"/>
      <c r="W774" s="10"/>
      <c r="X774" s="10"/>
      <c r="Y774" s="10"/>
      <c r="Z774" s="10"/>
      <c r="AA774" s="10"/>
      <c r="AB774" s="10"/>
    </row>
    <row r="775" spans="1:28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25"/>
      <c r="O775" s="125"/>
      <c r="P775" s="125"/>
      <c r="Q775" s="125"/>
      <c r="R775" s="125"/>
      <c r="S775" s="125"/>
      <c r="T775" s="125"/>
      <c r="U775" s="125"/>
      <c r="V775" s="125"/>
      <c r="W775" s="10"/>
      <c r="X775" s="10"/>
      <c r="Y775" s="10"/>
      <c r="Z775" s="10"/>
      <c r="AA775" s="10"/>
      <c r="AB775" s="10"/>
    </row>
    <row r="776" spans="1:28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25"/>
      <c r="O776" s="125"/>
      <c r="P776" s="125"/>
      <c r="Q776" s="125"/>
      <c r="R776" s="125"/>
      <c r="S776" s="125"/>
      <c r="T776" s="125"/>
      <c r="U776" s="125"/>
      <c r="V776" s="125"/>
      <c r="W776" s="10"/>
      <c r="X776" s="10"/>
      <c r="Y776" s="10"/>
      <c r="Z776" s="10"/>
      <c r="AA776" s="10"/>
      <c r="AB776" s="10"/>
    </row>
    <row r="777" spans="1:28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25"/>
      <c r="O777" s="125"/>
      <c r="P777" s="125"/>
      <c r="Q777" s="125"/>
      <c r="R777" s="125"/>
      <c r="S777" s="125"/>
      <c r="T777" s="125"/>
      <c r="U777" s="125"/>
      <c r="V777" s="125"/>
      <c r="W777" s="10"/>
      <c r="X777" s="10"/>
      <c r="Y777" s="10"/>
      <c r="Z777" s="10"/>
      <c r="AA777" s="10"/>
      <c r="AB777" s="10"/>
    </row>
    <row r="778" spans="1:28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25"/>
      <c r="O778" s="125"/>
      <c r="P778" s="125"/>
      <c r="Q778" s="125"/>
      <c r="R778" s="125"/>
      <c r="S778" s="125"/>
      <c r="T778" s="125"/>
      <c r="U778" s="125"/>
      <c r="V778" s="125"/>
      <c r="W778" s="10"/>
      <c r="X778" s="10"/>
      <c r="Y778" s="10"/>
      <c r="Z778" s="10"/>
      <c r="AA778" s="10"/>
      <c r="AB778" s="10"/>
    </row>
    <row r="779" spans="1:28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25"/>
      <c r="O779" s="125"/>
      <c r="P779" s="125"/>
      <c r="Q779" s="125"/>
      <c r="R779" s="125"/>
      <c r="S779" s="125"/>
      <c r="T779" s="125"/>
      <c r="U779" s="125"/>
      <c r="V779" s="125"/>
      <c r="W779" s="10"/>
      <c r="X779" s="10"/>
      <c r="Y779" s="10"/>
      <c r="Z779" s="10"/>
      <c r="AA779" s="10"/>
      <c r="AB779" s="10"/>
    </row>
    <row r="780" spans="1:28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25"/>
      <c r="O780" s="125"/>
      <c r="P780" s="125"/>
      <c r="Q780" s="125"/>
      <c r="R780" s="125"/>
      <c r="S780" s="125"/>
      <c r="T780" s="125"/>
      <c r="U780" s="125"/>
      <c r="V780" s="125"/>
      <c r="W780" s="10"/>
      <c r="X780" s="10"/>
      <c r="Y780" s="10"/>
      <c r="Z780" s="10"/>
      <c r="AA780" s="10"/>
      <c r="AB780" s="10"/>
    </row>
    <row r="781" spans="1:28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25"/>
      <c r="O781" s="125"/>
      <c r="P781" s="125"/>
      <c r="Q781" s="125"/>
      <c r="R781" s="125"/>
      <c r="S781" s="125"/>
      <c r="T781" s="125"/>
      <c r="U781" s="125"/>
      <c r="V781" s="125"/>
      <c r="W781" s="10"/>
      <c r="X781" s="10"/>
      <c r="Y781" s="10"/>
      <c r="Z781" s="10"/>
      <c r="AA781" s="10"/>
      <c r="AB781" s="10"/>
    </row>
    <row r="782" spans="1:28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25"/>
      <c r="O782" s="125"/>
      <c r="P782" s="125"/>
      <c r="Q782" s="125"/>
      <c r="R782" s="125"/>
      <c r="S782" s="125"/>
      <c r="T782" s="125"/>
      <c r="U782" s="125"/>
      <c r="V782" s="125"/>
      <c r="W782" s="10"/>
      <c r="X782" s="10"/>
      <c r="Y782" s="10"/>
      <c r="Z782" s="10"/>
      <c r="AA782" s="10"/>
      <c r="AB782" s="10"/>
    </row>
    <row r="783" spans="1:28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25"/>
      <c r="O783" s="125"/>
      <c r="P783" s="125"/>
      <c r="Q783" s="125"/>
      <c r="R783" s="125"/>
      <c r="S783" s="125"/>
      <c r="T783" s="125"/>
      <c r="U783" s="125"/>
      <c r="V783" s="125"/>
      <c r="W783" s="10"/>
      <c r="X783" s="10"/>
      <c r="Y783" s="10"/>
      <c r="Z783" s="10"/>
      <c r="AA783" s="10"/>
      <c r="AB783" s="10"/>
    </row>
    <row r="784" spans="1:28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25"/>
      <c r="O784" s="125"/>
      <c r="P784" s="125"/>
      <c r="Q784" s="125"/>
      <c r="R784" s="125"/>
      <c r="S784" s="125"/>
      <c r="T784" s="125"/>
      <c r="U784" s="125"/>
      <c r="V784" s="125"/>
      <c r="W784" s="10"/>
      <c r="X784" s="10"/>
      <c r="Y784" s="10"/>
      <c r="Z784" s="10"/>
      <c r="AA784" s="10"/>
      <c r="AB784" s="10"/>
    </row>
    <row r="785" spans="1:28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25"/>
      <c r="O785" s="125"/>
      <c r="P785" s="125"/>
      <c r="Q785" s="125"/>
      <c r="R785" s="125"/>
      <c r="S785" s="125"/>
      <c r="T785" s="125"/>
      <c r="U785" s="125"/>
      <c r="V785" s="125"/>
      <c r="W785" s="10"/>
      <c r="X785" s="10"/>
      <c r="Y785" s="10"/>
      <c r="Z785" s="10"/>
      <c r="AA785" s="10"/>
      <c r="AB785" s="10"/>
    </row>
    <row r="786" spans="1:28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25"/>
      <c r="O786" s="125"/>
      <c r="P786" s="125"/>
      <c r="Q786" s="125"/>
      <c r="R786" s="125"/>
      <c r="S786" s="125"/>
      <c r="T786" s="125"/>
      <c r="U786" s="125"/>
      <c r="V786" s="125"/>
      <c r="W786" s="10"/>
      <c r="X786" s="10"/>
      <c r="Y786" s="10"/>
      <c r="Z786" s="10"/>
      <c r="AA786" s="10"/>
      <c r="AB786" s="10"/>
    </row>
    <row r="787" spans="1:28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25"/>
      <c r="O787" s="125"/>
      <c r="P787" s="125"/>
      <c r="Q787" s="125"/>
      <c r="R787" s="125"/>
      <c r="S787" s="125"/>
      <c r="T787" s="125"/>
      <c r="U787" s="125"/>
      <c r="V787" s="125"/>
      <c r="W787" s="10"/>
      <c r="X787" s="10"/>
      <c r="Y787" s="10"/>
      <c r="Z787" s="10"/>
      <c r="AA787" s="10"/>
      <c r="AB787" s="10"/>
    </row>
    <row r="788" spans="1:28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25"/>
      <c r="O788" s="125"/>
      <c r="P788" s="125"/>
      <c r="Q788" s="125"/>
      <c r="R788" s="125"/>
      <c r="S788" s="125"/>
      <c r="T788" s="125"/>
      <c r="U788" s="125"/>
      <c r="V788" s="125"/>
      <c r="W788" s="10"/>
      <c r="X788" s="10"/>
      <c r="Y788" s="10"/>
      <c r="Z788" s="10"/>
      <c r="AA788" s="10"/>
      <c r="AB788" s="10"/>
    </row>
    <row r="789" spans="1:28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25"/>
      <c r="O789" s="125"/>
      <c r="P789" s="125"/>
      <c r="Q789" s="125"/>
      <c r="R789" s="125"/>
      <c r="S789" s="125"/>
      <c r="T789" s="125"/>
      <c r="U789" s="125"/>
      <c r="V789" s="125"/>
      <c r="W789" s="10"/>
      <c r="X789" s="10"/>
      <c r="Y789" s="10"/>
      <c r="Z789" s="10"/>
      <c r="AA789" s="10"/>
      <c r="AB789" s="10"/>
    </row>
    <row r="790" spans="1:28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25"/>
      <c r="O790" s="125"/>
      <c r="P790" s="125"/>
      <c r="Q790" s="125"/>
      <c r="R790" s="125"/>
      <c r="S790" s="125"/>
      <c r="T790" s="125"/>
      <c r="U790" s="125"/>
      <c r="V790" s="125"/>
      <c r="W790" s="10"/>
      <c r="X790" s="10"/>
      <c r="Y790" s="10"/>
      <c r="Z790" s="10"/>
      <c r="AA790" s="10"/>
      <c r="AB790" s="10"/>
    </row>
    <row r="791" spans="1:28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25"/>
      <c r="O791" s="125"/>
      <c r="P791" s="125"/>
      <c r="Q791" s="125"/>
      <c r="R791" s="125"/>
      <c r="S791" s="125"/>
      <c r="T791" s="125"/>
      <c r="U791" s="125"/>
      <c r="V791" s="125"/>
      <c r="W791" s="10"/>
      <c r="X791" s="10"/>
      <c r="Y791" s="10"/>
      <c r="Z791" s="10"/>
      <c r="AA791" s="10"/>
      <c r="AB791" s="10"/>
    </row>
    <row r="792" spans="1:28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25"/>
      <c r="O792" s="125"/>
      <c r="P792" s="125"/>
      <c r="Q792" s="125"/>
      <c r="R792" s="125"/>
      <c r="S792" s="125"/>
      <c r="T792" s="125"/>
      <c r="U792" s="125"/>
      <c r="V792" s="125"/>
      <c r="W792" s="10"/>
      <c r="X792" s="10"/>
      <c r="Y792" s="10"/>
      <c r="Z792" s="10"/>
      <c r="AA792" s="10"/>
      <c r="AB792" s="10"/>
    </row>
    <row r="793" spans="1:28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25"/>
      <c r="O793" s="125"/>
      <c r="P793" s="125"/>
      <c r="Q793" s="125"/>
      <c r="R793" s="125"/>
      <c r="S793" s="125"/>
      <c r="T793" s="125"/>
      <c r="U793" s="125"/>
      <c r="V793" s="125"/>
      <c r="W793" s="10"/>
      <c r="X793" s="10"/>
      <c r="Y793" s="10"/>
      <c r="Z793" s="10"/>
      <c r="AA793" s="10"/>
      <c r="AB793" s="10"/>
    </row>
    <row r="794" spans="1:28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25"/>
      <c r="O794" s="125"/>
      <c r="P794" s="125"/>
      <c r="Q794" s="125"/>
      <c r="R794" s="125"/>
      <c r="S794" s="125"/>
      <c r="T794" s="125"/>
      <c r="U794" s="125"/>
      <c r="V794" s="125"/>
      <c r="W794" s="10"/>
      <c r="X794" s="10"/>
      <c r="Y794" s="10"/>
      <c r="Z794" s="10"/>
      <c r="AA794" s="10"/>
      <c r="AB794" s="10"/>
    </row>
    <row r="795" spans="1:28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25"/>
      <c r="O795" s="125"/>
      <c r="P795" s="125"/>
      <c r="Q795" s="125"/>
      <c r="R795" s="125"/>
      <c r="S795" s="125"/>
      <c r="T795" s="125"/>
      <c r="U795" s="125"/>
      <c r="V795" s="125"/>
      <c r="W795" s="10"/>
      <c r="X795" s="10"/>
      <c r="Y795" s="10"/>
      <c r="Z795" s="10"/>
      <c r="AA795" s="10"/>
      <c r="AB795" s="10"/>
    </row>
    <row r="796" spans="1:28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25"/>
      <c r="O796" s="125"/>
      <c r="P796" s="125"/>
      <c r="Q796" s="125"/>
      <c r="R796" s="125"/>
      <c r="S796" s="125"/>
      <c r="T796" s="125"/>
      <c r="U796" s="125"/>
      <c r="V796" s="125"/>
      <c r="W796" s="10"/>
      <c r="X796" s="10"/>
      <c r="Y796" s="10"/>
      <c r="Z796" s="10"/>
      <c r="AA796" s="10"/>
      <c r="AB796" s="10"/>
    </row>
    <row r="797" spans="1:28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25"/>
      <c r="O797" s="125"/>
      <c r="P797" s="125"/>
      <c r="Q797" s="125"/>
      <c r="R797" s="125"/>
      <c r="S797" s="125"/>
      <c r="T797" s="125"/>
      <c r="U797" s="125"/>
      <c r="V797" s="125"/>
      <c r="W797" s="10"/>
      <c r="X797" s="10"/>
      <c r="Y797" s="10"/>
      <c r="Z797" s="10"/>
      <c r="AA797" s="10"/>
      <c r="AB797" s="10"/>
    </row>
    <row r="798" spans="1:28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25"/>
      <c r="O798" s="125"/>
      <c r="P798" s="125"/>
      <c r="Q798" s="125"/>
      <c r="R798" s="125"/>
      <c r="S798" s="125"/>
      <c r="T798" s="125"/>
      <c r="U798" s="125"/>
      <c r="V798" s="125"/>
      <c r="W798" s="10"/>
      <c r="X798" s="10"/>
      <c r="Y798" s="10"/>
      <c r="Z798" s="10"/>
      <c r="AA798" s="10"/>
      <c r="AB798" s="10"/>
    </row>
    <row r="799" spans="1:28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25"/>
      <c r="O799" s="125"/>
      <c r="P799" s="125"/>
      <c r="Q799" s="125"/>
      <c r="R799" s="125"/>
      <c r="S799" s="125"/>
      <c r="T799" s="125"/>
      <c r="U799" s="125"/>
      <c r="V799" s="125"/>
      <c r="W799" s="10"/>
      <c r="X799" s="10"/>
      <c r="Y799" s="10"/>
      <c r="Z799" s="10"/>
      <c r="AA799" s="10"/>
      <c r="AB799" s="10"/>
    </row>
    <row r="800" spans="1:28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25"/>
      <c r="O800" s="125"/>
      <c r="P800" s="125"/>
      <c r="Q800" s="125"/>
      <c r="R800" s="125"/>
      <c r="S800" s="125"/>
      <c r="T800" s="125"/>
      <c r="U800" s="125"/>
      <c r="V800" s="125"/>
      <c r="W800" s="10"/>
      <c r="X800" s="10"/>
      <c r="Y800" s="10"/>
      <c r="Z800" s="10"/>
      <c r="AA800" s="10"/>
      <c r="AB800" s="10"/>
    </row>
    <row r="801" spans="1:28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25"/>
      <c r="O801" s="125"/>
      <c r="P801" s="125"/>
      <c r="Q801" s="125"/>
      <c r="R801" s="125"/>
      <c r="S801" s="125"/>
      <c r="T801" s="125"/>
      <c r="U801" s="125"/>
      <c r="V801" s="125"/>
      <c r="W801" s="10"/>
      <c r="X801" s="10"/>
      <c r="Y801" s="10"/>
      <c r="Z801" s="10"/>
      <c r="AA801" s="10"/>
      <c r="AB801" s="10"/>
    </row>
    <row r="802" spans="1:28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25"/>
      <c r="O802" s="125"/>
      <c r="P802" s="125"/>
      <c r="Q802" s="125"/>
      <c r="R802" s="125"/>
      <c r="S802" s="125"/>
      <c r="T802" s="125"/>
      <c r="U802" s="125"/>
      <c r="V802" s="125"/>
      <c r="W802" s="10"/>
      <c r="X802" s="10"/>
      <c r="Y802" s="10"/>
      <c r="Z802" s="10"/>
      <c r="AA802" s="10"/>
      <c r="AB802" s="10"/>
    </row>
    <row r="803" spans="1:28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25"/>
      <c r="O803" s="125"/>
      <c r="P803" s="125"/>
      <c r="Q803" s="125"/>
      <c r="R803" s="125"/>
      <c r="S803" s="125"/>
      <c r="T803" s="125"/>
      <c r="U803" s="125"/>
      <c r="V803" s="125"/>
      <c r="W803" s="10"/>
      <c r="X803" s="10"/>
      <c r="Y803" s="10"/>
      <c r="Z803" s="10"/>
      <c r="AA803" s="10"/>
      <c r="AB803" s="10"/>
    </row>
    <row r="804" spans="1:28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25"/>
      <c r="O804" s="125"/>
      <c r="P804" s="125"/>
      <c r="Q804" s="125"/>
      <c r="R804" s="125"/>
      <c r="S804" s="125"/>
      <c r="T804" s="125"/>
      <c r="U804" s="125"/>
      <c r="V804" s="125"/>
      <c r="W804" s="10"/>
      <c r="X804" s="10"/>
      <c r="Y804" s="10"/>
      <c r="Z804" s="10"/>
      <c r="AA804" s="10"/>
      <c r="AB804" s="10"/>
    </row>
    <row r="805" spans="1:28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25"/>
      <c r="O805" s="125"/>
      <c r="P805" s="125"/>
      <c r="Q805" s="125"/>
      <c r="R805" s="125"/>
      <c r="S805" s="125"/>
      <c r="T805" s="125"/>
      <c r="U805" s="125"/>
      <c r="V805" s="125"/>
      <c r="W805" s="10"/>
      <c r="X805" s="10"/>
      <c r="Y805" s="10"/>
      <c r="Z805" s="10"/>
      <c r="AA805" s="10"/>
      <c r="AB805" s="10"/>
    </row>
    <row r="806" spans="1:28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25"/>
      <c r="O806" s="125"/>
      <c r="P806" s="125"/>
      <c r="Q806" s="125"/>
      <c r="R806" s="125"/>
      <c r="S806" s="125"/>
      <c r="T806" s="125"/>
      <c r="U806" s="125"/>
      <c r="V806" s="125"/>
      <c r="W806" s="10"/>
      <c r="X806" s="10"/>
      <c r="Y806" s="10"/>
      <c r="Z806" s="10"/>
      <c r="AA806" s="10"/>
      <c r="AB806" s="10"/>
    </row>
    <row r="807" spans="1:28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25"/>
      <c r="O807" s="125"/>
      <c r="P807" s="125"/>
      <c r="Q807" s="125"/>
      <c r="R807" s="125"/>
      <c r="S807" s="125"/>
      <c r="T807" s="125"/>
      <c r="U807" s="125"/>
      <c r="V807" s="125"/>
      <c r="W807" s="10"/>
      <c r="X807" s="10"/>
      <c r="Y807" s="10"/>
      <c r="Z807" s="10"/>
      <c r="AA807" s="10"/>
      <c r="AB807" s="10"/>
    </row>
    <row r="808" spans="1:28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25"/>
      <c r="O808" s="125"/>
      <c r="P808" s="125"/>
      <c r="Q808" s="125"/>
      <c r="R808" s="125"/>
      <c r="S808" s="125"/>
      <c r="T808" s="125"/>
      <c r="U808" s="125"/>
      <c r="V808" s="125"/>
      <c r="W808" s="10"/>
      <c r="X808" s="10"/>
      <c r="Y808" s="10"/>
      <c r="Z808" s="10"/>
      <c r="AA808" s="10"/>
      <c r="AB808" s="10"/>
    </row>
    <row r="809" spans="1:28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25"/>
      <c r="O809" s="125"/>
      <c r="P809" s="125"/>
      <c r="Q809" s="125"/>
      <c r="R809" s="125"/>
      <c r="S809" s="125"/>
      <c r="T809" s="125"/>
      <c r="U809" s="125"/>
      <c r="V809" s="125"/>
      <c r="W809" s="10"/>
      <c r="X809" s="10"/>
      <c r="Y809" s="10"/>
      <c r="Z809" s="10"/>
      <c r="AA809" s="10"/>
      <c r="AB809" s="10"/>
    </row>
    <row r="810" spans="1:28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25"/>
      <c r="O810" s="125"/>
      <c r="P810" s="125"/>
      <c r="Q810" s="125"/>
      <c r="R810" s="125"/>
      <c r="S810" s="125"/>
      <c r="T810" s="125"/>
      <c r="U810" s="125"/>
      <c r="V810" s="125"/>
      <c r="W810" s="10"/>
      <c r="X810" s="10"/>
      <c r="Y810" s="10"/>
      <c r="Z810" s="10"/>
      <c r="AA810" s="10"/>
      <c r="AB810" s="10"/>
    </row>
    <row r="811" spans="1:28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25"/>
      <c r="O811" s="125"/>
      <c r="P811" s="125"/>
      <c r="Q811" s="125"/>
      <c r="R811" s="125"/>
      <c r="S811" s="125"/>
      <c r="T811" s="125"/>
      <c r="U811" s="125"/>
      <c r="V811" s="125"/>
      <c r="W811" s="10"/>
      <c r="X811" s="10"/>
      <c r="Y811" s="10"/>
      <c r="Z811" s="10"/>
      <c r="AA811" s="10"/>
      <c r="AB811" s="10"/>
    </row>
    <row r="812" spans="1:28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25"/>
      <c r="O812" s="125"/>
      <c r="P812" s="125"/>
      <c r="Q812" s="125"/>
      <c r="R812" s="125"/>
      <c r="S812" s="125"/>
      <c r="T812" s="125"/>
      <c r="U812" s="125"/>
      <c r="V812" s="125"/>
      <c r="W812" s="10"/>
      <c r="X812" s="10"/>
      <c r="Y812" s="10"/>
      <c r="Z812" s="10"/>
      <c r="AA812" s="10"/>
      <c r="AB812" s="10"/>
    </row>
    <row r="813" spans="1:28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25"/>
      <c r="O813" s="125"/>
      <c r="P813" s="125"/>
      <c r="Q813" s="125"/>
      <c r="R813" s="125"/>
      <c r="S813" s="125"/>
      <c r="T813" s="125"/>
      <c r="U813" s="125"/>
      <c r="V813" s="125"/>
      <c r="W813" s="10"/>
      <c r="X813" s="10"/>
      <c r="Y813" s="10"/>
      <c r="Z813" s="10"/>
      <c r="AA813" s="10"/>
      <c r="AB813" s="10"/>
    </row>
    <row r="814" spans="1:28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25"/>
      <c r="O814" s="125"/>
      <c r="P814" s="125"/>
      <c r="Q814" s="125"/>
      <c r="R814" s="125"/>
      <c r="S814" s="125"/>
      <c r="T814" s="125"/>
      <c r="U814" s="125"/>
      <c r="V814" s="125"/>
      <c r="W814" s="10"/>
      <c r="X814" s="10"/>
      <c r="Y814" s="10"/>
      <c r="Z814" s="10"/>
      <c r="AA814" s="10"/>
      <c r="AB814" s="10"/>
    </row>
    <row r="815" spans="1:28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25"/>
      <c r="O815" s="125"/>
      <c r="P815" s="125"/>
      <c r="Q815" s="125"/>
      <c r="R815" s="125"/>
      <c r="S815" s="125"/>
      <c r="T815" s="125"/>
      <c r="U815" s="125"/>
      <c r="V815" s="125"/>
      <c r="W815" s="10"/>
      <c r="X815" s="10"/>
      <c r="Y815" s="10"/>
      <c r="Z815" s="10"/>
      <c r="AA815" s="10"/>
      <c r="AB815" s="10"/>
    </row>
    <row r="816" spans="1:28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25"/>
      <c r="O816" s="125"/>
      <c r="P816" s="125"/>
      <c r="Q816" s="125"/>
      <c r="R816" s="125"/>
      <c r="S816" s="125"/>
      <c r="T816" s="125"/>
      <c r="U816" s="125"/>
      <c r="V816" s="125"/>
      <c r="W816" s="10"/>
      <c r="X816" s="10"/>
      <c r="Y816" s="10"/>
      <c r="Z816" s="10"/>
      <c r="AA816" s="10"/>
      <c r="AB816" s="10"/>
    </row>
    <row r="817" spans="1:28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25"/>
      <c r="O817" s="125"/>
      <c r="P817" s="125"/>
      <c r="Q817" s="125"/>
      <c r="R817" s="125"/>
      <c r="S817" s="125"/>
      <c r="T817" s="125"/>
      <c r="U817" s="125"/>
      <c r="V817" s="125"/>
      <c r="W817" s="10"/>
      <c r="X817" s="10"/>
      <c r="Y817" s="10"/>
      <c r="Z817" s="10"/>
      <c r="AA817" s="10"/>
      <c r="AB817" s="10"/>
    </row>
    <row r="818" spans="1:28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25"/>
      <c r="O818" s="125"/>
      <c r="P818" s="125"/>
      <c r="Q818" s="125"/>
      <c r="R818" s="125"/>
      <c r="S818" s="125"/>
      <c r="T818" s="125"/>
      <c r="U818" s="125"/>
      <c r="V818" s="125"/>
      <c r="W818" s="10"/>
      <c r="X818" s="10"/>
      <c r="Y818" s="10"/>
      <c r="Z818" s="10"/>
      <c r="AA818" s="10"/>
      <c r="AB818" s="10"/>
    </row>
    <row r="819" spans="1:28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25"/>
      <c r="O819" s="125"/>
      <c r="P819" s="125"/>
      <c r="Q819" s="125"/>
      <c r="R819" s="125"/>
      <c r="S819" s="125"/>
      <c r="T819" s="125"/>
      <c r="U819" s="125"/>
      <c r="V819" s="125"/>
      <c r="W819" s="10"/>
      <c r="X819" s="10"/>
      <c r="Y819" s="10"/>
      <c r="Z819" s="10"/>
      <c r="AA819" s="10"/>
      <c r="AB819" s="10"/>
    </row>
    <row r="820" spans="1:28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25"/>
      <c r="O820" s="125"/>
      <c r="P820" s="125"/>
      <c r="Q820" s="125"/>
      <c r="R820" s="125"/>
      <c r="S820" s="125"/>
      <c r="T820" s="125"/>
      <c r="U820" s="125"/>
      <c r="V820" s="125"/>
      <c r="W820" s="10"/>
      <c r="X820" s="10"/>
      <c r="Y820" s="10"/>
      <c r="Z820" s="10"/>
      <c r="AA820" s="10"/>
      <c r="AB820" s="10"/>
    </row>
    <row r="821" spans="1:28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25"/>
      <c r="O821" s="125"/>
      <c r="P821" s="125"/>
      <c r="Q821" s="125"/>
      <c r="R821" s="125"/>
      <c r="S821" s="125"/>
      <c r="T821" s="125"/>
      <c r="U821" s="125"/>
      <c r="V821" s="125"/>
      <c r="W821" s="10"/>
      <c r="X821" s="10"/>
      <c r="Y821" s="10"/>
      <c r="Z821" s="10"/>
      <c r="AA821" s="10"/>
      <c r="AB821" s="10"/>
    </row>
    <row r="822" spans="1:28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25"/>
      <c r="O822" s="125"/>
      <c r="P822" s="125"/>
      <c r="Q822" s="125"/>
      <c r="R822" s="125"/>
      <c r="S822" s="125"/>
      <c r="T822" s="125"/>
      <c r="U822" s="125"/>
      <c r="V822" s="125"/>
      <c r="W822" s="10"/>
      <c r="X822" s="10"/>
      <c r="Y822" s="10"/>
      <c r="Z822" s="10"/>
      <c r="AA822" s="10"/>
      <c r="AB822" s="10"/>
    </row>
    <row r="823" spans="1:28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25"/>
      <c r="O823" s="125"/>
      <c r="P823" s="125"/>
      <c r="Q823" s="125"/>
      <c r="R823" s="125"/>
      <c r="S823" s="125"/>
      <c r="T823" s="125"/>
      <c r="U823" s="125"/>
      <c r="V823" s="125"/>
      <c r="W823" s="10"/>
      <c r="X823" s="10"/>
      <c r="Y823" s="10"/>
      <c r="Z823" s="10"/>
      <c r="AA823" s="10"/>
      <c r="AB823" s="10"/>
    </row>
    <row r="824" spans="1:28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25"/>
      <c r="O824" s="125"/>
      <c r="P824" s="125"/>
      <c r="Q824" s="125"/>
      <c r="R824" s="125"/>
      <c r="S824" s="125"/>
      <c r="T824" s="125"/>
      <c r="U824" s="125"/>
      <c r="V824" s="125"/>
      <c r="W824" s="10"/>
      <c r="X824" s="10"/>
      <c r="Y824" s="10"/>
      <c r="Z824" s="10"/>
      <c r="AA824" s="10"/>
      <c r="AB824" s="10"/>
    </row>
    <row r="825" spans="1:28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25"/>
      <c r="O825" s="125"/>
      <c r="P825" s="125"/>
      <c r="Q825" s="125"/>
      <c r="R825" s="125"/>
      <c r="S825" s="125"/>
      <c r="T825" s="125"/>
      <c r="U825" s="125"/>
      <c r="V825" s="125"/>
      <c r="W825" s="10"/>
      <c r="X825" s="10"/>
      <c r="Y825" s="10"/>
      <c r="Z825" s="10"/>
      <c r="AA825" s="10"/>
      <c r="AB825" s="10"/>
    </row>
    <row r="826" spans="1:28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25"/>
      <c r="O826" s="125"/>
      <c r="P826" s="125"/>
      <c r="Q826" s="125"/>
      <c r="R826" s="125"/>
      <c r="S826" s="125"/>
      <c r="T826" s="125"/>
      <c r="U826" s="125"/>
      <c r="V826" s="125"/>
      <c r="W826" s="10"/>
      <c r="X826" s="10"/>
      <c r="Y826" s="10"/>
      <c r="Z826" s="10"/>
      <c r="AA826" s="10"/>
      <c r="AB826" s="10"/>
    </row>
    <row r="827" spans="1:28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25"/>
      <c r="O827" s="125"/>
      <c r="P827" s="125"/>
      <c r="Q827" s="125"/>
      <c r="R827" s="125"/>
      <c r="S827" s="125"/>
      <c r="T827" s="125"/>
      <c r="U827" s="125"/>
      <c r="V827" s="125"/>
      <c r="W827" s="10"/>
      <c r="X827" s="10"/>
      <c r="Y827" s="10"/>
      <c r="Z827" s="10"/>
      <c r="AA827" s="10"/>
      <c r="AB827" s="10"/>
    </row>
    <row r="828" spans="1:28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25"/>
      <c r="O828" s="125"/>
      <c r="P828" s="125"/>
      <c r="Q828" s="125"/>
      <c r="R828" s="125"/>
      <c r="S828" s="125"/>
      <c r="T828" s="125"/>
      <c r="U828" s="125"/>
      <c r="V828" s="125"/>
      <c r="W828" s="10"/>
      <c r="X828" s="10"/>
      <c r="Y828" s="10"/>
      <c r="Z828" s="10"/>
      <c r="AA828" s="10"/>
      <c r="AB828" s="10"/>
    </row>
    <row r="829" spans="1:28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25"/>
      <c r="O829" s="125"/>
      <c r="P829" s="125"/>
      <c r="Q829" s="125"/>
      <c r="R829" s="125"/>
      <c r="S829" s="125"/>
      <c r="T829" s="125"/>
      <c r="U829" s="125"/>
      <c r="V829" s="125"/>
      <c r="W829" s="10"/>
      <c r="X829" s="10"/>
      <c r="Y829" s="10"/>
      <c r="Z829" s="10"/>
      <c r="AA829" s="10"/>
      <c r="AB829" s="10"/>
    </row>
    <row r="830" spans="1:28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25"/>
      <c r="O830" s="125"/>
      <c r="P830" s="125"/>
      <c r="Q830" s="125"/>
      <c r="R830" s="125"/>
      <c r="S830" s="125"/>
      <c r="T830" s="125"/>
      <c r="U830" s="125"/>
      <c r="V830" s="125"/>
      <c r="W830" s="10"/>
      <c r="X830" s="10"/>
      <c r="Y830" s="10"/>
      <c r="Z830" s="10"/>
      <c r="AA830" s="10"/>
      <c r="AB830" s="10"/>
    </row>
    <row r="831" spans="1:28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25"/>
      <c r="O831" s="125"/>
      <c r="P831" s="125"/>
      <c r="Q831" s="125"/>
      <c r="R831" s="125"/>
      <c r="S831" s="125"/>
      <c r="T831" s="125"/>
      <c r="U831" s="125"/>
      <c r="V831" s="125"/>
      <c r="W831" s="10"/>
      <c r="X831" s="10"/>
      <c r="Y831" s="10"/>
      <c r="Z831" s="10"/>
      <c r="AA831" s="10"/>
      <c r="AB831" s="10"/>
    </row>
    <row r="832" spans="1:28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25"/>
      <c r="O832" s="125"/>
      <c r="P832" s="125"/>
      <c r="Q832" s="125"/>
      <c r="R832" s="125"/>
      <c r="S832" s="125"/>
      <c r="T832" s="125"/>
      <c r="U832" s="125"/>
      <c r="V832" s="125"/>
      <c r="W832" s="10"/>
      <c r="X832" s="10"/>
      <c r="Y832" s="10"/>
      <c r="Z832" s="10"/>
      <c r="AA832" s="10"/>
      <c r="AB832" s="10"/>
    </row>
    <row r="833" spans="1:28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25"/>
      <c r="O833" s="125"/>
      <c r="P833" s="125"/>
      <c r="Q833" s="125"/>
      <c r="R833" s="125"/>
      <c r="S833" s="125"/>
      <c r="T833" s="125"/>
      <c r="U833" s="125"/>
      <c r="V833" s="125"/>
      <c r="W833" s="10"/>
      <c r="X833" s="10"/>
      <c r="Y833" s="10"/>
      <c r="Z833" s="10"/>
      <c r="AA833" s="10"/>
      <c r="AB833" s="10"/>
    </row>
    <row r="834" spans="1:28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25"/>
      <c r="O834" s="125"/>
      <c r="P834" s="125"/>
      <c r="Q834" s="125"/>
      <c r="R834" s="125"/>
      <c r="S834" s="125"/>
      <c r="T834" s="125"/>
      <c r="U834" s="125"/>
      <c r="V834" s="125"/>
      <c r="W834" s="10"/>
      <c r="X834" s="10"/>
      <c r="Y834" s="10"/>
      <c r="Z834" s="10"/>
      <c r="AA834" s="10"/>
      <c r="AB834" s="10"/>
    </row>
    <row r="835" spans="1:28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25"/>
      <c r="O835" s="125"/>
      <c r="P835" s="125"/>
      <c r="Q835" s="125"/>
      <c r="R835" s="125"/>
      <c r="S835" s="125"/>
      <c r="T835" s="125"/>
      <c r="U835" s="125"/>
      <c r="V835" s="125"/>
      <c r="W835" s="10"/>
      <c r="X835" s="10"/>
      <c r="Y835" s="10"/>
      <c r="Z835" s="10"/>
      <c r="AA835" s="10"/>
      <c r="AB835" s="10"/>
    </row>
    <row r="836" spans="1:28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25"/>
      <c r="O836" s="125"/>
      <c r="P836" s="125"/>
      <c r="Q836" s="125"/>
      <c r="R836" s="125"/>
      <c r="S836" s="125"/>
      <c r="T836" s="125"/>
      <c r="U836" s="125"/>
      <c r="V836" s="125"/>
      <c r="W836" s="10"/>
      <c r="X836" s="10"/>
      <c r="Y836" s="10"/>
      <c r="Z836" s="10"/>
      <c r="AA836" s="10"/>
      <c r="AB836" s="10"/>
    </row>
    <row r="837" spans="1:28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25"/>
      <c r="O837" s="125"/>
      <c r="P837" s="125"/>
      <c r="Q837" s="125"/>
      <c r="R837" s="125"/>
      <c r="S837" s="125"/>
      <c r="T837" s="125"/>
      <c r="U837" s="125"/>
      <c r="V837" s="125"/>
      <c r="W837" s="10"/>
      <c r="X837" s="10"/>
      <c r="Y837" s="10"/>
      <c r="Z837" s="10"/>
      <c r="AA837" s="10"/>
      <c r="AB837" s="10"/>
    </row>
    <row r="838" spans="1:28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25"/>
      <c r="O838" s="125"/>
      <c r="P838" s="125"/>
      <c r="Q838" s="125"/>
      <c r="R838" s="125"/>
      <c r="S838" s="125"/>
      <c r="T838" s="125"/>
      <c r="U838" s="125"/>
      <c r="V838" s="125"/>
      <c r="W838" s="10"/>
      <c r="X838" s="10"/>
      <c r="Y838" s="10"/>
      <c r="Z838" s="10"/>
      <c r="AA838" s="10"/>
      <c r="AB838" s="10"/>
    </row>
    <row r="839" spans="1:28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25"/>
      <c r="O839" s="125"/>
      <c r="P839" s="125"/>
      <c r="Q839" s="125"/>
      <c r="R839" s="125"/>
      <c r="S839" s="125"/>
      <c r="T839" s="125"/>
      <c r="U839" s="125"/>
      <c r="V839" s="125"/>
      <c r="W839" s="10"/>
      <c r="X839" s="10"/>
      <c r="Y839" s="10"/>
      <c r="Z839" s="10"/>
      <c r="AA839" s="10"/>
      <c r="AB839" s="10"/>
    </row>
    <row r="840" spans="1:28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25"/>
      <c r="O840" s="125"/>
      <c r="P840" s="125"/>
      <c r="Q840" s="125"/>
      <c r="R840" s="125"/>
      <c r="S840" s="125"/>
      <c r="T840" s="125"/>
      <c r="U840" s="125"/>
      <c r="V840" s="125"/>
      <c r="W840" s="10"/>
      <c r="X840" s="10"/>
      <c r="Y840" s="10"/>
      <c r="Z840" s="10"/>
      <c r="AA840" s="10"/>
      <c r="AB840" s="10"/>
    </row>
    <row r="841" spans="1:28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25"/>
      <c r="O841" s="125"/>
      <c r="P841" s="125"/>
      <c r="Q841" s="125"/>
      <c r="R841" s="125"/>
      <c r="S841" s="125"/>
      <c r="T841" s="125"/>
      <c r="U841" s="125"/>
      <c r="V841" s="125"/>
      <c r="W841" s="10"/>
      <c r="X841" s="10"/>
      <c r="Y841" s="10"/>
      <c r="Z841" s="10"/>
      <c r="AA841" s="10"/>
      <c r="AB841" s="10"/>
    </row>
    <row r="842" spans="1:28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25"/>
      <c r="O842" s="125"/>
      <c r="P842" s="125"/>
      <c r="Q842" s="125"/>
      <c r="R842" s="125"/>
      <c r="S842" s="125"/>
      <c r="T842" s="125"/>
      <c r="U842" s="125"/>
      <c r="V842" s="125"/>
      <c r="W842" s="10"/>
      <c r="X842" s="10"/>
      <c r="Y842" s="10"/>
      <c r="Z842" s="10"/>
      <c r="AA842" s="10"/>
      <c r="AB842" s="10"/>
    </row>
    <row r="843" spans="1:28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25"/>
      <c r="O843" s="125"/>
      <c r="P843" s="125"/>
      <c r="Q843" s="125"/>
      <c r="R843" s="125"/>
      <c r="S843" s="125"/>
      <c r="T843" s="125"/>
      <c r="U843" s="125"/>
      <c r="V843" s="125"/>
      <c r="W843" s="10"/>
      <c r="X843" s="10"/>
      <c r="Y843" s="10"/>
      <c r="Z843" s="10"/>
      <c r="AA843" s="10"/>
      <c r="AB843" s="10"/>
    </row>
    <row r="844" spans="1:28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25"/>
      <c r="O844" s="125"/>
      <c r="P844" s="125"/>
      <c r="Q844" s="125"/>
      <c r="R844" s="125"/>
      <c r="S844" s="125"/>
      <c r="T844" s="125"/>
      <c r="U844" s="125"/>
      <c r="V844" s="125"/>
      <c r="W844" s="10"/>
      <c r="X844" s="10"/>
      <c r="Y844" s="10"/>
      <c r="Z844" s="10"/>
      <c r="AA844" s="10"/>
      <c r="AB844" s="10"/>
    </row>
    <row r="845" spans="1:28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25"/>
      <c r="O845" s="125"/>
      <c r="P845" s="125"/>
      <c r="Q845" s="125"/>
      <c r="R845" s="125"/>
      <c r="S845" s="125"/>
      <c r="T845" s="125"/>
      <c r="U845" s="125"/>
      <c r="V845" s="125"/>
      <c r="W845" s="10"/>
      <c r="X845" s="10"/>
      <c r="Y845" s="10"/>
      <c r="Z845" s="10"/>
      <c r="AA845" s="10"/>
      <c r="AB845" s="10"/>
    </row>
    <row r="846" spans="1:28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25"/>
      <c r="O846" s="125"/>
      <c r="P846" s="125"/>
      <c r="Q846" s="125"/>
      <c r="R846" s="125"/>
      <c r="S846" s="125"/>
      <c r="T846" s="125"/>
      <c r="U846" s="125"/>
      <c r="V846" s="125"/>
      <c r="W846" s="10"/>
      <c r="X846" s="10"/>
      <c r="Y846" s="10"/>
      <c r="Z846" s="10"/>
      <c r="AA846" s="10"/>
      <c r="AB846" s="10"/>
    </row>
    <row r="847" spans="1:28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25"/>
      <c r="O847" s="125"/>
      <c r="P847" s="125"/>
      <c r="Q847" s="125"/>
      <c r="R847" s="125"/>
      <c r="S847" s="125"/>
      <c r="T847" s="125"/>
      <c r="U847" s="125"/>
      <c r="V847" s="125"/>
      <c r="W847" s="10"/>
      <c r="X847" s="10"/>
      <c r="Y847" s="10"/>
      <c r="Z847" s="10"/>
      <c r="AA847" s="10"/>
      <c r="AB847" s="10"/>
    </row>
    <row r="848" spans="1:28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25"/>
      <c r="O848" s="125"/>
      <c r="P848" s="125"/>
      <c r="Q848" s="125"/>
      <c r="R848" s="125"/>
      <c r="S848" s="125"/>
      <c r="T848" s="125"/>
      <c r="U848" s="125"/>
      <c r="V848" s="125"/>
      <c r="W848" s="10"/>
      <c r="X848" s="10"/>
      <c r="Y848" s="10"/>
      <c r="Z848" s="10"/>
      <c r="AA848" s="10"/>
      <c r="AB848" s="10"/>
    </row>
    <row r="849" spans="1:28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25"/>
      <c r="O849" s="125"/>
      <c r="P849" s="125"/>
      <c r="Q849" s="125"/>
      <c r="R849" s="125"/>
      <c r="S849" s="125"/>
      <c r="T849" s="125"/>
      <c r="U849" s="125"/>
      <c r="V849" s="125"/>
      <c r="W849" s="10"/>
      <c r="X849" s="10"/>
      <c r="Y849" s="10"/>
      <c r="Z849" s="10"/>
      <c r="AA849" s="10"/>
      <c r="AB849" s="10"/>
    </row>
    <row r="850" spans="1:28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25"/>
      <c r="O850" s="125"/>
      <c r="P850" s="125"/>
      <c r="Q850" s="125"/>
      <c r="R850" s="125"/>
      <c r="S850" s="125"/>
      <c r="T850" s="125"/>
      <c r="U850" s="125"/>
      <c r="V850" s="125"/>
      <c r="W850" s="10"/>
      <c r="X850" s="10"/>
      <c r="Y850" s="10"/>
      <c r="Z850" s="10"/>
      <c r="AA850" s="10"/>
      <c r="AB850" s="10"/>
    </row>
    <row r="851" spans="1:28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25"/>
      <c r="O851" s="125"/>
      <c r="P851" s="125"/>
      <c r="Q851" s="125"/>
      <c r="R851" s="125"/>
      <c r="S851" s="125"/>
      <c r="T851" s="125"/>
      <c r="U851" s="125"/>
      <c r="V851" s="125"/>
      <c r="W851" s="10"/>
      <c r="X851" s="10"/>
      <c r="Y851" s="10"/>
      <c r="Z851" s="10"/>
      <c r="AA851" s="10"/>
      <c r="AB851" s="10"/>
    </row>
    <row r="852" spans="1:28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25"/>
      <c r="O852" s="125"/>
      <c r="P852" s="125"/>
      <c r="Q852" s="125"/>
      <c r="R852" s="125"/>
      <c r="S852" s="125"/>
      <c r="T852" s="125"/>
      <c r="U852" s="125"/>
      <c r="V852" s="125"/>
      <c r="W852" s="10"/>
      <c r="X852" s="10"/>
      <c r="Y852" s="10"/>
      <c r="Z852" s="10"/>
      <c r="AA852" s="10"/>
      <c r="AB852" s="10"/>
    </row>
    <row r="853" spans="1:28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25"/>
      <c r="O853" s="125"/>
      <c r="P853" s="125"/>
      <c r="Q853" s="125"/>
      <c r="R853" s="125"/>
      <c r="S853" s="125"/>
      <c r="T853" s="125"/>
      <c r="U853" s="125"/>
      <c r="V853" s="125"/>
      <c r="W853" s="10"/>
      <c r="X853" s="10"/>
      <c r="Y853" s="10"/>
      <c r="Z853" s="10"/>
      <c r="AA853" s="10"/>
      <c r="AB853" s="10"/>
    </row>
    <row r="854" spans="1:28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25"/>
      <c r="O854" s="125"/>
      <c r="P854" s="125"/>
      <c r="Q854" s="125"/>
      <c r="R854" s="125"/>
      <c r="S854" s="125"/>
      <c r="T854" s="125"/>
      <c r="U854" s="125"/>
      <c r="V854" s="125"/>
      <c r="W854" s="10"/>
      <c r="X854" s="10"/>
      <c r="Y854" s="10"/>
      <c r="Z854" s="10"/>
      <c r="AA854" s="10"/>
      <c r="AB854" s="10"/>
    </row>
    <row r="855" spans="1:28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25"/>
      <c r="O855" s="125"/>
      <c r="P855" s="125"/>
      <c r="Q855" s="125"/>
      <c r="R855" s="125"/>
      <c r="S855" s="125"/>
      <c r="T855" s="125"/>
      <c r="U855" s="125"/>
      <c r="V855" s="125"/>
      <c r="W855" s="10"/>
      <c r="X855" s="10"/>
      <c r="Y855" s="10"/>
      <c r="Z855" s="10"/>
      <c r="AA855" s="10"/>
      <c r="AB855" s="10"/>
    </row>
    <row r="856" spans="1:28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25"/>
      <c r="O856" s="125"/>
      <c r="P856" s="125"/>
      <c r="Q856" s="125"/>
      <c r="R856" s="125"/>
      <c r="S856" s="125"/>
      <c r="T856" s="125"/>
      <c r="U856" s="125"/>
      <c r="V856" s="125"/>
      <c r="W856" s="10"/>
      <c r="X856" s="10"/>
      <c r="Y856" s="10"/>
      <c r="Z856" s="10"/>
      <c r="AA856" s="10"/>
      <c r="AB856" s="10"/>
    </row>
    <row r="857" spans="1:28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25"/>
      <c r="O857" s="125"/>
      <c r="P857" s="125"/>
      <c r="Q857" s="125"/>
      <c r="R857" s="125"/>
      <c r="S857" s="125"/>
      <c r="T857" s="125"/>
      <c r="U857" s="125"/>
      <c r="V857" s="125"/>
      <c r="W857" s="10"/>
      <c r="X857" s="10"/>
      <c r="Y857" s="10"/>
      <c r="Z857" s="10"/>
      <c r="AA857" s="10"/>
      <c r="AB857" s="10"/>
    </row>
    <row r="858" spans="1:28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25"/>
      <c r="O858" s="125"/>
      <c r="P858" s="125"/>
      <c r="Q858" s="125"/>
      <c r="R858" s="125"/>
      <c r="S858" s="125"/>
      <c r="T858" s="125"/>
      <c r="U858" s="125"/>
      <c r="V858" s="125"/>
      <c r="W858" s="10"/>
      <c r="X858" s="10"/>
      <c r="Y858" s="10"/>
      <c r="Z858" s="10"/>
      <c r="AA858" s="10"/>
      <c r="AB858" s="10"/>
    </row>
    <row r="859" spans="1:28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25"/>
      <c r="O859" s="125"/>
      <c r="P859" s="125"/>
      <c r="Q859" s="125"/>
      <c r="R859" s="125"/>
      <c r="S859" s="125"/>
      <c r="T859" s="125"/>
      <c r="U859" s="125"/>
      <c r="V859" s="125"/>
      <c r="W859" s="10"/>
      <c r="X859" s="10"/>
      <c r="Y859" s="10"/>
      <c r="Z859" s="10"/>
      <c r="AA859" s="10"/>
      <c r="AB859" s="10"/>
    </row>
    <row r="860" spans="1:28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25"/>
      <c r="O860" s="125"/>
      <c r="P860" s="125"/>
      <c r="Q860" s="125"/>
      <c r="R860" s="125"/>
      <c r="S860" s="125"/>
      <c r="T860" s="125"/>
      <c r="U860" s="125"/>
      <c r="V860" s="125"/>
      <c r="W860" s="10"/>
      <c r="X860" s="10"/>
      <c r="Y860" s="10"/>
      <c r="Z860" s="10"/>
      <c r="AA860" s="10"/>
      <c r="AB860" s="10"/>
    </row>
    <row r="861" spans="1:28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25"/>
      <c r="O861" s="125"/>
      <c r="P861" s="125"/>
      <c r="Q861" s="125"/>
      <c r="R861" s="125"/>
      <c r="S861" s="125"/>
      <c r="T861" s="125"/>
      <c r="U861" s="125"/>
      <c r="V861" s="125"/>
      <c r="W861" s="10"/>
      <c r="X861" s="10"/>
      <c r="Y861" s="10"/>
      <c r="Z861" s="10"/>
      <c r="AA861" s="10"/>
      <c r="AB861" s="10"/>
    </row>
    <row r="862" spans="1:28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25"/>
      <c r="O862" s="125"/>
      <c r="P862" s="125"/>
      <c r="Q862" s="125"/>
      <c r="R862" s="125"/>
      <c r="S862" s="125"/>
      <c r="T862" s="125"/>
      <c r="U862" s="125"/>
      <c r="V862" s="125"/>
      <c r="W862" s="10"/>
      <c r="X862" s="10"/>
      <c r="Y862" s="10"/>
      <c r="Z862" s="10"/>
      <c r="AA862" s="10"/>
      <c r="AB862" s="10"/>
    </row>
    <row r="863" spans="1:28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25"/>
      <c r="O863" s="125"/>
      <c r="P863" s="125"/>
      <c r="Q863" s="125"/>
      <c r="R863" s="125"/>
      <c r="S863" s="125"/>
      <c r="T863" s="125"/>
      <c r="U863" s="125"/>
      <c r="V863" s="125"/>
      <c r="W863" s="10"/>
      <c r="X863" s="10"/>
      <c r="Y863" s="10"/>
      <c r="Z863" s="10"/>
      <c r="AA863" s="10"/>
      <c r="AB863" s="10"/>
    </row>
    <row r="864" spans="1:28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25"/>
      <c r="O864" s="125"/>
      <c r="P864" s="125"/>
      <c r="Q864" s="125"/>
      <c r="R864" s="125"/>
      <c r="S864" s="125"/>
      <c r="T864" s="125"/>
      <c r="U864" s="125"/>
      <c r="V864" s="125"/>
      <c r="W864" s="10"/>
      <c r="X864" s="10"/>
      <c r="Y864" s="10"/>
      <c r="Z864" s="10"/>
      <c r="AA864" s="10"/>
      <c r="AB864" s="10"/>
    </row>
    <row r="865" spans="1:28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25"/>
      <c r="O865" s="125"/>
      <c r="P865" s="125"/>
      <c r="Q865" s="125"/>
      <c r="R865" s="125"/>
      <c r="S865" s="125"/>
      <c r="T865" s="125"/>
      <c r="U865" s="125"/>
      <c r="V865" s="125"/>
      <c r="W865" s="10"/>
      <c r="X865" s="10"/>
      <c r="Y865" s="10"/>
      <c r="Z865" s="10"/>
      <c r="AA865" s="10"/>
      <c r="AB865" s="10"/>
    </row>
    <row r="866" spans="1:28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25"/>
      <c r="O866" s="125"/>
      <c r="P866" s="125"/>
      <c r="Q866" s="125"/>
      <c r="R866" s="125"/>
      <c r="S866" s="125"/>
      <c r="T866" s="125"/>
      <c r="U866" s="125"/>
      <c r="V866" s="125"/>
      <c r="W866" s="10"/>
      <c r="X866" s="10"/>
      <c r="Y866" s="10"/>
      <c r="Z866" s="10"/>
      <c r="AA866" s="10"/>
      <c r="AB866" s="10"/>
    </row>
    <row r="867" spans="1:28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25"/>
      <c r="O867" s="125"/>
      <c r="P867" s="125"/>
      <c r="Q867" s="125"/>
      <c r="R867" s="125"/>
      <c r="S867" s="125"/>
      <c r="T867" s="125"/>
      <c r="U867" s="125"/>
      <c r="V867" s="125"/>
      <c r="W867" s="10"/>
      <c r="X867" s="10"/>
      <c r="Y867" s="10"/>
      <c r="Z867" s="10"/>
      <c r="AA867" s="10"/>
      <c r="AB867" s="10"/>
    </row>
    <row r="868" spans="1:28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25"/>
      <c r="O868" s="125"/>
      <c r="P868" s="125"/>
      <c r="Q868" s="125"/>
      <c r="R868" s="125"/>
      <c r="S868" s="125"/>
      <c r="T868" s="125"/>
      <c r="U868" s="125"/>
      <c r="V868" s="125"/>
      <c r="W868" s="10"/>
      <c r="X868" s="10"/>
      <c r="Y868" s="10"/>
      <c r="Z868" s="10"/>
      <c r="AA868" s="10"/>
      <c r="AB868" s="10"/>
    </row>
    <row r="869" spans="1:28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25"/>
      <c r="O869" s="125"/>
      <c r="P869" s="125"/>
      <c r="Q869" s="125"/>
      <c r="R869" s="125"/>
      <c r="S869" s="125"/>
      <c r="T869" s="125"/>
      <c r="U869" s="125"/>
      <c r="V869" s="125"/>
      <c r="W869" s="10"/>
      <c r="X869" s="10"/>
      <c r="Y869" s="10"/>
      <c r="Z869" s="10"/>
      <c r="AA869" s="10"/>
      <c r="AB869" s="10"/>
    </row>
    <row r="870" spans="1:28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25"/>
      <c r="O870" s="125"/>
      <c r="P870" s="125"/>
      <c r="Q870" s="125"/>
      <c r="R870" s="125"/>
      <c r="S870" s="125"/>
      <c r="T870" s="125"/>
      <c r="U870" s="125"/>
      <c r="V870" s="125"/>
      <c r="W870" s="10"/>
      <c r="X870" s="10"/>
      <c r="Y870" s="10"/>
      <c r="Z870" s="10"/>
      <c r="AA870" s="10"/>
      <c r="AB870" s="10"/>
    </row>
    <row r="871" spans="1:28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25"/>
      <c r="O871" s="125"/>
      <c r="P871" s="125"/>
      <c r="Q871" s="125"/>
      <c r="R871" s="125"/>
      <c r="S871" s="125"/>
      <c r="T871" s="125"/>
      <c r="U871" s="125"/>
      <c r="V871" s="125"/>
      <c r="W871" s="10"/>
      <c r="X871" s="10"/>
      <c r="Y871" s="10"/>
      <c r="Z871" s="10"/>
      <c r="AA871" s="10"/>
      <c r="AB871" s="10"/>
    </row>
    <row r="872" spans="1:28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25"/>
      <c r="O872" s="125"/>
      <c r="P872" s="125"/>
      <c r="Q872" s="125"/>
      <c r="R872" s="125"/>
      <c r="S872" s="125"/>
      <c r="T872" s="125"/>
      <c r="U872" s="125"/>
      <c r="V872" s="125"/>
      <c r="W872" s="10"/>
      <c r="X872" s="10"/>
      <c r="Y872" s="10"/>
      <c r="Z872" s="10"/>
      <c r="AA872" s="10"/>
      <c r="AB872" s="10"/>
    </row>
    <row r="873" spans="1:28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25"/>
      <c r="O873" s="125"/>
      <c r="P873" s="125"/>
      <c r="Q873" s="125"/>
      <c r="R873" s="125"/>
      <c r="S873" s="125"/>
      <c r="T873" s="125"/>
      <c r="U873" s="125"/>
      <c r="V873" s="125"/>
      <c r="W873" s="10"/>
      <c r="X873" s="10"/>
      <c r="Y873" s="10"/>
      <c r="Z873" s="10"/>
      <c r="AA873" s="10"/>
      <c r="AB873" s="10"/>
    </row>
    <row r="874" spans="1:28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25"/>
      <c r="O874" s="125"/>
      <c r="P874" s="125"/>
      <c r="Q874" s="125"/>
      <c r="R874" s="125"/>
      <c r="S874" s="125"/>
      <c r="T874" s="125"/>
      <c r="U874" s="125"/>
      <c r="V874" s="125"/>
      <c r="W874" s="10"/>
      <c r="X874" s="10"/>
      <c r="Y874" s="10"/>
      <c r="Z874" s="10"/>
      <c r="AA874" s="10"/>
      <c r="AB874" s="10"/>
    </row>
    <row r="875" spans="1:28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25"/>
      <c r="O875" s="125"/>
      <c r="P875" s="125"/>
      <c r="Q875" s="125"/>
      <c r="R875" s="125"/>
      <c r="S875" s="125"/>
      <c r="T875" s="125"/>
      <c r="U875" s="125"/>
      <c r="V875" s="125"/>
      <c r="W875" s="10"/>
      <c r="X875" s="10"/>
      <c r="Y875" s="10"/>
      <c r="Z875" s="10"/>
      <c r="AA875" s="10"/>
      <c r="AB875" s="10"/>
    </row>
    <row r="876" spans="1:28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25"/>
      <c r="O876" s="125"/>
      <c r="P876" s="125"/>
      <c r="Q876" s="125"/>
      <c r="R876" s="125"/>
      <c r="S876" s="125"/>
      <c r="T876" s="125"/>
      <c r="U876" s="125"/>
      <c r="V876" s="125"/>
      <c r="W876" s="10"/>
      <c r="X876" s="10"/>
      <c r="Y876" s="10"/>
      <c r="Z876" s="10"/>
      <c r="AA876" s="10"/>
      <c r="AB876" s="10"/>
    </row>
    <row r="877" spans="1:28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25"/>
      <c r="O877" s="125"/>
      <c r="P877" s="125"/>
      <c r="Q877" s="125"/>
      <c r="R877" s="125"/>
      <c r="S877" s="125"/>
      <c r="T877" s="125"/>
      <c r="U877" s="125"/>
      <c r="V877" s="125"/>
      <c r="W877" s="10"/>
      <c r="X877" s="10"/>
      <c r="Y877" s="10"/>
      <c r="Z877" s="10"/>
      <c r="AA877" s="10"/>
      <c r="AB877" s="10"/>
    </row>
    <row r="878" spans="1:28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25"/>
      <c r="O878" s="125"/>
      <c r="P878" s="125"/>
      <c r="Q878" s="125"/>
      <c r="R878" s="125"/>
      <c r="S878" s="125"/>
      <c r="T878" s="125"/>
      <c r="U878" s="125"/>
      <c r="V878" s="125"/>
      <c r="W878" s="10"/>
      <c r="X878" s="10"/>
      <c r="Y878" s="10"/>
      <c r="Z878" s="10"/>
      <c r="AA878" s="10"/>
      <c r="AB878" s="10"/>
    </row>
    <row r="879" spans="1:28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25"/>
      <c r="O879" s="125"/>
      <c r="P879" s="125"/>
      <c r="Q879" s="125"/>
      <c r="R879" s="125"/>
      <c r="S879" s="125"/>
      <c r="T879" s="125"/>
      <c r="U879" s="125"/>
      <c r="V879" s="125"/>
      <c r="W879" s="10"/>
      <c r="X879" s="10"/>
      <c r="Y879" s="10"/>
      <c r="Z879" s="10"/>
      <c r="AA879" s="10"/>
      <c r="AB879" s="10"/>
    </row>
    <row r="880" spans="1:28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25"/>
      <c r="O880" s="125"/>
      <c r="P880" s="125"/>
      <c r="Q880" s="125"/>
      <c r="R880" s="125"/>
      <c r="S880" s="125"/>
      <c r="T880" s="125"/>
      <c r="U880" s="125"/>
      <c r="V880" s="125"/>
      <c r="W880" s="10"/>
      <c r="X880" s="10"/>
      <c r="Y880" s="10"/>
      <c r="Z880" s="10"/>
      <c r="AA880" s="10"/>
      <c r="AB880" s="10"/>
    </row>
    <row r="881" spans="1:28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25"/>
      <c r="O881" s="125"/>
      <c r="P881" s="125"/>
      <c r="Q881" s="125"/>
      <c r="R881" s="125"/>
      <c r="S881" s="125"/>
      <c r="T881" s="125"/>
      <c r="U881" s="125"/>
      <c r="V881" s="125"/>
      <c r="W881" s="10"/>
      <c r="X881" s="10"/>
      <c r="Y881" s="10"/>
      <c r="Z881" s="10"/>
      <c r="AA881" s="10"/>
      <c r="AB881" s="10"/>
    </row>
    <row r="882" spans="1:28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25"/>
      <c r="O882" s="125"/>
      <c r="P882" s="125"/>
      <c r="Q882" s="125"/>
      <c r="R882" s="125"/>
      <c r="S882" s="125"/>
      <c r="T882" s="125"/>
      <c r="U882" s="125"/>
      <c r="V882" s="125"/>
      <c r="W882" s="10"/>
      <c r="X882" s="10"/>
      <c r="Y882" s="10"/>
      <c r="Z882" s="10"/>
      <c r="AA882" s="10"/>
      <c r="AB882" s="10"/>
    </row>
    <row r="883" spans="1:28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25"/>
      <c r="O883" s="125"/>
      <c r="P883" s="125"/>
      <c r="Q883" s="125"/>
      <c r="R883" s="125"/>
      <c r="S883" s="125"/>
      <c r="T883" s="125"/>
      <c r="U883" s="125"/>
      <c r="V883" s="125"/>
      <c r="W883" s="10"/>
      <c r="X883" s="10"/>
      <c r="Y883" s="10"/>
      <c r="Z883" s="10"/>
      <c r="AA883" s="10"/>
      <c r="AB883" s="10"/>
    </row>
    <row r="884" spans="1:28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25"/>
      <c r="O884" s="125"/>
      <c r="P884" s="125"/>
      <c r="Q884" s="125"/>
      <c r="R884" s="125"/>
      <c r="S884" s="125"/>
      <c r="T884" s="125"/>
      <c r="U884" s="125"/>
      <c r="V884" s="125"/>
      <c r="W884" s="10"/>
      <c r="X884" s="10"/>
      <c r="Y884" s="10"/>
      <c r="Z884" s="10"/>
      <c r="AA884" s="10"/>
      <c r="AB884" s="10"/>
    </row>
    <row r="885" spans="1:28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25"/>
      <c r="O885" s="125"/>
      <c r="P885" s="125"/>
      <c r="Q885" s="125"/>
      <c r="R885" s="125"/>
      <c r="S885" s="125"/>
      <c r="T885" s="125"/>
      <c r="U885" s="125"/>
      <c r="V885" s="125"/>
      <c r="W885" s="10"/>
      <c r="X885" s="10"/>
      <c r="Y885" s="10"/>
      <c r="Z885" s="10"/>
      <c r="AA885" s="10"/>
      <c r="AB885" s="10"/>
    </row>
    <row r="886" spans="1:28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25"/>
      <c r="O886" s="125"/>
      <c r="P886" s="125"/>
      <c r="Q886" s="125"/>
      <c r="R886" s="125"/>
      <c r="S886" s="125"/>
      <c r="T886" s="125"/>
      <c r="U886" s="125"/>
      <c r="V886" s="125"/>
      <c r="W886" s="10"/>
      <c r="X886" s="10"/>
      <c r="Y886" s="10"/>
      <c r="Z886" s="10"/>
      <c r="AA886" s="10"/>
      <c r="AB886" s="10"/>
    </row>
    <row r="887" spans="1:28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25"/>
      <c r="O887" s="125"/>
      <c r="P887" s="125"/>
      <c r="Q887" s="125"/>
      <c r="R887" s="125"/>
      <c r="S887" s="125"/>
      <c r="T887" s="125"/>
      <c r="U887" s="125"/>
      <c r="V887" s="125"/>
      <c r="W887" s="10"/>
      <c r="X887" s="10"/>
      <c r="Y887" s="10"/>
      <c r="Z887" s="10"/>
      <c r="AA887" s="10"/>
      <c r="AB887" s="10"/>
    </row>
    <row r="888" spans="1:28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25"/>
      <c r="O888" s="125"/>
      <c r="P888" s="125"/>
      <c r="Q888" s="125"/>
      <c r="R888" s="125"/>
      <c r="S888" s="125"/>
      <c r="T888" s="125"/>
      <c r="U888" s="125"/>
      <c r="V888" s="125"/>
      <c r="W888" s="10"/>
      <c r="X888" s="10"/>
      <c r="Y888" s="10"/>
      <c r="Z888" s="10"/>
      <c r="AA888" s="10"/>
      <c r="AB888" s="10"/>
    </row>
    <row r="889" spans="1:28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25"/>
      <c r="O889" s="125"/>
      <c r="P889" s="125"/>
      <c r="Q889" s="125"/>
      <c r="R889" s="125"/>
      <c r="S889" s="125"/>
      <c r="T889" s="125"/>
      <c r="U889" s="125"/>
      <c r="V889" s="125"/>
      <c r="W889" s="10"/>
      <c r="X889" s="10"/>
      <c r="Y889" s="10"/>
      <c r="Z889" s="10"/>
      <c r="AA889" s="10"/>
      <c r="AB889" s="10"/>
    </row>
    <row r="890" spans="1:28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25"/>
      <c r="O890" s="125"/>
      <c r="P890" s="125"/>
      <c r="Q890" s="125"/>
      <c r="R890" s="125"/>
      <c r="S890" s="125"/>
      <c r="T890" s="125"/>
      <c r="U890" s="125"/>
      <c r="V890" s="125"/>
      <c r="W890" s="10"/>
      <c r="X890" s="10"/>
      <c r="Y890" s="10"/>
      <c r="Z890" s="10"/>
      <c r="AA890" s="10"/>
      <c r="AB890" s="10"/>
    </row>
    <row r="891" spans="1:28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25"/>
      <c r="O891" s="125"/>
      <c r="P891" s="125"/>
      <c r="Q891" s="125"/>
      <c r="R891" s="125"/>
      <c r="S891" s="125"/>
      <c r="T891" s="125"/>
      <c r="U891" s="125"/>
      <c r="V891" s="125"/>
      <c r="W891" s="10"/>
      <c r="X891" s="10"/>
      <c r="Y891" s="10"/>
      <c r="Z891" s="10"/>
      <c r="AA891" s="10"/>
      <c r="AB891" s="10"/>
    </row>
    <row r="892" spans="1:28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25"/>
      <c r="O892" s="125"/>
      <c r="P892" s="125"/>
      <c r="Q892" s="125"/>
      <c r="R892" s="125"/>
      <c r="S892" s="125"/>
      <c r="T892" s="125"/>
      <c r="U892" s="125"/>
      <c r="V892" s="125"/>
      <c r="W892" s="10"/>
      <c r="X892" s="10"/>
      <c r="Y892" s="10"/>
      <c r="Z892" s="10"/>
      <c r="AA892" s="10"/>
      <c r="AB892" s="10"/>
    </row>
    <row r="893" spans="1:28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25"/>
      <c r="O893" s="125"/>
      <c r="P893" s="125"/>
      <c r="Q893" s="125"/>
      <c r="R893" s="125"/>
      <c r="S893" s="125"/>
      <c r="T893" s="125"/>
      <c r="U893" s="125"/>
      <c r="V893" s="125"/>
      <c r="W893" s="10"/>
      <c r="X893" s="10"/>
      <c r="Y893" s="10"/>
      <c r="Z893" s="10"/>
      <c r="AA893" s="10"/>
      <c r="AB893" s="10"/>
    </row>
    <row r="894" spans="1:28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25"/>
      <c r="O894" s="125"/>
      <c r="P894" s="125"/>
      <c r="Q894" s="125"/>
      <c r="R894" s="125"/>
      <c r="S894" s="125"/>
      <c r="T894" s="125"/>
      <c r="U894" s="125"/>
      <c r="V894" s="125"/>
      <c r="W894" s="10"/>
      <c r="X894" s="10"/>
      <c r="Y894" s="10"/>
      <c r="Z894" s="10"/>
      <c r="AA894" s="10"/>
      <c r="AB894" s="10"/>
    </row>
    <row r="895" spans="1:28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25"/>
      <c r="O895" s="125"/>
      <c r="P895" s="125"/>
      <c r="Q895" s="125"/>
      <c r="R895" s="125"/>
      <c r="S895" s="125"/>
      <c r="T895" s="125"/>
      <c r="U895" s="125"/>
      <c r="V895" s="125"/>
      <c r="W895" s="10"/>
      <c r="X895" s="10"/>
      <c r="Y895" s="10"/>
      <c r="Z895" s="10"/>
      <c r="AA895" s="10"/>
      <c r="AB895" s="10"/>
    </row>
    <row r="896" spans="1:28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25"/>
      <c r="O896" s="125"/>
      <c r="P896" s="125"/>
      <c r="Q896" s="125"/>
      <c r="R896" s="125"/>
      <c r="S896" s="125"/>
      <c r="T896" s="125"/>
      <c r="U896" s="125"/>
      <c r="V896" s="125"/>
      <c r="W896" s="10"/>
      <c r="X896" s="10"/>
      <c r="Y896" s="10"/>
      <c r="Z896" s="10"/>
      <c r="AA896" s="10"/>
      <c r="AB896" s="10"/>
    </row>
    <row r="897" spans="1:28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25"/>
      <c r="O897" s="125"/>
      <c r="P897" s="125"/>
      <c r="Q897" s="125"/>
      <c r="R897" s="125"/>
      <c r="S897" s="125"/>
      <c r="T897" s="125"/>
      <c r="U897" s="125"/>
      <c r="V897" s="125"/>
      <c r="W897" s="10"/>
      <c r="X897" s="10"/>
      <c r="Y897" s="10"/>
      <c r="Z897" s="10"/>
      <c r="AA897" s="10"/>
      <c r="AB897" s="10"/>
    </row>
    <row r="898" spans="1:28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25"/>
      <c r="O898" s="125"/>
      <c r="P898" s="125"/>
      <c r="Q898" s="125"/>
      <c r="R898" s="125"/>
      <c r="S898" s="125"/>
      <c r="T898" s="125"/>
      <c r="U898" s="125"/>
      <c r="V898" s="125"/>
      <c r="W898" s="10"/>
      <c r="X898" s="10"/>
      <c r="Y898" s="10"/>
      <c r="Z898" s="10"/>
      <c r="AA898" s="10"/>
      <c r="AB898" s="10"/>
    </row>
    <row r="899" spans="1:28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25"/>
      <c r="O899" s="125"/>
      <c r="P899" s="125"/>
      <c r="Q899" s="125"/>
      <c r="R899" s="125"/>
      <c r="S899" s="125"/>
      <c r="T899" s="125"/>
      <c r="U899" s="125"/>
      <c r="V899" s="125"/>
      <c r="W899" s="10"/>
      <c r="X899" s="10"/>
      <c r="Y899" s="10"/>
      <c r="Z899" s="10"/>
      <c r="AA899" s="10"/>
      <c r="AB899" s="10"/>
    </row>
    <row r="900" spans="1:28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25"/>
      <c r="O900" s="125"/>
      <c r="P900" s="125"/>
      <c r="Q900" s="125"/>
      <c r="R900" s="125"/>
      <c r="S900" s="125"/>
      <c r="T900" s="125"/>
      <c r="U900" s="125"/>
      <c r="V900" s="125"/>
      <c r="W900" s="10"/>
      <c r="X900" s="10"/>
      <c r="Y900" s="10"/>
      <c r="Z900" s="10"/>
      <c r="AA900" s="10"/>
      <c r="AB900" s="10"/>
    </row>
    <row r="901" spans="1:28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25"/>
      <c r="O901" s="125"/>
      <c r="P901" s="125"/>
      <c r="Q901" s="125"/>
      <c r="R901" s="125"/>
      <c r="S901" s="125"/>
      <c r="T901" s="125"/>
      <c r="U901" s="125"/>
      <c r="V901" s="125"/>
      <c r="W901" s="10"/>
      <c r="X901" s="10"/>
      <c r="Y901" s="10"/>
      <c r="Z901" s="10"/>
      <c r="AA901" s="10"/>
      <c r="AB901" s="10"/>
    </row>
    <row r="902" spans="1:28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25"/>
      <c r="O902" s="125"/>
      <c r="P902" s="125"/>
      <c r="Q902" s="125"/>
      <c r="R902" s="125"/>
      <c r="S902" s="125"/>
      <c r="T902" s="125"/>
      <c r="U902" s="125"/>
      <c r="V902" s="125"/>
      <c r="W902" s="10"/>
      <c r="X902" s="10"/>
      <c r="Y902" s="10"/>
      <c r="Z902" s="10"/>
      <c r="AA902" s="10"/>
      <c r="AB902" s="10"/>
    </row>
    <row r="903" spans="1:28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25"/>
      <c r="O903" s="125"/>
      <c r="P903" s="125"/>
      <c r="Q903" s="125"/>
      <c r="R903" s="125"/>
      <c r="S903" s="125"/>
      <c r="T903" s="125"/>
      <c r="U903" s="125"/>
      <c r="V903" s="125"/>
      <c r="W903" s="10"/>
      <c r="X903" s="10"/>
      <c r="Y903" s="10"/>
      <c r="Z903" s="10"/>
      <c r="AA903" s="10"/>
      <c r="AB903" s="10"/>
    </row>
    <row r="904" spans="1:28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25"/>
      <c r="O904" s="125"/>
      <c r="P904" s="125"/>
      <c r="Q904" s="125"/>
      <c r="R904" s="125"/>
      <c r="S904" s="125"/>
      <c r="T904" s="125"/>
      <c r="U904" s="125"/>
      <c r="V904" s="125"/>
      <c r="W904" s="10"/>
      <c r="X904" s="10"/>
      <c r="Y904" s="10"/>
      <c r="Z904" s="10"/>
      <c r="AA904" s="10"/>
      <c r="AB904" s="10"/>
    </row>
    <row r="905" spans="1:28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25"/>
      <c r="O905" s="125"/>
      <c r="P905" s="125"/>
      <c r="Q905" s="125"/>
      <c r="R905" s="125"/>
      <c r="S905" s="125"/>
      <c r="T905" s="125"/>
      <c r="U905" s="125"/>
      <c r="V905" s="125"/>
      <c r="W905" s="10"/>
      <c r="X905" s="10"/>
      <c r="Y905" s="10"/>
      <c r="Z905" s="10"/>
      <c r="AA905" s="10"/>
      <c r="AB905" s="10"/>
    </row>
    <row r="906" spans="1:28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25"/>
      <c r="O906" s="125"/>
      <c r="P906" s="125"/>
      <c r="Q906" s="125"/>
      <c r="R906" s="125"/>
      <c r="S906" s="125"/>
      <c r="T906" s="125"/>
      <c r="U906" s="125"/>
      <c r="V906" s="125"/>
      <c r="W906" s="10"/>
      <c r="X906" s="10"/>
      <c r="Y906" s="10"/>
      <c r="Z906" s="10"/>
      <c r="AA906" s="10"/>
      <c r="AB906" s="10"/>
    </row>
    <row r="907" spans="1:28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25"/>
      <c r="O907" s="125"/>
      <c r="P907" s="125"/>
      <c r="Q907" s="125"/>
      <c r="R907" s="125"/>
      <c r="S907" s="125"/>
      <c r="T907" s="125"/>
      <c r="U907" s="125"/>
      <c r="V907" s="125"/>
      <c r="W907" s="10"/>
      <c r="X907" s="10"/>
      <c r="Y907" s="10"/>
      <c r="Z907" s="10"/>
      <c r="AA907" s="10"/>
      <c r="AB907" s="10"/>
    </row>
    <row r="908" spans="1:28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25"/>
      <c r="O908" s="125"/>
      <c r="P908" s="125"/>
      <c r="Q908" s="125"/>
      <c r="R908" s="125"/>
      <c r="S908" s="125"/>
      <c r="T908" s="125"/>
      <c r="U908" s="125"/>
      <c r="V908" s="125"/>
      <c r="W908" s="10"/>
      <c r="X908" s="10"/>
      <c r="Y908" s="10"/>
      <c r="Z908" s="10"/>
      <c r="AA908" s="10"/>
      <c r="AB908" s="10"/>
    </row>
    <row r="909" spans="1:28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25"/>
      <c r="O909" s="125"/>
      <c r="P909" s="125"/>
      <c r="Q909" s="125"/>
      <c r="R909" s="125"/>
      <c r="S909" s="125"/>
      <c r="T909" s="125"/>
      <c r="U909" s="125"/>
      <c r="V909" s="125"/>
      <c r="W909" s="10"/>
      <c r="X909" s="10"/>
      <c r="Y909" s="10"/>
      <c r="Z909" s="10"/>
      <c r="AA909" s="10"/>
      <c r="AB909" s="10"/>
    </row>
    <row r="910" spans="1:28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25"/>
      <c r="O910" s="125"/>
      <c r="P910" s="125"/>
      <c r="Q910" s="125"/>
      <c r="R910" s="125"/>
      <c r="S910" s="125"/>
      <c r="T910" s="125"/>
      <c r="U910" s="125"/>
      <c r="V910" s="125"/>
      <c r="W910" s="10"/>
      <c r="X910" s="10"/>
      <c r="Y910" s="10"/>
      <c r="Z910" s="10"/>
      <c r="AA910" s="10"/>
      <c r="AB910" s="10"/>
    </row>
    <row r="911" spans="1:28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25"/>
      <c r="O911" s="125"/>
      <c r="P911" s="125"/>
      <c r="Q911" s="125"/>
      <c r="R911" s="125"/>
      <c r="S911" s="125"/>
      <c r="T911" s="125"/>
      <c r="U911" s="125"/>
      <c r="V911" s="125"/>
      <c r="W911" s="10"/>
      <c r="X911" s="10"/>
      <c r="Y911" s="10"/>
      <c r="Z911" s="10"/>
      <c r="AA911" s="10"/>
      <c r="AB911" s="10"/>
    </row>
    <row r="912" spans="1:28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25"/>
      <c r="O912" s="125"/>
      <c r="P912" s="125"/>
      <c r="Q912" s="125"/>
      <c r="R912" s="125"/>
      <c r="S912" s="125"/>
      <c r="T912" s="125"/>
      <c r="U912" s="125"/>
      <c r="V912" s="125"/>
      <c r="W912" s="10"/>
      <c r="X912" s="10"/>
      <c r="Y912" s="10"/>
      <c r="Z912" s="10"/>
      <c r="AA912" s="10"/>
      <c r="AB912" s="10"/>
    </row>
    <row r="913" spans="1:28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25"/>
      <c r="O913" s="125"/>
      <c r="P913" s="125"/>
      <c r="Q913" s="125"/>
      <c r="R913" s="125"/>
      <c r="S913" s="125"/>
      <c r="T913" s="125"/>
      <c r="U913" s="125"/>
      <c r="V913" s="125"/>
      <c r="W913" s="10"/>
      <c r="X913" s="10"/>
      <c r="Y913" s="10"/>
      <c r="Z913" s="10"/>
      <c r="AA913" s="10"/>
      <c r="AB913" s="10"/>
    </row>
    <row r="914" spans="1:28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25"/>
      <c r="O914" s="125"/>
      <c r="P914" s="125"/>
      <c r="Q914" s="125"/>
      <c r="R914" s="125"/>
      <c r="S914" s="125"/>
      <c r="T914" s="125"/>
      <c r="U914" s="125"/>
      <c r="V914" s="125"/>
      <c r="W914" s="10"/>
      <c r="X914" s="10"/>
      <c r="Y914" s="10"/>
      <c r="Z914" s="10"/>
      <c r="AA914" s="10"/>
      <c r="AB914" s="10"/>
    </row>
    <row r="915" spans="1:28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25"/>
      <c r="O915" s="125"/>
      <c r="P915" s="125"/>
      <c r="Q915" s="125"/>
      <c r="R915" s="125"/>
      <c r="S915" s="125"/>
      <c r="T915" s="125"/>
      <c r="U915" s="125"/>
      <c r="V915" s="125"/>
      <c r="W915" s="10"/>
      <c r="X915" s="10"/>
      <c r="Y915" s="10"/>
      <c r="Z915" s="10"/>
      <c r="AA915" s="10"/>
      <c r="AB915" s="10"/>
    </row>
    <row r="916" spans="1:28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25"/>
      <c r="O916" s="125"/>
      <c r="P916" s="125"/>
      <c r="Q916" s="125"/>
      <c r="R916" s="125"/>
      <c r="S916" s="125"/>
      <c r="T916" s="125"/>
      <c r="U916" s="125"/>
      <c r="V916" s="125"/>
      <c r="W916" s="10"/>
      <c r="X916" s="10"/>
      <c r="Y916" s="10"/>
      <c r="Z916" s="10"/>
      <c r="AA916" s="10"/>
      <c r="AB916" s="10"/>
    </row>
    <row r="917" spans="1:28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25"/>
      <c r="O917" s="125"/>
      <c r="P917" s="125"/>
      <c r="Q917" s="125"/>
      <c r="R917" s="125"/>
      <c r="S917" s="125"/>
      <c r="T917" s="125"/>
      <c r="U917" s="125"/>
      <c r="V917" s="125"/>
      <c r="W917" s="10"/>
      <c r="X917" s="10"/>
      <c r="Y917" s="10"/>
      <c r="Z917" s="10"/>
      <c r="AA917" s="10"/>
      <c r="AB917" s="10"/>
    </row>
    <row r="918" spans="1:28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25"/>
      <c r="O918" s="125"/>
      <c r="P918" s="125"/>
      <c r="Q918" s="125"/>
      <c r="R918" s="125"/>
      <c r="S918" s="125"/>
      <c r="T918" s="125"/>
      <c r="U918" s="125"/>
      <c r="V918" s="125"/>
      <c r="W918" s="10"/>
      <c r="X918" s="10"/>
      <c r="Y918" s="10"/>
      <c r="Z918" s="10"/>
      <c r="AA918" s="10"/>
      <c r="AB918" s="10"/>
    </row>
    <row r="919" spans="1:28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25"/>
      <c r="O919" s="125"/>
      <c r="P919" s="125"/>
      <c r="Q919" s="125"/>
      <c r="R919" s="125"/>
      <c r="S919" s="125"/>
      <c r="T919" s="125"/>
      <c r="U919" s="125"/>
      <c r="V919" s="125"/>
      <c r="W919" s="10"/>
      <c r="X919" s="10"/>
      <c r="Y919" s="10"/>
      <c r="Z919" s="10"/>
      <c r="AA919" s="10"/>
      <c r="AB919" s="10"/>
    </row>
    <row r="920" spans="1:28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25"/>
      <c r="O920" s="125"/>
      <c r="P920" s="125"/>
      <c r="Q920" s="125"/>
      <c r="R920" s="125"/>
      <c r="S920" s="125"/>
      <c r="T920" s="125"/>
      <c r="U920" s="125"/>
      <c r="V920" s="125"/>
      <c r="W920" s="10"/>
      <c r="X920" s="10"/>
      <c r="Y920" s="10"/>
      <c r="Z920" s="10"/>
      <c r="AA920" s="10"/>
      <c r="AB920" s="10"/>
    </row>
    <row r="921" spans="1:28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25"/>
      <c r="O921" s="125"/>
      <c r="P921" s="125"/>
      <c r="Q921" s="125"/>
      <c r="R921" s="125"/>
      <c r="S921" s="125"/>
      <c r="T921" s="125"/>
      <c r="U921" s="125"/>
      <c r="V921" s="125"/>
      <c r="W921" s="10"/>
      <c r="X921" s="10"/>
      <c r="Y921" s="10"/>
      <c r="Z921" s="10"/>
      <c r="AA921" s="10"/>
      <c r="AB921" s="10"/>
    </row>
    <row r="922" spans="1:28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25"/>
      <c r="O922" s="125"/>
      <c r="P922" s="125"/>
      <c r="Q922" s="125"/>
      <c r="R922" s="125"/>
      <c r="S922" s="125"/>
      <c r="T922" s="125"/>
      <c r="U922" s="125"/>
      <c r="V922" s="125"/>
      <c r="W922" s="10"/>
      <c r="X922" s="10"/>
      <c r="Y922" s="10"/>
      <c r="Z922" s="10"/>
      <c r="AA922" s="10"/>
      <c r="AB922" s="10"/>
    </row>
    <row r="923" spans="1:28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25"/>
      <c r="O923" s="125"/>
      <c r="P923" s="125"/>
      <c r="Q923" s="125"/>
      <c r="R923" s="125"/>
      <c r="S923" s="125"/>
      <c r="T923" s="125"/>
      <c r="U923" s="125"/>
      <c r="V923" s="125"/>
      <c r="W923" s="10"/>
      <c r="X923" s="10"/>
      <c r="Y923" s="10"/>
      <c r="Z923" s="10"/>
      <c r="AA923" s="10"/>
      <c r="AB923" s="10"/>
    </row>
    <row r="924" spans="1:28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25"/>
      <c r="O924" s="125"/>
      <c r="P924" s="125"/>
      <c r="Q924" s="125"/>
      <c r="R924" s="125"/>
      <c r="S924" s="125"/>
      <c r="T924" s="125"/>
      <c r="U924" s="125"/>
      <c r="V924" s="125"/>
      <c r="W924" s="10"/>
      <c r="X924" s="10"/>
      <c r="Y924" s="10"/>
      <c r="Z924" s="10"/>
      <c r="AA924" s="10"/>
      <c r="AB924" s="10"/>
    </row>
    <row r="925" spans="1:28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25"/>
      <c r="O925" s="125"/>
      <c r="P925" s="125"/>
      <c r="Q925" s="125"/>
      <c r="R925" s="125"/>
      <c r="S925" s="125"/>
      <c r="T925" s="125"/>
      <c r="U925" s="125"/>
      <c r="V925" s="125"/>
      <c r="W925" s="10"/>
      <c r="X925" s="10"/>
      <c r="Y925" s="10"/>
      <c r="Z925" s="10"/>
      <c r="AA925" s="10"/>
      <c r="AB925" s="10"/>
    </row>
    <row r="926" spans="1:28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25"/>
      <c r="O926" s="125"/>
      <c r="P926" s="125"/>
      <c r="Q926" s="125"/>
      <c r="R926" s="125"/>
      <c r="S926" s="125"/>
      <c r="T926" s="125"/>
      <c r="U926" s="125"/>
      <c r="V926" s="125"/>
      <c r="W926" s="10"/>
      <c r="X926" s="10"/>
      <c r="Y926" s="10"/>
      <c r="Z926" s="10"/>
      <c r="AA926" s="10"/>
      <c r="AB926" s="10"/>
    </row>
    <row r="927" spans="1:28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25"/>
      <c r="O927" s="125"/>
      <c r="P927" s="125"/>
      <c r="Q927" s="125"/>
      <c r="R927" s="125"/>
      <c r="S927" s="125"/>
      <c r="T927" s="125"/>
      <c r="U927" s="125"/>
      <c r="V927" s="125"/>
      <c r="W927" s="10"/>
      <c r="X927" s="10"/>
      <c r="Y927" s="10"/>
      <c r="Z927" s="10"/>
      <c r="AA927" s="10"/>
      <c r="AB927" s="10"/>
    </row>
    <row r="928" spans="1:28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25"/>
      <c r="O928" s="125"/>
      <c r="P928" s="125"/>
      <c r="Q928" s="125"/>
      <c r="R928" s="125"/>
      <c r="S928" s="125"/>
      <c r="T928" s="125"/>
      <c r="U928" s="125"/>
      <c r="V928" s="125"/>
      <c r="W928" s="10"/>
      <c r="X928" s="10"/>
      <c r="Y928" s="10"/>
      <c r="Z928" s="10"/>
      <c r="AA928" s="10"/>
      <c r="AB928" s="10"/>
    </row>
    <row r="929" spans="1:28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25"/>
      <c r="O929" s="125"/>
      <c r="P929" s="125"/>
      <c r="Q929" s="125"/>
      <c r="R929" s="125"/>
      <c r="S929" s="125"/>
      <c r="T929" s="125"/>
      <c r="U929" s="125"/>
      <c r="V929" s="125"/>
      <c r="W929" s="10"/>
      <c r="X929" s="10"/>
      <c r="Y929" s="10"/>
      <c r="Z929" s="10"/>
      <c r="AA929" s="10"/>
      <c r="AB929" s="10"/>
    </row>
    <row r="930" spans="1:28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25"/>
      <c r="O930" s="125"/>
      <c r="P930" s="125"/>
      <c r="Q930" s="125"/>
      <c r="R930" s="125"/>
      <c r="S930" s="125"/>
      <c r="T930" s="125"/>
      <c r="U930" s="125"/>
      <c r="V930" s="125"/>
      <c r="W930" s="10"/>
      <c r="X930" s="10"/>
      <c r="Y930" s="10"/>
      <c r="Z930" s="10"/>
      <c r="AA930" s="10"/>
      <c r="AB930" s="10"/>
    </row>
    <row r="931" spans="1:28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25"/>
      <c r="O931" s="125"/>
      <c r="P931" s="125"/>
      <c r="Q931" s="125"/>
      <c r="R931" s="125"/>
      <c r="S931" s="125"/>
      <c r="T931" s="125"/>
      <c r="U931" s="125"/>
      <c r="V931" s="125"/>
      <c r="W931" s="10"/>
      <c r="X931" s="10"/>
      <c r="Y931" s="10"/>
      <c r="Z931" s="10"/>
      <c r="AA931" s="10"/>
      <c r="AB931" s="10"/>
    </row>
    <row r="932" spans="1:28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25"/>
      <c r="O932" s="125"/>
      <c r="P932" s="125"/>
      <c r="Q932" s="125"/>
      <c r="R932" s="125"/>
      <c r="S932" s="125"/>
      <c r="T932" s="125"/>
      <c r="U932" s="125"/>
      <c r="V932" s="125"/>
      <c r="W932" s="10"/>
      <c r="X932" s="10"/>
      <c r="Y932" s="10"/>
      <c r="Z932" s="10"/>
      <c r="AA932" s="10"/>
      <c r="AB932" s="10"/>
    </row>
    <row r="933" spans="1:28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25"/>
      <c r="O933" s="125"/>
      <c r="P933" s="125"/>
      <c r="Q933" s="125"/>
      <c r="R933" s="125"/>
      <c r="S933" s="125"/>
      <c r="T933" s="125"/>
      <c r="U933" s="125"/>
      <c r="V933" s="125"/>
      <c r="W933" s="10"/>
      <c r="X933" s="10"/>
      <c r="Y933" s="10"/>
      <c r="Z933" s="10"/>
      <c r="AA933" s="10"/>
      <c r="AB933" s="10"/>
    </row>
    <row r="934" spans="1:28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25"/>
      <c r="O934" s="125"/>
      <c r="P934" s="125"/>
      <c r="Q934" s="125"/>
      <c r="R934" s="125"/>
      <c r="S934" s="125"/>
      <c r="T934" s="125"/>
      <c r="U934" s="125"/>
      <c r="V934" s="125"/>
      <c r="W934" s="10"/>
      <c r="X934" s="10"/>
      <c r="Y934" s="10"/>
      <c r="Z934" s="10"/>
      <c r="AA934" s="10"/>
      <c r="AB934" s="10"/>
    </row>
    <row r="935" spans="1:28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25"/>
      <c r="O935" s="125"/>
      <c r="P935" s="125"/>
      <c r="Q935" s="125"/>
      <c r="R935" s="125"/>
      <c r="S935" s="125"/>
      <c r="T935" s="125"/>
      <c r="U935" s="125"/>
      <c r="V935" s="125"/>
      <c r="W935" s="10"/>
      <c r="X935" s="10"/>
      <c r="Y935" s="10"/>
      <c r="Z935" s="10"/>
      <c r="AA935" s="10"/>
      <c r="AB935" s="10"/>
    </row>
    <row r="936" spans="1:28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25"/>
      <c r="O936" s="125"/>
      <c r="P936" s="125"/>
      <c r="Q936" s="125"/>
      <c r="R936" s="125"/>
      <c r="S936" s="125"/>
      <c r="T936" s="125"/>
      <c r="U936" s="125"/>
      <c r="V936" s="125"/>
      <c r="W936" s="10"/>
      <c r="X936" s="10"/>
      <c r="Y936" s="10"/>
      <c r="Z936" s="10"/>
      <c r="AA936" s="10"/>
      <c r="AB936" s="10"/>
    </row>
    <row r="937" spans="1:28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25"/>
      <c r="O937" s="125"/>
      <c r="P937" s="125"/>
      <c r="Q937" s="125"/>
      <c r="R937" s="125"/>
      <c r="S937" s="125"/>
      <c r="T937" s="125"/>
      <c r="U937" s="125"/>
      <c r="V937" s="125"/>
      <c r="W937" s="10"/>
      <c r="X937" s="10"/>
      <c r="Y937" s="10"/>
      <c r="Z937" s="10"/>
      <c r="AA937" s="10"/>
      <c r="AB937" s="10"/>
    </row>
    <row r="938" spans="1:28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25"/>
      <c r="O938" s="125"/>
      <c r="P938" s="125"/>
      <c r="Q938" s="125"/>
      <c r="R938" s="125"/>
      <c r="S938" s="125"/>
      <c r="T938" s="125"/>
      <c r="U938" s="125"/>
      <c r="V938" s="125"/>
      <c r="W938" s="10"/>
      <c r="X938" s="10"/>
      <c r="Y938" s="10"/>
      <c r="Z938" s="10"/>
      <c r="AA938" s="10"/>
      <c r="AB938" s="10"/>
    </row>
    <row r="939" spans="1:28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25"/>
      <c r="O939" s="125"/>
      <c r="P939" s="125"/>
      <c r="Q939" s="125"/>
      <c r="R939" s="125"/>
      <c r="S939" s="125"/>
      <c r="T939" s="125"/>
      <c r="U939" s="125"/>
      <c r="V939" s="125"/>
      <c r="W939" s="10"/>
      <c r="X939" s="10"/>
      <c r="Y939" s="10"/>
      <c r="Z939" s="10"/>
      <c r="AA939" s="10"/>
      <c r="AB939" s="10"/>
    </row>
    <row r="940" spans="1:28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25"/>
      <c r="O940" s="125"/>
      <c r="P940" s="125"/>
      <c r="Q940" s="125"/>
      <c r="R940" s="125"/>
      <c r="S940" s="125"/>
      <c r="T940" s="125"/>
      <c r="U940" s="125"/>
      <c r="V940" s="125"/>
      <c r="W940" s="10"/>
      <c r="X940" s="10"/>
      <c r="Y940" s="10"/>
      <c r="Z940" s="10"/>
      <c r="AA940" s="10"/>
      <c r="AB940" s="10"/>
    </row>
    <row r="941" spans="1:28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25"/>
      <c r="O941" s="125"/>
      <c r="P941" s="125"/>
      <c r="Q941" s="125"/>
      <c r="R941" s="125"/>
      <c r="S941" s="125"/>
      <c r="T941" s="125"/>
      <c r="U941" s="125"/>
      <c r="V941" s="125"/>
      <c r="W941" s="10"/>
      <c r="X941" s="10"/>
      <c r="Y941" s="10"/>
      <c r="Z941" s="10"/>
      <c r="AA941" s="10"/>
      <c r="AB941" s="10"/>
    </row>
    <row r="942" spans="1:28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25"/>
      <c r="O942" s="125"/>
      <c r="P942" s="125"/>
      <c r="Q942" s="125"/>
      <c r="R942" s="125"/>
      <c r="S942" s="125"/>
      <c r="T942" s="125"/>
      <c r="U942" s="125"/>
      <c r="V942" s="125"/>
      <c r="W942" s="10"/>
      <c r="X942" s="10"/>
      <c r="Y942" s="10"/>
      <c r="Z942" s="10"/>
      <c r="AA942" s="10"/>
      <c r="AB942" s="10"/>
    </row>
    <row r="943" spans="1:28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25"/>
      <c r="O943" s="125"/>
      <c r="P943" s="125"/>
      <c r="Q943" s="125"/>
      <c r="R943" s="125"/>
      <c r="S943" s="125"/>
      <c r="T943" s="125"/>
      <c r="U943" s="125"/>
      <c r="V943" s="125"/>
      <c r="W943" s="10"/>
      <c r="X943" s="10"/>
      <c r="Y943" s="10"/>
      <c r="Z943" s="10"/>
      <c r="AA943" s="10"/>
      <c r="AB943" s="10"/>
    </row>
    <row r="944" spans="1:28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25"/>
      <c r="O944" s="125"/>
      <c r="P944" s="125"/>
      <c r="Q944" s="125"/>
      <c r="R944" s="125"/>
      <c r="S944" s="125"/>
      <c r="T944" s="125"/>
      <c r="U944" s="125"/>
      <c r="V944" s="125"/>
      <c r="W944" s="10"/>
      <c r="X944" s="10"/>
      <c r="Y944" s="10"/>
      <c r="Z944" s="10"/>
      <c r="AA944" s="10"/>
      <c r="AB944" s="10"/>
    </row>
    <row r="945" spans="1:28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25"/>
      <c r="O945" s="125"/>
      <c r="P945" s="125"/>
      <c r="Q945" s="125"/>
      <c r="R945" s="125"/>
      <c r="S945" s="125"/>
      <c r="T945" s="125"/>
      <c r="U945" s="125"/>
      <c r="V945" s="125"/>
      <c r="W945" s="10"/>
      <c r="X945" s="10"/>
      <c r="Y945" s="10"/>
      <c r="Z945" s="10"/>
      <c r="AA945" s="10"/>
      <c r="AB945" s="10"/>
    </row>
    <row r="946" spans="1:28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25"/>
      <c r="O946" s="125"/>
      <c r="P946" s="125"/>
      <c r="Q946" s="125"/>
      <c r="R946" s="125"/>
      <c r="S946" s="125"/>
      <c r="T946" s="125"/>
      <c r="U946" s="125"/>
      <c r="V946" s="125"/>
      <c r="W946" s="10"/>
      <c r="X946" s="10"/>
      <c r="Y946" s="10"/>
      <c r="Z946" s="10"/>
      <c r="AA946" s="10"/>
      <c r="AB946" s="10"/>
    </row>
    <row r="947" spans="1:28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25"/>
      <c r="O947" s="125"/>
      <c r="P947" s="125"/>
      <c r="Q947" s="125"/>
      <c r="R947" s="125"/>
      <c r="S947" s="125"/>
      <c r="T947" s="125"/>
      <c r="U947" s="125"/>
      <c r="V947" s="125"/>
      <c r="W947" s="10"/>
      <c r="X947" s="10"/>
      <c r="Y947" s="10"/>
      <c r="Z947" s="10"/>
      <c r="AA947" s="10"/>
      <c r="AB947" s="10"/>
    </row>
    <row r="948" spans="1:28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25"/>
      <c r="O948" s="125"/>
      <c r="P948" s="125"/>
      <c r="Q948" s="125"/>
      <c r="R948" s="125"/>
      <c r="S948" s="125"/>
      <c r="T948" s="125"/>
      <c r="U948" s="125"/>
      <c r="V948" s="125"/>
      <c r="W948" s="10"/>
      <c r="X948" s="10"/>
      <c r="Y948" s="10"/>
      <c r="Z948" s="10"/>
      <c r="AA948" s="10"/>
      <c r="AB948" s="10"/>
    </row>
    <row r="949" spans="1:28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25"/>
      <c r="O949" s="125"/>
      <c r="P949" s="125"/>
      <c r="Q949" s="125"/>
      <c r="R949" s="125"/>
      <c r="S949" s="125"/>
      <c r="T949" s="125"/>
      <c r="U949" s="125"/>
      <c r="V949" s="125"/>
      <c r="W949" s="10"/>
      <c r="X949" s="10"/>
      <c r="Y949" s="10"/>
      <c r="Z949" s="10"/>
      <c r="AA949" s="10"/>
      <c r="AB949" s="10"/>
    </row>
    <row r="950" spans="1:28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25"/>
      <c r="O950" s="125"/>
      <c r="P950" s="125"/>
      <c r="Q950" s="125"/>
      <c r="R950" s="125"/>
      <c r="S950" s="125"/>
      <c r="T950" s="125"/>
      <c r="U950" s="125"/>
      <c r="V950" s="125"/>
      <c r="W950" s="10"/>
      <c r="X950" s="10"/>
      <c r="Y950" s="10"/>
      <c r="Z950" s="10"/>
      <c r="AA950" s="10"/>
      <c r="AB950" s="10"/>
    </row>
    <row r="951" spans="1:28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25"/>
      <c r="O951" s="125"/>
      <c r="P951" s="125"/>
      <c r="Q951" s="125"/>
      <c r="R951" s="125"/>
      <c r="S951" s="125"/>
      <c r="T951" s="125"/>
      <c r="U951" s="125"/>
      <c r="V951" s="125"/>
      <c r="W951" s="10"/>
      <c r="X951" s="10"/>
      <c r="Y951" s="10"/>
      <c r="Z951" s="10"/>
      <c r="AA951" s="10"/>
      <c r="AB951" s="10"/>
    </row>
    <row r="952" spans="1:28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25"/>
      <c r="O952" s="125"/>
      <c r="P952" s="125"/>
      <c r="Q952" s="125"/>
      <c r="R952" s="125"/>
      <c r="S952" s="125"/>
      <c r="T952" s="125"/>
      <c r="U952" s="125"/>
      <c r="V952" s="125"/>
      <c r="W952" s="10"/>
      <c r="X952" s="10"/>
      <c r="Y952" s="10"/>
      <c r="Z952" s="10"/>
      <c r="AA952" s="10"/>
      <c r="AB952" s="10"/>
    </row>
    <row r="953" spans="1:28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25"/>
      <c r="O953" s="125"/>
      <c r="P953" s="125"/>
      <c r="Q953" s="125"/>
      <c r="R953" s="125"/>
      <c r="S953" s="125"/>
      <c r="T953" s="125"/>
      <c r="U953" s="125"/>
      <c r="V953" s="125"/>
      <c r="W953" s="10"/>
      <c r="X953" s="10"/>
      <c r="Y953" s="10"/>
      <c r="Z953" s="10"/>
      <c r="AA953" s="10"/>
      <c r="AB953" s="10"/>
    </row>
    <row r="954" spans="1:28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25"/>
      <c r="O954" s="125"/>
      <c r="P954" s="125"/>
      <c r="Q954" s="125"/>
      <c r="R954" s="125"/>
      <c r="S954" s="125"/>
      <c r="T954" s="125"/>
      <c r="U954" s="125"/>
      <c r="V954" s="125"/>
      <c r="W954" s="10"/>
      <c r="X954" s="10"/>
      <c r="Y954" s="10"/>
      <c r="Z954" s="10"/>
      <c r="AA954" s="10"/>
      <c r="AB954" s="10"/>
    </row>
    <row r="955" spans="1:28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25"/>
      <c r="O955" s="125"/>
      <c r="P955" s="125"/>
      <c r="Q955" s="125"/>
      <c r="R955" s="125"/>
      <c r="S955" s="125"/>
      <c r="T955" s="125"/>
      <c r="U955" s="125"/>
      <c r="V955" s="125"/>
      <c r="W955" s="10"/>
      <c r="X955" s="10"/>
      <c r="Y955" s="10"/>
      <c r="Z955" s="10"/>
      <c r="AA955" s="10"/>
      <c r="AB955" s="10"/>
    </row>
    <row r="956" spans="1:28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25"/>
      <c r="O956" s="125"/>
      <c r="P956" s="125"/>
      <c r="Q956" s="125"/>
      <c r="R956" s="125"/>
      <c r="S956" s="125"/>
      <c r="T956" s="125"/>
      <c r="U956" s="125"/>
      <c r="V956" s="125"/>
      <c r="W956" s="10"/>
      <c r="X956" s="10"/>
      <c r="Y956" s="10"/>
      <c r="Z956" s="10"/>
      <c r="AA956" s="10"/>
      <c r="AB956" s="10"/>
    </row>
    <row r="957" spans="1:28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25"/>
      <c r="O957" s="125"/>
      <c r="P957" s="125"/>
      <c r="Q957" s="125"/>
      <c r="R957" s="125"/>
      <c r="S957" s="125"/>
      <c r="T957" s="125"/>
      <c r="U957" s="125"/>
      <c r="V957" s="125"/>
      <c r="W957" s="10"/>
      <c r="X957" s="10"/>
      <c r="Y957" s="10"/>
      <c r="Z957" s="10"/>
      <c r="AA957" s="10"/>
      <c r="AB957" s="10"/>
    </row>
    <row r="958" spans="1:28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25"/>
      <c r="O958" s="125"/>
      <c r="P958" s="125"/>
      <c r="Q958" s="125"/>
      <c r="R958" s="125"/>
      <c r="S958" s="125"/>
      <c r="T958" s="125"/>
      <c r="U958" s="125"/>
      <c r="V958" s="125"/>
      <c r="W958" s="10"/>
      <c r="X958" s="10"/>
      <c r="Y958" s="10"/>
      <c r="Z958" s="10"/>
      <c r="AA958" s="10"/>
      <c r="AB958" s="10"/>
    </row>
    <row r="959" spans="1:28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25"/>
      <c r="O959" s="125"/>
      <c r="P959" s="125"/>
      <c r="Q959" s="125"/>
      <c r="R959" s="125"/>
      <c r="S959" s="125"/>
      <c r="T959" s="125"/>
      <c r="U959" s="125"/>
      <c r="V959" s="125"/>
      <c r="W959" s="10"/>
      <c r="X959" s="10"/>
      <c r="Y959" s="10"/>
      <c r="Z959" s="10"/>
      <c r="AA959" s="10"/>
      <c r="AB959" s="10"/>
    </row>
    <row r="960" spans="1:28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25"/>
      <c r="O960" s="125"/>
      <c r="P960" s="125"/>
      <c r="Q960" s="125"/>
      <c r="R960" s="125"/>
      <c r="S960" s="125"/>
      <c r="T960" s="125"/>
      <c r="U960" s="125"/>
      <c r="V960" s="125"/>
      <c r="W960" s="10"/>
      <c r="X960" s="10"/>
      <c r="Y960" s="10"/>
      <c r="Z960" s="10"/>
      <c r="AA960" s="10"/>
      <c r="AB960" s="10"/>
    </row>
    <row r="961" spans="1:28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25"/>
      <c r="O961" s="125"/>
      <c r="P961" s="125"/>
      <c r="Q961" s="125"/>
      <c r="R961" s="125"/>
      <c r="S961" s="125"/>
      <c r="T961" s="125"/>
      <c r="U961" s="125"/>
      <c r="V961" s="125"/>
      <c r="W961" s="10"/>
      <c r="X961" s="10"/>
      <c r="Y961" s="10"/>
      <c r="Z961" s="10"/>
      <c r="AA961" s="10"/>
      <c r="AB961" s="10"/>
    </row>
    <row r="962" spans="1:28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25"/>
      <c r="O962" s="125"/>
      <c r="P962" s="125"/>
      <c r="Q962" s="125"/>
      <c r="R962" s="125"/>
      <c r="S962" s="125"/>
      <c r="T962" s="125"/>
      <c r="U962" s="125"/>
      <c r="V962" s="125"/>
      <c r="W962" s="10"/>
      <c r="X962" s="10"/>
      <c r="Y962" s="10"/>
      <c r="Z962" s="10"/>
      <c r="AA962" s="10"/>
      <c r="AB962" s="10"/>
    </row>
    <row r="963" spans="1:28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25"/>
      <c r="O963" s="125"/>
      <c r="P963" s="125"/>
      <c r="Q963" s="125"/>
      <c r="R963" s="125"/>
      <c r="S963" s="125"/>
      <c r="T963" s="125"/>
      <c r="U963" s="125"/>
      <c r="V963" s="125"/>
      <c r="W963" s="10"/>
      <c r="X963" s="10"/>
      <c r="Y963" s="10"/>
      <c r="Z963" s="10"/>
      <c r="AA963" s="10"/>
      <c r="AB963" s="10"/>
    </row>
    <row r="964" spans="1:28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25"/>
      <c r="O964" s="125"/>
      <c r="P964" s="125"/>
      <c r="Q964" s="125"/>
      <c r="R964" s="125"/>
      <c r="S964" s="125"/>
      <c r="T964" s="125"/>
      <c r="U964" s="125"/>
      <c r="V964" s="125"/>
      <c r="W964" s="10"/>
      <c r="X964" s="10"/>
      <c r="Y964" s="10"/>
      <c r="Z964" s="10"/>
      <c r="AA964" s="10"/>
      <c r="AB964" s="10"/>
    </row>
    <row r="965" spans="1:28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25"/>
      <c r="O965" s="125"/>
      <c r="P965" s="125"/>
      <c r="Q965" s="125"/>
      <c r="R965" s="125"/>
      <c r="S965" s="125"/>
      <c r="T965" s="125"/>
      <c r="U965" s="125"/>
      <c r="V965" s="125"/>
      <c r="W965" s="10"/>
      <c r="X965" s="10"/>
      <c r="Y965" s="10"/>
      <c r="Z965" s="10"/>
      <c r="AA965" s="10"/>
      <c r="AB965" s="10"/>
    </row>
    <row r="966" spans="1:28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25"/>
      <c r="O966" s="125"/>
      <c r="P966" s="125"/>
      <c r="Q966" s="125"/>
      <c r="R966" s="125"/>
      <c r="S966" s="125"/>
      <c r="T966" s="125"/>
      <c r="U966" s="125"/>
      <c r="V966" s="125"/>
      <c r="W966" s="10"/>
      <c r="X966" s="10"/>
      <c r="Y966" s="10"/>
      <c r="Z966" s="10"/>
      <c r="AA966" s="10"/>
      <c r="AB966" s="10"/>
    </row>
    <row r="967" spans="1:28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25"/>
      <c r="O967" s="125"/>
      <c r="P967" s="125"/>
      <c r="Q967" s="125"/>
      <c r="R967" s="125"/>
      <c r="S967" s="125"/>
      <c r="T967" s="125"/>
      <c r="U967" s="125"/>
      <c r="V967" s="125"/>
      <c r="W967" s="10"/>
      <c r="X967" s="10"/>
      <c r="Y967" s="10"/>
      <c r="Z967" s="10"/>
      <c r="AA967" s="10"/>
      <c r="AB967" s="10"/>
    </row>
    <row r="968" spans="1:28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25"/>
      <c r="O968" s="125"/>
      <c r="P968" s="125"/>
      <c r="Q968" s="125"/>
      <c r="R968" s="125"/>
      <c r="S968" s="125"/>
      <c r="T968" s="125"/>
      <c r="U968" s="125"/>
      <c r="V968" s="125"/>
      <c r="W968" s="10"/>
      <c r="X968" s="10"/>
      <c r="Y968" s="10"/>
      <c r="Z968" s="10"/>
      <c r="AA968" s="10"/>
      <c r="AB968" s="10"/>
    </row>
    <row r="969" spans="1:28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25"/>
      <c r="O969" s="125"/>
      <c r="P969" s="125"/>
      <c r="Q969" s="125"/>
      <c r="R969" s="125"/>
      <c r="S969" s="125"/>
      <c r="T969" s="125"/>
      <c r="U969" s="125"/>
      <c r="V969" s="125"/>
      <c r="W969" s="10"/>
      <c r="X969" s="10"/>
      <c r="Y969" s="10"/>
      <c r="Z969" s="10"/>
      <c r="AA969" s="10"/>
      <c r="AB969" s="10"/>
    </row>
    <row r="970" spans="1:28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25"/>
      <c r="O970" s="125"/>
      <c r="P970" s="125"/>
      <c r="Q970" s="125"/>
      <c r="R970" s="125"/>
      <c r="S970" s="125"/>
      <c r="T970" s="125"/>
      <c r="U970" s="125"/>
      <c r="V970" s="125"/>
      <c r="W970" s="10"/>
      <c r="X970" s="10"/>
      <c r="Y970" s="10"/>
      <c r="Z970" s="10"/>
      <c r="AA970" s="10"/>
      <c r="AB970" s="10"/>
    </row>
    <row r="971" spans="1:28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25"/>
      <c r="O971" s="125"/>
      <c r="P971" s="125"/>
      <c r="Q971" s="125"/>
      <c r="R971" s="125"/>
      <c r="S971" s="125"/>
      <c r="T971" s="125"/>
      <c r="U971" s="125"/>
      <c r="V971" s="125"/>
      <c r="W971" s="10"/>
      <c r="X971" s="10"/>
      <c r="Y971" s="10"/>
      <c r="Z971" s="10"/>
      <c r="AA971" s="10"/>
      <c r="AB971" s="10"/>
    </row>
    <row r="972" spans="1:28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25"/>
      <c r="O972" s="125"/>
      <c r="P972" s="125"/>
      <c r="Q972" s="125"/>
      <c r="R972" s="125"/>
      <c r="S972" s="125"/>
      <c r="T972" s="125"/>
      <c r="U972" s="125"/>
      <c r="V972" s="125"/>
      <c r="W972" s="10"/>
      <c r="X972" s="10"/>
      <c r="Y972" s="10"/>
      <c r="Z972" s="10"/>
      <c r="AA972" s="10"/>
      <c r="AB972" s="10"/>
    </row>
    <row r="973" spans="1:28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25"/>
      <c r="O973" s="125"/>
      <c r="P973" s="125"/>
      <c r="Q973" s="125"/>
      <c r="R973" s="125"/>
      <c r="S973" s="125"/>
      <c r="T973" s="125"/>
      <c r="U973" s="125"/>
      <c r="V973" s="125"/>
      <c r="W973" s="10"/>
      <c r="X973" s="10"/>
      <c r="Y973" s="10"/>
      <c r="Z973" s="10"/>
      <c r="AA973" s="10"/>
      <c r="AB973" s="10"/>
    </row>
    <row r="974" spans="1:28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25"/>
      <c r="O974" s="125"/>
      <c r="P974" s="125"/>
      <c r="Q974" s="125"/>
      <c r="R974" s="125"/>
      <c r="S974" s="125"/>
      <c r="T974" s="125"/>
      <c r="U974" s="125"/>
      <c r="V974" s="125"/>
      <c r="W974" s="10"/>
      <c r="X974" s="10"/>
      <c r="Y974" s="10"/>
      <c r="Z974" s="10"/>
      <c r="AA974" s="10"/>
      <c r="AB974" s="10"/>
    </row>
    <row r="975" spans="1:28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25"/>
      <c r="O975" s="125"/>
      <c r="P975" s="125"/>
      <c r="Q975" s="125"/>
      <c r="R975" s="125"/>
      <c r="S975" s="125"/>
      <c r="T975" s="125"/>
      <c r="U975" s="125"/>
      <c r="V975" s="125"/>
      <c r="W975" s="10"/>
      <c r="X975" s="10"/>
      <c r="Y975" s="10"/>
      <c r="Z975" s="10"/>
      <c r="AA975" s="10"/>
      <c r="AB975" s="10"/>
    </row>
    <row r="976" spans="1:28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25"/>
      <c r="O976" s="125"/>
      <c r="P976" s="125"/>
      <c r="Q976" s="125"/>
      <c r="R976" s="125"/>
      <c r="S976" s="125"/>
      <c r="T976" s="125"/>
      <c r="U976" s="125"/>
      <c r="V976" s="125"/>
      <c r="W976" s="10"/>
      <c r="X976" s="10"/>
      <c r="Y976" s="10"/>
      <c r="Z976" s="10"/>
      <c r="AA976" s="10"/>
      <c r="AB976" s="10"/>
    </row>
    <row r="977" spans="1:28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25"/>
      <c r="O977" s="125"/>
      <c r="P977" s="125"/>
      <c r="Q977" s="125"/>
      <c r="R977" s="125"/>
      <c r="S977" s="125"/>
      <c r="T977" s="125"/>
      <c r="U977" s="125"/>
      <c r="V977" s="125"/>
      <c r="W977" s="10"/>
      <c r="X977" s="10"/>
      <c r="Y977" s="10"/>
      <c r="Z977" s="10"/>
      <c r="AA977" s="10"/>
      <c r="AB977" s="10"/>
    </row>
    <row r="978" spans="1:28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25"/>
      <c r="O978" s="125"/>
      <c r="P978" s="125"/>
      <c r="Q978" s="125"/>
      <c r="R978" s="125"/>
      <c r="S978" s="125"/>
      <c r="T978" s="125"/>
      <c r="U978" s="125"/>
      <c r="V978" s="125"/>
      <c r="W978" s="10"/>
      <c r="X978" s="10"/>
      <c r="Y978" s="10"/>
      <c r="Z978" s="10"/>
      <c r="AA978" s="10"/>
      <c r="AB978" s="10"/>
    </row>
    <row r="979" spans="1:28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25"/>
      <c r="O979" s="125"/>
      <c r="P979" s="125"/>
      <c r="Q979" s="125"/>
      <c r="R979" s="125"/>
      <c r="S979" s="125"/>
      <c r="T979" s="125"/>
      <c r="U979" s="125"/>
      <c r="V979" s="125"/>
      <c r="W979" s="10"/>
      <c r="X979" s="10"/>
      <c r="Y979" s="10"/>
      <c r="Z979" s="10"/>
      <c r="AA979" s="10"/>
      <c r="AB979" s="10"/>
    </row>
    <row r="980" spans="1:28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25"/>
      <c r="O980" s="125"/>
      <c r="P980" s="125"/>
      <c r="Q980" s="125"/>
      <c r="R980" s="125"/>
      <c r="S980" s="125"/>
      <c r="T980" s="125"/>
      <c r="U980" s="125"/>
      <c r="V980" s="125"/>
      <c r="W980" s="10"/>
      <c r="X980" s="10"/>
      <c r="Y980" s="10"/>
      <c r="Z980" s="10"/>
      <c r="AA980" s="10"/>
      <c r="AB980" s="10"/>
    </row>
    <row r="981" spans="1:28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25"/>
      <c r="O981" s="125"/>
      <c r="P981" s="125"/>
      <c r="Q981" s="125"/>
      <c r="R981" s="125"/>
      <c r="S981" s="125"/>
      <c r="T981" s="125"/>
      <c r="U981" s="125"/>
      <c r="V981" s="125"/>
      <c r="W981" s="10"/>
      <c r="X981" s="10"/>
      <c r="Y981" s="10"/>
      <c r="Z981" s="10"/>
      <c r="AA981" s="10"/>
      <c r="AB981" s="10"/>
    </row>
    <row r="982" spans="1:28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25"/>
      <c r="O982" s="125"/>
      <c r="P982" s="125"/>
      <c r="Q982" s="125"/>
      <c r="R982" s="125"/>
      <c r="S982" s="125"/>
      <c r="T982" s="125"/>
      <c r="U982" s="125"/>
      <c r="V982" s="125"/>
      <c r="W982" s="10"/>
      <c r="X982" s="10"/>
      <c r="Y982" s="10"/>
      <c r="Z982" s="10"/>
      <c r="AA982" s="10"/>
      <c r="AB982" s="10"/>
    </row>
    <row r="983" spans="1:28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25"/>
      <c r="O983" s="125"/>
      <c r="P983" s="125"/>
      <c r="Q983" s="125"/>
      <c r="R983" s="125"/>
      <c r="S983" s="125"/>
      <c r="T983" s="125"/>
      <c r="U983" s="125"/>
      <c r="V983" s="125"/>
      <c r="W983" s="10"/>
      <c r="X983" s="10"/>
      <c r="Y983" s="10"/>
      <c r="Z983" s="10"/>
      <c r="AA983" s="10"/>
      <c r="AB983" s="10"/>
    </row>
    <row r="984" spans="1:28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25"/>
      <c r="O984" s="125"/>
      <c r="P984" s="125"/>
      <c r="Q984" s="125"/>
      <c r="R984" s="125"/>
      <c r="S984" s="125"/>
      <c r="T984" s="125"/>
      <c r="U984" s="125"/>
      <c r="V984" s="125"/>
      <c r="W984" s="10"/>
      <c r="X984" s="10"/>
      <c r="Y984" s="10"/>
      <c r="Z984" s="10"/>
      <c r="AA984" s="10"/>
      <c r="AB984" s="10"/>
    </row>
    <row r="985" spans="1:28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25"/>
      <c r="O985" s="125"/>
      <c r="P985" s="125"/>
      <c r="Q985" s="125"/>
      <c r="R985" s="125"/>
      <c r="S985" s="125"/>
      <c r="T985" s="125"/>
      <c r="U985" s="125"/>
      <c r="V985" s="125"/>
      <c r="W985" s="10"/>
      <c r="X985" s="10"/>
      <c r="Y985" s="10"/>
      <c r="Z985" s="10"/>
      <c r="AA985" s="10"/>
      <c r="AB985" s="10"/>
    </row>
    <row r="986" spans="1:28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25"/>
      <c r="O986" s="125"/>
      <c r="P986" s="125"/>
      <c r="Q986" s="125"/>
      <c r="R986" s="125"/>
      <c r="S986" s="125"/>
      <c r="T986" s="125"/>
      <c r="U986" s="125"/>
      <c r="V986" s="125"/>
      <c r="W986" s="10"/>
      <c r="X986" s="10"/>
      <c r="Y986" s="10"/>
      <c r="Z986" s="10"/>
      <c r="AA986" s="10"/>
      <c r="AB986" s="10"/>
    </row>
    <row r="987" spans="1:28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25"/>
      <c r="O987" s="125"/>
      <c r="P987" s="125"/>
      <c r="Q987" s="125"/>
      <c r="R987" s="125"/>
      <c r="S987" s="125"/>
      <c r="T987" s="125"/>
      <c r="U987" s="125"/>
      <c r="V987" s="125"/>
      <c r="W987" s="10"/>
      <c r="X987" s="10"/>
      <c r="Y987" s="10"/>
      <c r="Z987" s="10"/>
      <c r="AA987" s="10"/>
      <c r="AB987" s="10"/>
    </row>
    <row r="988" spans="1:28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25"/>
      <c r="O988" s="125"/>
      <c r="P988" s="125"/>
      <c r="Q988" s="125"/>
      <c r="R988" s="125"/>
      <c r="S988" s="125"/>
      <c r="T988" s="125"/>
      <c r="U988" s="125"/>
      <c r="V988" s="125"/>
      <c r="W988" s="10"/>
      <c r="X988" s="10"/>
      <c r="Y988" s="10"/>
      <c r="Z988" s="10"/>
      <c r="AA988" s="10"/>
      <c r="AB988" s="10"/>
    </row>
    <row r="989" spans="1:28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25"/>
      <c r="O989" s="125"/>
      <c r="P989" s="125"/>
      <c r="Q989" s="125"/>
      <c r="R989" s="125"/>
      <c r="S989" s="125"/>
      <c r="T989" s="125"/>
      <c r="U989" s="125"/>
      <c r="V989" s="125"/>
      <c r="W989" s="10"/>
      <c r="X989" s="10"/>
      <c r="Y989" s="10"/>
      <c r="Z989" s="10"/>
      <c r="AA989" s="10"/>
      <c r="AB989" s="10"/>
    </row>
    <row r="990" spans="1:28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25"/>
      <c r="O990" s="125"/>
      <c r="P990" s="125"/>
      <c r="Q990" s="125"/>
      <c r="R990" s="125"/>
      <c r="S990" s="125"/>
      <c r="T990" s="125"/>
      <c r="U990" s="125"/>
      <c r="V990" s="125"/>
      <c r="W990" s="10"/>
      <c r="X990" s="10"/>
      <c r="Y990" s="10"/>
      <c r="Z990" s="10"/>
      <c r="AA990" s="10"/>
      <c r="AB990" s="10"/>
    </row>
    <row r="991" spans="1:28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25"/>
      <c r="O991" s="125"/>
      <c r="P991" s="125"/>
      <c r="Q991" s="125"/>
      <c r="R991" s="125"/>
      <c r="S991" s="125"/>
      <c r="T991" s="125"/>
      <c r="U991" s="125"/>
      <c r="V991" s="125"/>
      <c r="W991" s="10"/>
      <c r="X991" s="10"/>
      <c r="Y991" s="10"/>
      <c r="Z991" s="10"/>
      <c r="AA991" s="10"/>
      <c r="AB991" s="10"/>
    </row>
    <row r="992" spans="1:28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25"/>
      <c r="O992" s="125"/>
      <c r="P992" s="125"/>
      <c r="Q992" s="125"/>
      <c r="R992" s="125"/>
      <c r="S992" s="125"/>
      <c r="T992" s="125"/>
      <c r="U992" s="125"/>
      <c r="V992" s="125"/>
      <c r="W992" s="10"/>
      <c r="X992" s="10"/>
      <c r="Y992" s="10"/>
      <c r="Z992" s="10"/>
      <c r="AA992" s="10"/>
      <c r="AB992" s="10"/>
    </row>
    <row r="993" spans="1:28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25"/>
      <c r="O993" s="125"/>
      <c r="P993" s="125"/>
      <c r="Q993" s="125"/>
      <c r="R993" s="125"/>
      <c r="S993" s="125"/>
      <c r="T993" s="125"/>
      <c r="U993" s="125"/>
      <c r="V993" s="125"/>
      <c r="W993" s="10"/>
      <c r="X993" s="10"/>
      <c r="Y993" s="10"/>
      <c r="Z993" s="10"/>
      <c r="AA993" s="10"/>
      <c r="AB993" s="10"/>
    </row>
    <row r="994" spans="1:28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25"/>
      <c r="O994" s="125"/>
      <c r="P994" s="125"/>
      <c r="Q994" s="125"/>
      <c r="R994" s="125"/>
      <c r="S994" s="125"/>
      <c r="T994" s="125"/>
      <c r="U994" s="125"/>
      <c r="V994" s="125"/>
      <c r="W994" s="10"/>
      <c r="X994" s="10"/>
      <c r="Y994" s="10"/>
      <c r="Z994" s="10"/>
      <c r="AA994" s="10"/>
      <c r="AB994" s="10"/>
    </row>
    <row r="995" spans="1:28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25"/>
      <c r="O995" s="125"/>
      <c r="P995" s="125"/>
      <c r="Q995" s="125"/>
      <c r="R995" s="125"/>
      <c r="S995" s="125"/>
      <c r="T995" s="125"/>
      <c r="U995" s="125"/>
      <c r="V995" s="125"/>
      <c r="W995" s="10"/>
      <c r="X995" s="10"/>
      <c r="Y995" s="10"/>
      <c r="Z995" s="10"/>
      <c r="AA995" s="10"/>
      <c r="AB995" s="10"/>
    </row>
    <row r="996" spans="1:28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25"/>
      <c r="O996" s="125"/>
      <c r="P996" s="125"/>
      <c r="Q996" s="125"/>
      <c r="R996" s="125"/>
      <c r="S996" s="125"/>
      <c r="T996" s="125"/>
      <c r="U996" s="125"/>
      <c r="V996" s="125"/>
      <c r="W996" s="10"/>
      <c r="X996" s="10"/>
      <c r="Y996" s="10"/>
      <c r="Z996" s="10"/>
      <c r="AA996" s="10"/>
      <c r="AB996" s="10"/>
    </row>
    <row r="997" spans="1:28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25"/>
      <c r="O997" s="125"/>
      <c r="P997" s="125"/>
      <c r="Q997" s="125"/>
      <c r="R997" s="125"/>
      <c r="S997" s="125"/>
      <c r="T997" s="125"/>
      <c r="U997" s="125"/>
      <c r="V997" s="125"/>
      <c r="W997" s="10"/>
      <c r="X997" s="10"/>
      <c r="Y997" s="10"/>
      <c r="Z997" s="10"/>
      <c r="AA997" s="10"/>
      <c r="AB997" s="10"/>
    </row>
    <row r="998" spans="1:28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25"/>
      <c r="O998" s="125"/>
      <c r="P998" s="125"/>
      <c r="Q998" s="125"/>
      <c r="R998" s="125"/>
      <c r="S998" s="125"/>
      <c r="T998" s="125"/>
      <c r="U998" s="125"/>
      <c r="V998" s="125"/>
      <c r="W998" s="10"/>
      <c r="X998" s="10"/>
      <c r="Y998" s="10"/>
      <c r="Z998" s="10"/>
      <c r="AA998" s="10"/>
      <c r="AB998" s="10"/>
    </row>
    <row r="999" spans="1:28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25"/>
      <c r="O999" s="125"/>
      <c r="P999" s="125"/>
      <c r="Q999" s="125"/>
      <c r="R999" s="125"/>
      <c r="S999" s="125"/>
      <c r="T999" s="125"/>
      <c r="U999" s="125"/>
      <c r="V999" s="125"/>
      <c r="W999" s="10"/>
      <c r="X999" s="10"/>
      <c r="Y999" s="10"/>
      <c r="Z999" s="10"/>
      <c r="AA999" s="10"/>
      <c r="AB999" s="10"/>
    </row>
    <row r="1000" spans="1:28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0"/>
      <c r="X1000" s="10"/>
      <c r="Y1000" s="10"/>
      <c r="Z1000" s="10"/>
      <c r="AA1000" s="10"/>
      <c r="AB1000" s="10"/>
    </row>
  </sheetData>
  <mergeCells count="1">
    <mergeCell ref="N5:O5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36" zoomScale="84" workbookViewId="0">
      <selection activeCell="F28" sqref="F28"/>
    </sheetView>
  </sheetViews>
  <sheetFormatPr defaultColWidth="12.6328125" defaultRowHeight="15" customHeight="1"/>
  <cols>
    <col min="1" max="1" width="19.7265625" customWidth="1"/>
    <col min="2" max="2" width="18.08984375" customWidth="1"/>
    <col min="3" max="3" width="14.08984375" customWidth="1"/>
    <col min="4" max="4" width="16" customWidth="1"/>
    <col min="5" max="5" width="13.7265625" customWidth="1"/>
    <col min="6" max="6" width="15.26953125" customWidth="1"/>
    <col min="7" max="7" width="11.08984375" customWidth="1"/>
    <col min="8" max="8" width="13.453125" customWidth="1"/>
    <col min="9" max="9" width="14.36328125" customWidth="1"/>
    <col min="10" max="10" width="19.453125" customWidth="1"/>
    <col min="11" max="11" width="11.453125" customWidth="1"/>
    <col min="12" max="12" width="14.36328125" customWidth="1"/>
    <col min="13" max="16" width="8.7265625" customWidth="1"/>
    <col min="17" max="26" width="8.6328125" customWidth="1"/>
  </cols>
  <sheetData>
    <row r="1" spans="1:26" ht="13.5" customHeight="1">
      <c r="A1" s="12" t="s">
        <v>186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5" customHeight="1">
      <c r="A2" s="16" t="s">
        <v>187</v>
      </c>
      <c r="B2" s="127">
        <f>'Beta Calculation'!O1</f>
        <v>0.99585145273373021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5" customHeight="1">
      <c r="A3" s="16" t="s">
        <v>188</v>
      </c>
      <c r="B3" s="121">
        <v>4.02E-2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5" customHeight="1">
      <c r="A4" s="16" t="s">
        <v>189</v>
      </c>
      <c r="B4" s="121">
        <v>5.5E-2</v>
      </c>
      <c r="C4" s="10" t="s">
        <v>254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5" customHeight="1">
      <c r="A5" s="17" t="s">
        <v>186</v>
      </c>
      <c r="B5" s="128">
        <f>B3+(B2*B4)</f>
        <v>9.4971829900355159E-2</v>
      </c>
      <c r="C5" s="10" t="s">
        <v>255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3.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5" customHeight="1">
      <c r="A8" s="12" t="s">
        <v>192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5" customHeight="1">
      <c r="A9" s="10" t="s">
        <v>256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5" customHeight="1">
      <c r="A11" s="129" t="s">
        <v>194</v>
      </c>
      <c r="B11" s="129" t="s">
        <v>37</v>
      </c>
      <c r="C11" s="129" t="s">
        <v>195</v>
      </c>
      <c r="D11" s="129" t="s">
        <v>196</v>
      </c>
      <c r="E11" s="129" t="s">
        <v>197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 customHeight="1">
      <c r="A12" s="10" t="s">
        <v>198</v>
      </c>
      <c r="B12" s="46">
        <v>4.6300000000000001E-2</v>
      </c>
      <c r="C12" s="10">
        <v>78</v>
      </c>
      <c r="D12" s="46">
        <f t="shared" ref="D12:D20" si="0">C12/$C$21</f>
        <v>7.8376205787781348E-3</v>
      </c>
      <c r="E12" s="46">
        <f t="shared" ref="E12:E20" si="1">D12*B12</f>
        <v>3.6288183279742766E-4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5" customHeight="1">
      <c r="A13" s="10" t="s">
        <v>199</v>
      </c>
      <c r="B13" s="46">
        <v>4.6300000000000001E-2</v>
      </c>
      <c r="C13" s="60">
        <v>1401</v>
      </c>
      <c r="D13" s="46">
        <f t="shared" si="0"/>
        <v>0.14077572347266881</v>
      </c>
      <c r="E13" s="46">
        <f t="shared" si="1"/>
        <v>6.5179159967845663E-3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5" customHeight="1">
      <c r="A14" s="10" t="s">
        <v>200</v>
      </c>
      <c r="B14" s="46">
        <v>3.0499999999999999E-2</v>
      </c>
      <c r="C14" s="10">
        <v>208</v>
      </c>
      <c r="D14" s="46">
        <f t="shared" si="0"/>
        <v>2.0900321543408359E-2</v>
      </c>
      <c r="E14" s="46">
        <f t="shared" si="1"/>
        <v>6.3745980707395492E-4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3.5" customHeight="1">
      <c r="A15" s="10" t="s">
        <v>201</v>
      </c>
      <c r="B15" s="46">
        <v>3.0499999999999999E-2</v>
      </c>
      <c r="C15" s="60">
        <v>2460</v>
      </c>
      <c r="D15" s="46">
        <f t="shared" si="0"/>
        <v>0.24718649517684887</v>
      </c>
      <c r="E15" s="46">
        <f t="shared" si="1"/>
        <v>7.5391881028938909E-3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3.5" customHeight="1">
      <c r="A16" s="10" t="s">
        <v>202</v>
      </c>
      <c r="B16" s="46">
        <v>0.03</v>
      </c>
      <c r="C16" s="60">
        <v>1000</v>
      </c>
      <c r="D16" s="46">
        <f t="shared" si="0"/>
        <v>0.10048231511254019</v>
      </c>
      <c r="E16" s="46">
        <f t="shared" si="1"/>
        <v>3.0144694533762056E-3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5" customHeight="1">
      <c r="A17" s="10" t="s">
        <v>203</v>
      </c>
      <c r="B17" s="46">
        <v>1.375E-2</v>
      </c>
      <c r="C17" s="60">
        <v>1250</v>
      </c>
      <c r="D17" s="46">
        <f t="shared" si="0"/>
        <v>0.12560289389067525</v>
      </c>
      <c r="E17" s="46">
        <f t="shared" si="1"/>
        <v>1.7270397909967847E-3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5" customHeight="1">
      <c r="A18" s="10" t="s">
        <v>204</v>
      </c>
      <c r="B18" s="46">
        <v>1.6E-2</v>
      </c>
      <c r="C18" s="60">
        <v>1750</v>
      </c>
      <c r="D18" s="46">
        <f t="shared" si="0"/>
        <v>0.17584405144694534</v>
      </c>
      <c r="E18" s="46">
        <f t="shared" si="1"/>
        <v>2.8135048231511255E-3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.5" customHeight="1">
      <c r="A19" s="10" t="s">
        <v>205</v>
      </c>
      <c r="B19" s="46">
        <v>1.7500000000000002E-2</v>
      </c>
      <c r="C19" s="60">
        <v>1000</v>
      </c>
      <c r="D19" s="46">
        <f t="shared" si="0"/>
        <v>0.10048231511254019</v>
      </c>
      <c r="E19" s="46">
        <f t="shared" si="1"/>
        <v>1.7584405144694534E-3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5" customHeight="1">
      <c r="A20" s="10" t="s">
        <v>206</v>
      </c>
      <c r="B20" s="46">
        <v>2.12E-2</v>
      </c>
      <c r="C20" s="10">
        <v>805</v>
      </c>
      <c r="D20" s="46">
        <f t="shared" si="0"/>
        <v>8.0888263665594859E-2</v>
      </c>
      <c r="E20" s="46">
        <f t="shared" si="1"/>
        <v>1.7148311897106109E-3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5" customHeight="1">
      <c r="A21" s="130" t="s">
        <v>122</v>
      </c>
      <c r="B21" s="130"/>
      <c r="C21" s="131">
        <f>SUM(C12:C20)</f>
        <v>9952</v>
      </c>
      <c r="D21" s="130"/>
      <c r="E21" s="132">
        <f>SUM(E12:E20)</f>
        <v>2.6085731511254023E-2</v>
      </c>
      <c r="F21" s="10" t="s">
        <v>207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5" customHeight="1">
      <c r="A22" s="10"/>
      <c r="B22" s="10"/>
      <c r="C22" s="10"/>
      <c r="D22" s="10" t="s">
        <v>208</v>
      </c>
      <c r="E22" s="46">
        <v>0.25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3.5" customHeight="1">
      <c r="A23" s="10"/>
      <c r="B23" s="10"/>
      <c r="C23" s="10"/>
      <c r="D23" s="10"/>
      <c r="E23" s="46">
        <f>E21*(1-E22)</f>
        <v>1.9564298633440516E-2</v>
      </c>
      <c r="F23" s="10" t="s">
        <v>209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3.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3.5" customHeight="1">
      <c r="A25" s="133" t="s">
        <v>210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5" customHeight="1">
      <c r="A26" s="16" t="s">
        <v>211</v>
      </c>
      <c r="B26" s="134">
        <v>443870000</v>
      </c>
      <c r="C26" s="10" t="s">
        <v>212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5" customHeight="1">
      <c r="A27" s="16" t="s">
        <v>213</v>
      </c>
      <c r="B27" s="135">
        <v>1011.17</v>
      </c>
      <c r="C27" s="10" t="s">
        <v>214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5" customHeight="1">
      <c r="A28" s="16" t="s">
        <v>215</v>
      </c>
      <c r="B28" s="134">
        <f>B26*B27/1000</f>
        <v>448828027.89999998</v>
      </c>
      <c r="C28" s="10" t="s">
        <v>216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5" customHeight="1">
      <c r="A30" s="17"/>
      <c r="B30" s="17"/>
      <c r="C30" s="17" t="s">
        <v>217</v>
      </c>
      <c r="D30" s="17" t="s">
        <v>197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5" customHeight="1">
      <c r="A31" s="17" t="s">
        <v>218</v>
      </c>
      <c r="B31" s="121">
        <f>E23</f>
        <v>1.9564298633440516E-2</v>
      </c>
      <c r="C31" s="121">
        <v>2.1700000000000001E-2</v>
      </c>
      <c r="D31" s="121">
        <f t="shared" ref="D31:D32" si="2">C31*B31</f>
        <v>4.245452803456592E-4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5" customHeight="1">
      <c r="A32" s="17" t="s">
        <v>186</v>
      </c>
      <c r="B32" s="121">
        <f>B5</f>
        <v>9.4971829900355159E-2</v>
      </c>
      <c r="C32" s="121">
        <v>0.97829999999999995</v>
      </c>
      <c r="D32" s="121">
        <f t="shared" si="2"/>
        <v>9.2910941191517452E-2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5" customHeight="1">
      <c r="A33" s="17" t="s">
        <v>8</v>
      </c>
      <c r="B33" s="16"/>
      <c r="C33" s="16"/>
      <c r="D33" s="121">
        <f>D32+D31</f>
        <v>9.3335486471863113E-2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5" customHeight="1">
      <c r="A35" s="17" t="s">
        <v>257</v>
      </c>
      <c r="B35" s="17" t="s">
        <v>258</v>
      </c>
      <c r="C35" s="128">
        <v>0.25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5" customHeight="1">
      <c r="A37" s="12" t="s">
        <v>259</v>
      </c>
      <c r="B37" s="66">
        <v>3.5000000000000003E-2</v>
      </c>
      <c r="C37" s="10"/>
      <c r="D37" s="10"/>
      <c r="E37" s="10"/>
      <c r="F37" s="10"/>
      <c r="G37" s="10"/>
      <c r="H37" s="10"/>
      <c r="I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4.25" customHeight="1">
      <c r="A38" s="10"/>
      <c r="B38" s="10">
        <v>0</v>
      </c>
      <c r="C38" s="10">
        <v>1</v>
      </c>
      <c r="D38" s="10">
        <v>2</v>
      </c>
      <c r="E38" s="10">
        <v>3</v>
      </c>
      <c r="F38" s="10"/>
      <c r="G38" s="10"/>
      <c r="H38" s="10"/>
      <c r="I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5" customHeight="1">
      <c r="A39" s="229"/>
      <c r="B39" s="235" t="s">
        <v>260</v>
      </c>
      <c r="C39" s="235" t="s">
        <v>11</v>
      </c>
      <c r="D39" s="235" t="s">
        <v>12</v>
      </c>
      <c r="E39" s="235" t="s">
        <v>13</v>
      </c>
      <c r="F39" s="235" t="s">
        <v>36</v>
      </c>
      <c r="G39" s="10"/>
      <c r="H39" s="56"/>
      <c r="I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5" customHeight="1">
      <c r="A40" s="230" t="s">
        <v>261</v>
      </c>
      <c r="B40" s="231">
        <f>Forecast!J14*(1-Forecast!$Q$21)</f>
        <v>7787.25</v>
      </c>
      <c r="C40" s="231">
        <f>Forecast!K14*(1-Forecast!$Q$21)</f>
        <v>7854.5350796845596</v>
      </c>
      <c r="D40" s="231">
        <f>Forecast!L14*(1-Forecast!$Q$21)</f>
        <v>8477.1608289278811</v>
      </c>
      <c r="E40" s="231">
        <f>Forecast!M14*(1-Forecast!$Q$21)</f>
        <v>9149.153226682145</v>
      </c>
      <c r="F40" s="231">
        <f>Forecast!N14*(1-Forecast!$Q$21)</f>
        <v>9469.3735896160197</v>
      </c>
      <c r="G40" s="138" t="s">
        <v>262</v>
      </c>
      <c r="H40" s="56"/>
      <c r="I40" s="46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5" customHeight="1">
      <c r="A41" s="230" t="s">
        <v>263</v>
      </c>
      <c r="B41" s="231">
        <f>(Forecast!J41-Forecast!J31-Forecast!J32)-(Forecast!J54-Forecast!J51-Forecast!J52)</f>
        <v>22053</v>
      </c>
      <c r="C41" s="231">
        <f>(Forecast!K41-Forecast!K31-Forecast!K32)-(Forecast!K54-Forecast!K51-Forecast!K52)</f>
        <v>23956.930566640469</v>
      </c>
      <c r="D41" s="231">
        <f>(Forecast!L41-Forecast!L31-Forecast!L32)-(Forecast!L54-Forecast!L51-Forecast!L52)</f>
        <v>25883.707051861478</v>
      </c>
      <c r="E41" s="231">
        <f>(Forecast!M41-Forecast!M31-Forecast!M32)-(Forecast!M54-Forecast!M51-Forecast!M52)</f>
        <v>27863.515513087943</v>
      </c>
      <c r="F41" s="231">
        <f>(Forecast!N41-Forecast!N31-Forecast!N32)-(Forecast!N54-Forecast!N51-Forecast!N52)</f>
        <v>28838.738556046002</v>
      </c>
      <c r="G41" s="139"/>
      <c r="H41" s="46"/>
      <c r="I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5" customHeight="1">
      <c r="A42" s="230" t="s">
        <v>264</v>
      </c>
      <c r="B42" s="231"/>
      <c r="C42" s="231">
        <f t="shared" ref="C42:F42" si="3">C41-B41</f>
        <v>1903.9305666404689</v>
      </c>
      <c r="D42" s="231">
        <f t="shared" si="3"/>
        <v>1926.7764852210094</v>
      </c>
      <c r="E42" s="231">
        <f t="shared" si="3"/>
        <v>1979.8084612264647</v>
      </c>
      <c r="F42" s="231">
        <f t="shared" si="3"/>
        <v>975.22304295805952</v>
      </c>
      <c r="G42" s="139"/>
      <c r="H42" s="46"/>
      <c r="I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5" customHeight="1">
      <c r="A43" s="230" t="s">
        <v>265</v>
      </c>
      <c r="B43" s="231"/>
      <c r="C43" s="231">
        <f t="shared" ref="C43:F43" si="4">C40-C42</f>
        <v>5950.6045130440907</v>
      </c>
      <c r="D43" s="231">
        <f t="shared" si="4"/>
        <v>6550.3843437068717</v>
      </c>
      <c r="E43" s="231">
        <f t="shared" si="4"/>
        <v>7169.3447654556803</v>
      </c>
      <c r="F43" s="231">
        <f t="shared" si="4"/>
        <v>8494.1505466579601</v>
      </c>
      <c r="G43" s="139"/>
      <c r="H43" s="46"/>
      <c r="I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5" customHeight="1">
      <c r="A44" s="230" t="s">
        <v>266</v>
      </c>
      <c r="B44" s="231"/>
      <c r="C44" s="232">
        <f t="shared" ref="C44:E44" si="5">1/(1+$D$33)^C38</f>
        <v>0.91463234512486924</v>
      </c>
      <c r="D44" s="232">
        <f t="shared" si="5"/>
        <v>0.83655232674861801</v>
      </c>
      <c r="E44" s="232">
        <f t="shared" si="5"/>
        <v>0.76513781643375434</v>
      </c>
      <c r="F44" s="231"/>
      <c r="G44" s="139"/>
      <c r="H44" s="90"/>
      <c r="I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5" customHeight="1">
      <c r="A45" s="230" t="s">
        <v>267</v>
      </c>
      <c r="B45" s="231"/>
      <c r="C45" s="231">
        <f t="shared" ref="C45:E45" si="6">C43*C44</f>
        <v>5442.6153606761472</v>
      </c>
      <c r="D45" s="231">
        <f t="shared" si="6"/>
        <v>5479.7392638257024</v>
      </c>
      <c r="E45" s="231">
        <f t="shared" si="6"/>
        <v>5485.5367991015255</v>
      </c>
      <c r="F45" s="231"/>
      <c r="G45" s="13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5" customHeight="1">
      <c r="A46" s="230" t="s">
        <v>268</v>
      </c>
      <c r="B46" s="231"/>
      <c r="C46" s="231"/>
      <c r="D46" s="231"/>
      <c r="E46" s="231"/>
      <c r="F46" s="231">
        <f>F43*E44/(D33-B37)</f>
        <v>111410.67289914866</v>
      </c>
      <c r="G46" s="138" t="s">
        <v>269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5" customHeight="1">
      <c r="A47" s="230" t="s">
        <v>270</v>
      </c>
      <c r="B47" s="231">
        <f>SUM(C45:F46)</f>
        <v>127818.56432275203</v>
      </c>
      <c r="C47" s="231"/>
      <c r="D47" s="231"/>
      <c r="E47" s="231"/>
      <c r="F47" s="231"/>
      <c r="G47" s="141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5" customHeight="1">
      <c r="A48" s="230" t="s">
        <v>271</v>
      </c>
      <c r="B48" s="231">
        <f>-(B41-Forecast!J66)</f>
        <v>7111</v>
      </c>
      <c r="C48" s="231"/>
      <c r="D48" s="231"/>
      <c r="E48" s="231"/>
      <c r="F48" s="231"/>
      <c r="G48" s="141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5" customHeight="1">
      <c r="A49" s="230" t="s">
        <v>272</v>
      </c>
      <c r="B49" s="231">
        <v>0</v>
      </c>
      <c r="C49" s="231"/>
      <c r="D49" s="231"/>
      <c r="E49" s="231"/>
      <c r="F49" s="231"/>
      <c r="G49" s="141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5" customHeight="1">
      <c r="A50" s="230" t="s">
        <v>273</v>
      </c>
      <c r="B50" s="231">
        <v>0</v>
      </c>
      <c r="C50" s="231"/>
      <c r="D50" s="231"/>
      <c r="E50" s="231"/>
      <c r="F50" s="231"/>
      <c r="G50" s="142" t="s">
        <v>274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5" customHeight="1">
      <c r="A51" s="230"/>
      <c r="B51" s="231"/>
      <c r="C51" s="231"/>
      <c r="D51" s="231"/>
      <c r="E51" s="231"/>
      <c r="F51" s="231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5" customHeight="1">
      <c r="A52" s="230" t="s">
        <v>275</v>
      </c>
      <c r="B52" s="231">
        <f>B47+B48+B49+B50</f>
        <v>134929.56432275203</v>
      </c>
      <c r="C52" s="231"/>
      <c r="D52" s="231"/>
      <c r="E52" s="231"/>
      <c r="F52" s="23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5" customHeight="1">
      <c r="A53" s="230" t="s">
        <v>276</v>
      </c>
      <c r="B53" s="231">
        <f>B26</f>
        <v>443870000</v>
      </c>
      <c r="C53" s="231"/>
      <c r="D53" s="231"/>
      <c r="E53" s="231"/>
      <c r="F53" s="23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5" customHeight="1">
      <c r="A54" s="233" t="s">
        <v>277</v>
      </c>
      <c r="B54" s="234">
        <f>B52*10^6/B53</f>
        <v>303.98441958851021</v>
      </c>
      <c r="C54" s="231"/>
      <c r="D54" s="231"/>
      <c r="E54" s="231"/>
      <c r="F54" s="23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5" customHeight="1">
      <c r="A56" s="16" t="s">
        <v>278</v>
      </c>
      <c r="B56" s="16">
        <v>32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5" hidden="1" customHeight="1">
      <c r="A57" s="17" t="s">
        <v>279</v>
      </c>
      <c r="B57" s="16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5" hidden="1" customHeight="1">
      <c r="A58" s="16"/>
      <c r="B58" s="137" t="s">
        <v>260</v>
      </c>
      <c r="C58" s="144" t="s">
        <v>11</v>
      </c>
      <c r="D58" s="137" t="s">
        <v>12</v>
      </c>
      <c r="E58" s="137" t="s">
        <v>13</v>
      </c>
      <c r="F58" s="137" t="s">
        <v>36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5" hidden="1" customHeight="1">
      <c r="A59" s="145" t="s">
        <v>280</v>
      </c>
      <c r="B59" s="16"/>
      <c r="C59" s="146">
        <f>Forecast!K14</f>
        <v>10472.713439579413</v>
      </c>
      <c r="D59" s="147">
        <f>Forecast!L14</f>
        <v>11302.881105237175</v>
      </c>
      <c r="E59" s="147">
        <f>Forecast!M14</f>
        <v>12198.870968909527</v>
      </c>
      <c r="F59" s="147">
        <f>Forecast!N14</f>
        <v>12625.83145282136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5" hidden="1" customHeight="1">
      <c r="A60" s="145" t="s">
        <v>281</v>
      </c>
      <c r="B60" s="16"/>
      <c r="C60" s="146">
        <f t="shared" ref="C60:F60" si="7">-C59*25%</f>
        <v>-2618.1783598948532</v>
      </c>
      <c r="D60" s="147">
        <f t="shared" si="7"/>
        <v>-2825.7202763092937</v>
      </c>
      <c r="E60" s="147">
        <f t="shared" si="7"/>
        <v>-3049.7177422273817</v>
      </c>
      <c r="F60" s="147">
        <f t="shared" si="7"/>
        <v>-3156.4578632053399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5" hidden="1" customHeight="1">
      <c r="A61" s="145" t="s">
        <v>282</v>
      </c>
      <c r="B61" s="16"/>
      <c r="C61" s="146">
        <f>-Forecast!K138</f>
        <v>2690.3454218670231</v>
      </c>
      <c r="D61" s="147">
        <f>-Forecast!L138</f>
        <v>2998.7955458766974</v>
      </c>
      <c r="E61" s="147">
        <f>-Forecast!M138</f>
        <v>3331.6965983276737</v>
      </c>
      <c r="F61" s="147">
        <f>-Forecast!N138</f>
        <v>3683.3371712051144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5" hidden="1" customHeight="1">
      <c r="A62" s="145" t="s">
        <v>283</v>
      </c>
      <c r="B62" s="16"/>
      <c r="C62" s="146">
        <f>-Forecast!K137</f>
        <v>-5933.8168746809097</v>
      </c>
      <c r="D62" s="147">
        <f>-Forecast!L137</f>
        <v>-6404.1880857060614</v>
      </c>
      <c r="E62" s="147">
        <f>-Forecast!M137</f>
        <v>-6911.8540123329904</v>
      </c>
      <c r="F62" s="147">
        <f>-Forecast!N137</f>
        <v>-7153.7689027646447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5" hidden="1" customHeight="1">
      <c r="A63" s="145" t="s">
        <v>284</v>
      </c>
      <c r="B63" s="16"/>
      <c r="C63" s="146">
        <f t="shared" ref="C63:F63" si="8">C68</f>
        <v>-121.75604210801976</v>
      </c>
      <c r="D63" s="147">
        <f t="shared" si="8"/>
        <v>-131.40963625584118</v>
      </c>
      <c r="E63" s="147">
        <f t="shared" si="8"/>
        <v>-141.82882198963125</v>
      </c>
      <c r="F63" s="147">
        <f t="shared" si="8"/>
        <v>-67.58480751236857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5" hidden="1" customHeight="1">
      <c r="A64" s="148" t="s">
        <v>285</v>
      </c>
      <c r="B64" s="136"/>
      <c r="C64" s="149">
        <f t="shared" ref="C64:F64" si="9">SUM(C59:C63)</f>
        <v>4489.3075847626533</v>
      </c>
      <c r="D64" s="150">
        <f t="shared" si="9"/>
        <v>4940.3586528426758</v>
      </c>
      <c r="E64" s="150">
        <f t="shared" si="9"/>
        <v>5427.1669906871966</v>
      </c>
      <c r="F64" s="150">
        <f t="shared" si="9"/>
        <v>5931.3570505441203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5" hidden="1" customHeight="1">
      <c r="A65" s="16"/>
      <c r="B65" s="16"/>
      <c r="C65" s="10"/>
      <c r="D65" s="10"/>
      <c r="E65" s="10"/>
      <c r="F65" s="10"/>
      <c r="G65" s="10"/>
      <c r="H65" s="10"/>
      <c r="I65" s="151" t="s">
        <v>20</v>
      </c>
      <c r="J65" s="151" t="s">
        <v>286</v>
      </c>
      <c r="K65" s="151" t="s">
        <v>287</v>
      </c>
      <c r="L65" s="151" t="s">
        <v>288</v>
      </c>
      <c r="M65" s="152"/>
      <c r="N65" s="152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5" hidden="1" customHeight="1">
      <c r="A66" s="16"/>
      <c r="B66" s="16"/>
      <c r="C66" s="10"/>
      <c r="D66" s="10"/>
      <c r="E66" s="10"/>
      <c r="F66" s="10"/>
      <c r="G66" s="10"/>
      <c r="H66" s="10"/>
      <c r="I66" s="153">
        <v>44437</v>
      </c>
      <c r="J66" s="154" t="s">
        <v>289</v>
      </c>
      <c r="K66" s="154" t="s">
        <v>290</v>
      </c>
      <c r="L66" s="154">
        <v>24.8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5" hidden="1" customHeight="1">
      <c r="A67" s="155" t="s">
        <v>291</v>
      </c>
      <c r="B67" s="156">
        <f>Forecast!J33+Forecast!J34-Forecast!J44</f>
        <v>1536</v>
      </c>
      <c r="C67" s="157">
        <f>Forecast!K33+Forecast!K34-Forecast!K44</f>
        <v>1657.7560421080198</v>
      </c>
      <c r="D67" s="156">
        <f>Forecast!L33+Forecast!L34-Forecast!L44</f>
        <v>1789.1656783638609</v>
      </c>
      <c r="E67" s="156">
        <f>Forecast!M33+Forecast!M34-Forecast!M44</f>
        <v>1930.9945003534922</v>
      </c>
      <c r="F67" s="156">
        <f>Forecast!N33+Forecast!N34-Forecast!N44</f>
        <v>1998.5793078658608</v>
      </c>
      <c r="G67" s="10"/>
      <c r="H67" s="10"/>
      <c r="I67" s="153">
        <v>44801</v>
      </c>
      <c r="J67" s="154" t="s">
        <v>292</v>
      </c>
      <c r="K67" s="154" t="s">
        <v>293</v>
      </c>
      <c r="L67" s="154">
        <v>23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5" hidden="1" customHeight="1">
      <c r="A68" s="16"/>
      <c r="B68" s="16"/>
      <c r="C68" s="158">
        <f t="shared" ref="C68:F68" si="10">-(C67-B67)</f>
        <v>-121.75604210801976</v>
      </c>
      <c r="D68" s="140">
        <f t="shared" si="10"/>
        <v>-131.40963625584118</v>
      </c>
      <c r="E68" s="140">
        <f t="shared" si="10"/>
        <v>-141.82882198963125</v>
      </c>
      <c r="F68" s="140">
        <f t="shared" si="10"/>
        <v>-67.58480751236857</v>
      </c>
      <c r="G68" s="10"/>
      <c r="H68" s="10"/>
      <c r="I68" s="153">
        <v>45172</v>
      </c>
      <c r="J68" s="154" t="s">
        <v>294</v>
      </c>
      <c r="K68" s="154" t="s">
        <v>295</v>
      </c>
      <c r="L68" s="154">
        <v>23.1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5" hidden="1" customHeight="1">
      <c r="A69" s="16"/>
      <c r="B69" s="16"/>
      <c r="C69" s="10"/>
      <c r="D69" s="10"/>
      <c r="E69" s="10"/>
      <c r="F69" s="10"/>
      <c r="G69" s="10"/>
      <c r="H69" s="10"/>
      <c r="I69" s="153">
        <v>45536</v>
      </c>
      <c r="J69" s="154" t="s">
        <v>296</v>
      </c>
      <c r="K69" s="154" t="s">
        <v>297</v>
      </c>
      <c r="L69" s="154">
        <v>35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8.75" hidden="1" customHeight="1">
      <c r="A70" s="17" t="s">
        <v>298</v>
      </c>
      <c r="B70" s="17">
        <f>L71</f>
        <v>27.8</v>
      </c>
      <c r="C70" s="12"/>
      <c r="D70" s="10"/>
      <c r="E70" s="10"/>
      <c r="F70" s="10"/>
      <c r="G70" s="10"/>
      <c r="H70" s="10"/>
      <c r="I70" s="153">
        <v>45900</v>
      </c>
      <c r="J70" s="154" t="s">
        <v>299</v>
      </c>
      <c r="K70" s="154" t="s">
        <v>300</v>
      </c>
      <c r="L70" s="154">
        <v>33.1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5" hidden="1" customHeight="1">
      <c r="A71" s="16"/>
      <c r="B71" s="137" t="s">
        <v>260</v>
      </c>
      <c r="C71" s="144" t="s">
        <v>11</v>
      </c>
      <c r="D71" s="137" t="s">
        <v>12</v>
      </c>
      <c r="E71" s="137" t="s">
        <v>13</v>
      </c>
      <c r="F71" s="137" t="s">
        <v>36</v>
      </c>
      <c r="G71" s="10"/>
      <c r="H71" s="10"/>
      <c r="I71" s="11" t="s">
        <v>301</v>
      </c>
      <c r="J71" s="11"/>
      <c r="K71" s="11"/>
      <c r="L71" s="11">
        <f>AVERAGE(L66:L70)</f>
        <v>27.8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5" hidden="1" customHeight="1">
      <c r="A72" s="16" t="s">
        <v>302</v>
      </c>
      <c r="B72" s="156"/>
      <c r="C72" s="157">
        <f t="shared" ref="C72:E72" si="11">C64</f>
        <v>4489.3075847626533</v>
      </c>
      <c r="D72" s="156">
        <f t="shared" si="11"/>
        <v>4940.3586528426758</v>
      </c>
      <c r="E72" s="156">
        <f t="shared" si="11"/>
        <v>5427.1669906871966</v>
      </c>
      <c r="F72" s="156"/>
      <c r="G72" s="9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5" hidden="1" customHeight="1">
      <c r="A73" s="16" t="s">
        <v>303</v>
      </c>
      <c r="B73" s="156"/>
      <c r="C73" s="157"/>
      <c r="D73" s="156"/>
      <c r="E73" s="156"/>
      <c r="F73" s="156">
        <f>(F59+F61)*B70</f>
        <v>453394.88774793595</v>
      </c>
      <c r="G73" s="9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5" hidden="1" customHeight="1">
      <c r="A74" s="16"/>
      <c r="B74" s="156"/>
      <c r="C74" s="157"/>
      <c r="D74" s="156"/>
      <c r="E74" s="156"/>
      <c r="F74" s="156"/>
      <c r="G74" s="9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5" hidden="1" customHeight="1">
      <c r="A75" s="16" t="s">
        <v>304</v>
      </c>
      <c r="B75" s="156"/>
      <c r="C75" s="157">
        <f t="shared" ref="C75:E75" si="12">C72*C44</f>
        <v>4106.0659242383281</v>
      </c>
      <c r="D75" s="156">
        <f t="shared" si="12"/>
        <v>4132.8685260082084</v>
      </c>
      <c r="E75" s="156">
        <f t="shared" si="12"/>
        <v>4152.5307006757512</v>
      </c>
      <c r="F75" s="156"/>
      <c r="G75" s="9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5" hidden="1" customHeight="1">
      <c r="A76" s="16" t="s">
        <v>305</v>
      </c>
      <c r="B76" s="156"/>
      <c r="C76" s="157"/>
      <c r="D76" s="156"/>
      <c r="E76" s="156">
        <f>F73*E44</f>
        <v>346909.57439368288</v>
      </c>
      <c r="F76" s="156"/>
      <c r="G76" s="9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5" hidden="1" customHeight="1">
      <c r="A77" s="16"/>
      <c r="B77" s="16"/>
      <c r="C77" s="159"/>
      <c r="D77" s="16"/>
      <c r="E77" s="16"/>
      <c r="F77" s="16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5" hidden="1" customHeight="1">
      <c r="A78" s="16" t="s">
        <v>286</v>
      </c>
      <c r="B78" s="156">
        <f>SUM(C75:E76)</f>
        <v>359301.03954460518</v>
      </c>
      <c r="C78" s="159"/>
      <c r="D78" s="16"/>
      <c r="E78" s="16"/>
      <c r="F78" s="16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5" hidden="1" customHeight="1">
      <c r="A79" s="16" t="s">
        <v>306</v>
      </c>
      <c r="B79" s="156">
        <f>C21-Forecast!J31</f>
        <v>-4209</v>
      </c>
      <c r="C79" s="159"/>
      <c r="D79" s="16"/>
      <c r="E79" s="16"/>
      <c r="F79" s="16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5" hidden="1" customHeight="1">
      <c r="A80" s="16" t="s">
        <v>307</v>
      </c>
      <c r="B80" s="156">
        <f>B78-B79</f>
        <v>363510.03954460518</v>
      </c>
      <c r="C80" s="159"/>
      <c r="D80" s="16"/>
      <c r="E80" s="16"/>
      <c r="F80" s="16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5" hidden="1" customHeight="1">
      <c r="A81" s="16" t="s">
        <v>308</v>
      </c>
      <c r="B81" s="156">
        <f>B53</f>
        <v>443870000</v>
      </c>
      <c r="C81" s="159"/>
      <c r="D81" s="16"/>
      <c r="E81" s="16"/>
      <c r="F81" s="16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5" hidden="1" customHeight="1">
      <c r="A82" s="16"/>
      <c r="B82" s="16"/>
      <c r="C82" s="159"/>
      <c r="D82" s="16"/>
      <c r="E82" s="16"/>
      <c r="F82" s="16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5" hidden="1" customHeight="1">
      <c r="A83" s="17" t="s">
        <v>309</v>
      </c>
      <c r="B83" s="160">
        <f>B80*10^6/B81</f>
        <v>818.95608972132641</v>
      </c>
      <c r="C83" s="159"/>
      <c r="D83" s="16"/>
      <c r="E83" s="16"/>
      <c r="F83" s="16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5" hidden="1" customHeight="1">
      <c r="A84" s="16"/>
      <c r="B84" s="16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5" hidden="1" customHeight="1">
      <c r="A85" s="16"/>
      <c r="B85" s="16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5" hidden="1" customHeight="1">
      <c r="A86" s="16"/>
      <c r="B86" s="16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5" customHeight="1">
      <c r="A87" s="16" t="s">
        <v>310</v>
      </c>
      <c r="B87" s="161">
        <f>Forecast!K22*(1-27%)/443.87</f>
        <v>13.456904417286916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5" customHeight="1">
      <c r="A88" s="16"/>
      <c r="B88" s="16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5" customHeight="1">
      <c r="A89" s="17" t="s">
        <v>311</v>
      </c>
      <c r="B89" s="143">
        <f>B87*B56</f>
        <v>430.62094135318131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5" customHeight="1">
      <c r="A92" s="254" t="s">
        <v>460</v>
      </c>
      <c r="B92" s="254"/>
      <c r="C92" s="254"/>
      <c r="D92" s="254"/>
      <c r="E92" s="254"/>
      <c r="F92" s="254"/>
      <c r="G92" s="254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5" customHeight="1">
      <c r="A93" s="236"/>
      <c r="B93" s="242" t="s">
        <v>9</v>
      </c>
      <c r="C93" s="242"/>
      <c r="D93" s="242"/>
      <c r="E93" s="242"/>
      <c r="F93" s="242"/>
      <c r="G93" s="242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5" customHeight="1">
      <c r="A94" s="245" t="s">
        <v>8</v>
      </c>
      <c r="B94" s="225">
        <f>B54</f>
        <v>303.98441958851021</v>
      </c>
      <c r="C94" s="226">
        <v>2.5000000000000001E-2</v>
      </c>
      <c r="D94" s="226">
        <f t="shared" ref="D94:G94" si="13">C94+0.01</f>
        <v>3.5000000000000003E-2</v>
      </c>
      <c r="E94" s="226">
        <f t="shared" si="13"/>
        <v>4.5000000000000005E-2</v>
      </c>
      <c r="F94" s="226">
        <f t="shared" si="13"/>
        <v>5.5000000000000007E-2</v>
      </c>
      <c r="G94" s="226">
        <f t="shared" si="13"/>
        <v>6.5000000000000002E-2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5" customHeight="1">
      <c r="A95" s="243"/>
      <c r="B95" s="226">
        <f>6.33%</f>
        <v>6.3299999999999995E-2</v>
      </c>
      <c r="C95" s="227">
        <f t="dataTable" ref="C95:G99" dt2D="1" dtr="1" r1="B37" r2="D33"/>
        <v>470.73823829272823</v>
      </c>
      <c r="D95" s="227">
        <v>617.60093876801807</v>
      </c>
      <c r="E95" s="227">
        <v>924.96932282286014</v>
      </c>
      <c r="F95" s="227">
        <v>1972.9844154435875</v>
      </c>
      <c r="G95" s="227">
        <v>-9308.5898168853582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5" customHeight="1">
      <c r="A96" s="243"/>
      <c r="B96" s="226">
        <f t="shared" ref="B96:B99" si="14">B95+0.01</f>
        <v>7.329999999999999E-2</v>
      </c>
      <c r="C96" s="227">
        <v>374.83028662942735</v>
      </c>
      <c r="D96" s="227">
        <v>458.49741588892994</v>
      </c>
      <c r="E96" s="227">
        <v>601.29325840603155</v>
      </c>
      <c r="F96" s="227">
        <v>900.15013099646876</v>
      </c>
      <c r="G96" s="227">
        <v>1919.1440459735013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5" customHeight="1">
      <c r="A97" s="243"/>
      <c r="B97" s="226">
        <f t="shared" si="14"/>
        <v>8.3299999999999985E-2</v>
      </c>
      <c r="C97" s="227">
        <v>311.87194110768996</v>
      </c>
      <c r="D97" s="227">
        <v>365.32865348152848</v>
      </c>
      <c r="E97" s="227">
        <v>446.70009816546548</v>
      </c>
      <c r="F97" s="227">
        <v>585.57786418080684</v>
      </c>
      <c r="G97" s="227">
        <v>876.23460944788746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5" customHeight="1">
      <c r="A98" s="243"/>
      <c r="B98" s="226">
        <f t="shared" si="14"/>
        <v>9.329999999999998E-2</v>
      </c>
      <c r="C98" s="227">
        <v>267.38870483055052</v>
      </c>
      <c r="D98" s="228">
        <v>304.16405849786685</v>
      </c>
      <c r="E98" s="227">
        <v>356.16730188249835</v>
      </c>
      <c r="F98" s="227">
        <v>435.32628593795567</v>
      </c>
      <c r="G98" s="227">
        <v>570.42801490893066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5" customHeight="1">
      <c r="A99" s="243"/>
      <c r="B99" s="226">
        <f t="shared" si="14"/>
        <v>0.10329999999999998</v>
      </c>
      <c r="C99" s="227">
        <v>234.30053955065574</v>
      </c>
      <c r="D99" s="227">
        <v>260.94462639240652</v>
      </c>
      <c r="E99" s="227">
        <v>296.72905177335127</v>
      </c>
      <c r="F99" s="227">
        <v>347.33104459982189</v>
      </c>
      <c r="G99" s="227">
        <v>424.35705456805255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5" customHeight="1">
      <c r="A103" s="10"/>
      <c r="B103" s="44"/>
      <c r="C103" s="44"/>
      <c r="D103" s="44"/>
      <c r="E103" s="44"/>
      <c r="F103" s="44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5" customHeight="1">
      <c r="A104" s="10"/>
      <c r="B104" s="44"/>
      <c r="C104" s="44"/>
      <c r="D104" s="44"/>
      <c r="E104" s="44"/>
      <c r="F104" s="44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5" customHeight="1">
      <c r="A105" s="10"/>
      <c r="B105" s="10"/>
      <c r="C105" s="82"/>
      <c r="D105" s="82"/>
      <c r="E105" s="82"/>
      <c r="F105" s="82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5" customHeight="1">
      <c r="A106" s="10"/>
      <c r="B106" s="10"/>
      <c r="C106" s="82"/>
      <c r="D106" s="82"/>
      <c r="E106" s="82"/>
      <c r="F106" s="82"/>
      <c r="G106" s="82"/>
      <c r="H106" s="82"/>
      <c r="I106" s="82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5" customHeight="1">
      <c r="A109" s="10"/>
      <c r="B109" s="10"/>
      <c r="C109" s="82"/>
      <c r="D109" s="82"/>
      <c r="E109" s="82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5" customHeight="1">
      <c r="A110" s="10"/>
      <c r="B110" s="82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5" customHeight="1">
      <c r="A112" s="10"/>
      <c r="B112" s="82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5" customHeight="1">
      <c r="A113" s="10"/>
      <c r="B113" s="44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5" customHeight="1">
      <c r="A114" s="10"/>
      <c r="B114" s="82"/>
      <c r="C114" s="82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5" customHeight="1">
      <c r="A116" s="10"/>
      <c r="B116" s="224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93:G93"/>
    <mergeCell ref="A94:A99"/>
    <mergeCell ref="A92:G92"/>
  </mergeCells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opLeftCell="A3" workbookViewId="0">
      <selection activeCell="G16" sqref="G16"/>
    </sheetView>
  </sheetViews>
  <sheetFormatPr defaultColWidth="12.6328125" defaultRowHeight="15" customHeight="1"/>
  <cols>
    <col min="1" max="1" width="8.7265625" customWidth="1"/>
    <col min="2" max="2" width="34.453125" customWidth="1"/>
    <col min="3" max="5" width="12.08984375" customWidth="1"/>
    <col min="6" max="6" width="13.90625" customWidth="1"/>
    <col min="7" max="7" width="12.08984375" customWidth="1"/>
    <col min="8" max="8" width="8.7265625" customWidth="1"/>
    <col min="9" max="9" width="11.08984375" customWidth="1"/>
    <col min="10" max="26" width="8.6328125" customWidth="1"/>
  </cols>
  <sheetData>
    <row r="1" spans="1:26" ht="13.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5" customHeight="1">
      <c r="A2" s="10"/>
      <c r="B2" s="16"/>
      <c r="C2" s="137" t="s">
        <v>260</v>
      </c>
      <c r="D2" s="137" t="s">
        <v>11</v>
      </c>
      <c r="E2" s="137" t="s">
        <v>12</v>
      </c>
      <c r="F2" s="137" t="s">
        <v>13</v>
      </c>
      <c r="G2" s="137" t="s">
        <v>14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5" customHeight="1">
      <c r="A3" s="10"/>
      <c r="B3" s="17" t="s">
        <v>312</v>
      </c>
      <c r="C3" s="15">
        <f>Forecast!J7</f>
        <v>269912</v>
      </c>
      <c r="D3" s="15">
        <f>Forecast!K7</f>
        <v>291262.0392</v>
      </c>
      <c r="E3" s="15">
        <f>Forecast!L7</f>
        <v>314300.86650071997</v>
      </c>
      <c r="F3" s="15">
        <f>Forecast!M7</f>
        <v>339162.06504092691</v>
      </c>
      <c r="G3" s="15">
        <f>'Revenue Forecast ETS'!Q5</f>
        <v>365767.8305449434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5" customHeight="1">
      <c r="A4" s="10"/>
      <c r="B4" s="17" t="s">
        <v>24</v>
      </c>
      <c r="C4" s="16"/>
      <c r="D4" s="20">
        <f t="shared" ref="D4:F4" si="0">D3/C3-1</f>
        <v>7.9099999999999948E-2</v>
      </c>
      <c r="E4" s="20">
        <f t="shared" si="0"/>
        <v>7.9099999999999948E-2</v>
      </c>
      <c r="F4" s="20">
        <f t="shared" si="0"/>
        <v>7.9099999999999948E-2</v>
      </c>
      <c r="G4" s="16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5" customHeight="1">
      <c r="A5" s="10"/>
      <c r="B5" s="17" t="s">
        <v>313</v>
      </c>
      <c r="C5" s="15">
        <f t="shared" ref="C5:F5" si="1">D3</f>
        <v>291262.0392</v>
      </c>
      <c r="D5" s="15">
        <f t="shared" si="1"/>
        <v>314300.86650071997</v>
      </c>
      <c r="E5" s="15">
        <f t="shared" si="1"/>
        <v>339162.06504092691</v>
      </c>
      <c r="F5" s="15">
        <f t="shared" si="1"/>
        <v>365767.8305449434</v>
      </c>
      <c r="G5" s="16"/>
      <c r="H5" s="10"/>
      <c r="I5" s="163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5" customHeight="1">
      <c r="A6" s="10" t="s">
        <v>314</v>
      </c>
      <c r="B6" s="17" t="s">
        <v>315</v>
      </c>
      <c r="C6" s="162">
        <f t="shared" ref="C6:F6" si="2">D3-C3</f>
        <v>21350.039199999999</v>
      </c>
      <c r="D6" s="162">
        <f t="shared" si="2"/>
        <v>23038.827300719975</v>
      </c>
      <c r="E6" s="162">
        <f t="shared" si="2"/>
        <v>24861.19854020694</v>
      </c>
      <c r="F6" s="162">
        <f t="shared" si="2"/>
        <v>26605.765504016483</v>
      </c>
      <c r="G6" s="162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3.5" customHeight="1">
      <c r="A7" s="10"/>
      <c r="B7" s="17" t="s">
        <v>316</v>
      </c>
      <c r="C7" s="15">
        <f>Forecast!J41</f>
        <v>77099</v>
      </c>
      <c r="D7" s="15">
        <f>Forecast!K41</f>
        <v>86246.205091181677</v>
      </c>
      <c r="E7" s="15">
        <f>Forecast!L41</f>
        <v>96074.491436234617</v>
      </c>
      <c r="F7" s="15">
        <f>Forecast!M41</f>
        <v>104513.53904750128</v>
      </c>
      <c r="G7" s="16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5" customHeight="1">
      <c r="A8" s="10"/>
      <c r="B8" s="17" t="s">
        <v>317</v>
      </c>
      <c r="C8" s="15">
        <f>SUM(Forecast!J44:J47)</f>
        <v>30519</v>
      </c>
      <c r="D8" s="15">
        <f>SUM(Forecast!K44:K47)</f>
        <v>32956.644044586414</v>
      </c>
      <c r="E8" s="15">
        <f>SUM(Forecast!L44:L47)</f>
        <v>35620.427866806902</v>
      </c>
      <c r="F8" s="15">
        <f>SUM(Forecast!M44:M47)</f>
        <v>38499.913975199204</v>
      </c>
      <c r="G8" s="16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5" customHeight="1">
      <c r="A9" s="10"/>
      <c r="B9" s="17" t="s">
        <v>318</v>
      </c>
      <c r="C9" s="156">
        <f t="shared" ref="C9:F9" si="3">C7/C3</f>
        <v>0.28564495094697528</v>
      </c>
      <c r="D9" s="156">
        <f t="shared" si="3"/>
        <v>0.29611206914595301</v>
      </c>
      <c r="E9" s="156">
        <f t="shared" si="3"/>
        <v>0.30567682649393696</v>
      </c>
      <c r="F9" s="156">
        <f t="shared" si="3"/>
        <v>0.3081522075143916</v>
      </c>
      <c r="G9" s="16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5" customHeight="1">
      <c r="A10" s="10"/>
      <c r="B10" s="17" t="s">
        <v>319</v>
      </c>
      <c r="C10" s="156">
        <f t="shared" ref="C10:F10" si="4">C8/C3</f>
        <v>0.11307018583834731</v>
      </c>
      <c r="D10" s="156">
        <f t="shared" si="4"/>
        <v>0.11315118212832458</v>
      </c>
      <c r="E10" s="156">
        <f t="shared" si="4"/>
        <v>0.11333226110188056</v>
      </c>
      <c r="F10" s="156">
        <f t="shared" si="4"/>
        <v>0.11351479998375819</v>
      </c>
      <c r="G10" s="16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5" customHeight="1">
      <c r="A11" s="10"/>
      <c r="B11" s="17" t="s">
        <v>320</v>
      </c>
      <c r="C11" s="122">
        <f>Forecast!J22/Forecast!J9</f>
        <v>2.9425763438516175E-2</v>
      </c>
      <c r="D11" s="122">
        <f>Forecast!K22/Forecast!K9</f>
        <v>2.7545143374511871E-2</v>
      </c>
      <c r="E11" s="122">
        <f>Forecast!L22/Forecast!L9</f>
        <v>2.7536880908654568E-2</v>
      </c>
      <c r="F11" s="122">
        <f>Forecast!M22/Forecast!M9</f>
        <v>2.7521701973653175E-2</v>
      </c>
      <c r="G11" s="16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 customHeight="1">
      <c r="A12" s="10"/>
      <c r="B12" s="17" t="s">
        <v>321</v>
      </c>
      <c r="C12" s="122">
        <f>-'Cash flow forecast'!F30/Forecast!J22</f>
        <v>0.26953944931473023</v>
      </c>
      <c r="D12" s="122">
        <f>-'Cash flow forecast'!G30/Forecast!K22</f>
        <v>0.26953944931473023</v>
      </c>
      <c r="E12" s="122">
        <f>-'Cash flow forecast'!H30/Forecast!L22</f>
        <v>0.26953944931473023</v>
      </c>
      <c r="F12" s="122">
        <f>-'Cash flow forecast'!I30/Forecast!M22</f>
        <v>0.26953944931473023</v>
      </c>
      <c r="G12" s="16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3.5" customHeight="1">
      <c r="A15" s="10"/>
      <c r="B15" s="17" t="s">
        <v>322</v>
      </c>
      <c r="C15" s="162"/>
      <c r="D15" s="162">
        <f t="shared" ref="D15:F15" si="5">D9*D6-D10*D6-D11*D5*(1-D12)</f>
        <v>-2108.7304957312026</v>
      </c>
      <c r="E15" s="162">
        <f t="shared" si="5"/>
        <v>-2040.1946062941324</v>
      </c>
      <c r="F15" s="162">
        <f t="shared" si="5"/>
        <v>-2174.7427882953589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3.5" customHeight="1">
      <c r="A16" s="10"/>
      <c r="B16" s="16"/>
      <c r="C16" s="16"/>
      <c r="D16" s="164" t="str">
        <f t="shared" ref="D16:F16" si="6">IF(D15&lt;0,"Surplus", "Deficit")</f>
        <v>Surplus</v>
      </c>
      <c r="E16" s="164" t="str">
        <f t="shared" si="6"/>
        <v>Surplus</v>
      </c>
      <c r="F16" s="164" t="str">
        <f t="shared" si="6"/>
        <v>Surplus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.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5" customHeight="1">
      <c r="A20" s="10"/>
      <c r="B20" s="22" t="s">
        <v>323</v>
      </c>
      <c r="C20" s="255" t="s">
        <v>324</v>
      </c>
      <c r="D20" s="241"/>
      <c r="E20" s="241"/>
      <c r="F20" s="165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5" customHeight="1">
      <c r="A21" s="10"/>
      <c r="B21" s="165"/>
      <c r="C21" s="165"/>
      <c r="D21" s="165"/>
      <c r="E21" s="165"/>
      <c r="F21" s="165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5" customHeight="1">
      <c r="A22" s="10"/>
      <c r="B22" s="256" t="s">
        <v>325</v>
      </c>
      <c r="C22" s="241"/>
      <c r="D22" s="241"/>
      <c r="E22" s="165"/>
      <c r="F22" s="165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3.5" customHeight="1">
      <c r="A23" s="10"/>
      <c r="B23" s="22" t="s">
        <v>326</v>
      </c>
      <c r="C23" s="165"/>
      <c r="D23" s="166">
        <f>-D15/('Valuation DCF '!$B$26/10^6)</f>
        <v>4.750784003720014</v>
      </c>
      <c r="E23" s="166">
        <f>-E15/('Valuation DCF '!$B$26/10^6)</f>
        <v>4.5963786836103644</v>
      </c>
      <c r="F23" s="166">
        <f>-F15/('Valuation DCF '!$B$26/10^6)</f>
        <v>4.8995038824326018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3.5" customHeight="1">
      <c r="A24" s="10"/>
      <c r="B24" s="165"/>
      <c r="C24" s="165"/>
      <c r="D24" s="165"/>
      <c r="E24" s="165"/>
      <c r="F24" s="16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3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">
    <mergeCell ref="C20:E20"/>
    <mergeCell ref="B22:D22"/>
  </mergeCells>
  <conditionalFormatting sqref="D15:F15">
    <cfRule type="cellIs" dxfId="1" priority="1" operator="greaterThan">
      <formula>0</formula>
    </cfRule>
  </conditionalFormatting>
  <conditionalFormatting sqref="D16:F16">
    <cfRule type="cellIs" dxfId="0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2.6328125" defaultRowHeight="15" customHeight="1"/>
  <cols>
    <col min="1" max="1" width="52.26953125" customWidth="1"/>
    <col min="2" max="4" width="10.36328125" customWidth="1"/>
    <col min="5" max="5" width="10.90625" customWidth="1"/>
    <col min="6" max="6" width="10.36328125" customWidth="1"/>
    <col min="7" max="7" width="11.08984375" customWidth="1"/>
    <col min="8" max="9" width="10.36328125" customWidth="1"/>
    <col min="10" max="10" width="8.7265625" customWidth="1"/>
    <col min="11" max="11" width="14.453125" customWidth="1"/>
    <col min="12" max="12" width="36.90625" customWidth="1"/>
    <col min="13" max="13" width="13.453125" customWidth="1"/>
    <col min="14" max="15" width="8.7265625" customWidth="1"/>
    <col min="16" max="26" width="8.6328125" customWidth="1"/>
  </cols>
  <sheetData>
    <row r="1" spans="1:26" ht="13.5" customHeight="1">
      <c r="A1" s="10" t="s">
        <v>327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5" customHeight="1">
      <c r="A3" s="167" t="s">
        <v>328</v>
      </c>
      <c r="B3" s="168">
        <v>2021</v>
      </c>
      <c r="C3" s="168">
        <v>2022</v>
      </c>
      <c r="D3" s="168">
        <v>2023</v>
      </c>
      <c r="E3" s="168">
        <v>2024</v>
      </c>
      <c r="F3" s="168">
        <v>2025</v>
      </c>
      <c r="G3" s="168" t="s">
        <v>11</v>
      </c>
      <c r="H3" s="168" t="s">
        <v>12</v>
      </c>
      <c r="I3" s="168" t="s">
        <v>13</v>
      </c>
      <c r="J3" s="169"/>
      <c r="K3" s="170" t="s">
        <v>37</v>
      </c>
      <c r="L3" s="37" t="s">
        <v>329</v>
      </c>
      <c r="M3" s="37"/>
      <c r="N3" s="37"/>
      <c r="O3" s="3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5" customHeight="1">
      <c r="A4" s="171" t="s">
        <v>330</v>
      </c>
      <c r="B4" s="44">
        <f>VLOOKUP($A$4,CASH_FLOW!$B$20:$L$56,11,FALSE)</f>
        <v>5079</v>
      </c>
      <c r="C4" s="44">
        <f>VLOOKUP($A4,CASH_FLOW!$B$20:$L$56,9,FALSE)</f>
        <v>5915</v>
      </c>
      <c r="D4" s="44">
        <f>VLOOKUP($A4,CASH_FLOW!$B$20:$L$56,7,FALSE)</f>
        <v>6292</v>
      </c>
      <c r="E4" s="44">
        <f>VLOOKUP($A4,CASH_FLOW!$B$20:$L$56,5,FALSE)</f>
        <v>7367</v>
      </c>
      <c r="F4" s="44">
        <f>VLOOKUP($A4,CASH_FLOW!$B$20:$L$56,3,FALSE)</f>
        <v>8099</v>
      </c>
      <c r="G4" s="44">
        <f>Forecast!K22</f>
        <v>8182.3509091796495</v>
      </c>
      <c r="H4" s="44">
        <f>Forecast!L22</f>
        <v>8828.3135403209471</v>
      </c>
      <c r="I4" s="44">
        <f>Forecast!M22</f>
        <v>9522.8900173313141</v>
      </c>
      <c r="J4" s="10"/>
      <c r="K4" s="172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5" customHeight="1">
      <c r="A5" s="171" t="s">
        <v>331</v>
      </c>
      <c r="B5" s="44"/>
      <c r="C5" s="44"/>
      <c r="D5" s="44"/>
      <c r="E5" s="44"/>
      <c r="F5" s="44"/>
      <c r="G5" s="44"/>
      <c r="H5" s="44"/>
      <c r="I5" s="44"/>
      <c r="J5" s="10"/>
      <c r="K5" s="172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5" customHeight="1">
      <c r="A6" s="171"/>
      <c r="B6" s="44"/>
      <c r="C6" s="44"/>
      <c r="D6" s="44"/>
      <c r="E6" s="44"/>
      <c r="F6" s="44"/>
      <c r="G6" s="44"/>
      <c r="H6" s="44"/>
      <c r="I6" s="44"/>
      <c r="J6" s="10"/>
      <c r="K6" s="172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3.5" customHeight="1">
      <c r="A7" s="171" t="s">
        <v>332</v>
      </c>
      <c r="B7" s="44">
        <f>VLOOKUP(A7,CASH_FLOW!$B$20:$L$56,11,FALSE)</f>
        <v>1781</v>
      </c>
      <c r="C7" s="44">
        <f>VLOOKUP($A7,CASH_FLOW!$B$20:$L$56,9,FALSE)</f>
        <v>1900</v>
      </c>
      <c r="D7" s="44">
        <f>VLOOKUP($A7,CASH_FLOW!$B$20:$L$56,7,FALSE)</f>
        <v>2077</v>
      </c>
      <c r="E7" s="44">
        <f>VLOOKUP($A7,CASH_FLOW!$B$20:$L$56,5,FALSE)</f>
        <v>2237</v>
      </c>
      <c r="F7" s="44">
        <f>VLOOKUP($A7,CASH_FLOW!$B$20:$L$56,3,FALSE)</f>
        <v>2426</v>
      </c>
      <c r="G7" s="44">
        <f>-Forecast!K138</f>
        <v>2690.3454218670231</v>
      </c>
      <c r="H7" s="44">
        <f>-Forecast!L138</f>
        <v>2998.7955458766974</v>
      </c>
      <c r="I7" s="44">
        <f>-Forecast!M138</f>
        <v>3331.6965983276737</v>
      </c>
      <c r="J7" s="10"/>
      <c r="K7" s="172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5" customHeight="1">
      <c r="A8" s="171" t="s">
        <v>333</v>
      </c>
      <c r="B8" s="44">
        <f>VLOOKUP(A8,CASH_FLOW!$B$20:$L$56,11,FALSE)</f>
        <v>286</v>
      </c>
      <c r="C8" s="44">
        <f>VLOOKUP($A8,CASH_FLOW!$B$20:$L$56,9,FALSE)</f>
        <v>377</v>
      </c>
      <c r="D8" s="44">
        <f>VLOOKUP($A8,CASH_FLOW!$B$20:$L$56,7,FALSE)</f>
        <v>412</v>
      </c>
      <c r="E8" s="44">
        <f>VLOOKUP($A8,CASH_FLOW!$B$20:$L$56,5,FALSE)</f>
        <v>315</v>
      </c>
      <c r="F8" s="44">
        <f>VLOOKUP($A8,CASH_FLOW!$B$20:$L$56,3,FALSE)</f>
        <v>303</v>
      </c>
      <c r="G8" s="44">
        <f>$K$8*Forecast!K39</f>
        <v>303</v>
      </c>
      <c r="H8" s="44">
        <f>$K$8*Forecast!L39</f>
        <v>303</v>
      </c>
      <c r="I8" s="44">
        <f>$K$8*Forecast!M39</f>
        <v>303</v>
      </c>
      <c r="J8" s="10"/>
      <c r="K8" s="173">
        <f>303/2725</f>
        <v>0.11119266055045872</v>
      </c>
      <c r="L8" s="10" t="s">
        <v>334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5" customHeight="1">
      <c r="A9" s="171" t="s">
        <v>335</v>
      </c>
      <c r="B9" s="44">
        <f>VLOOKUP(A9,CASH_FLOW!$B$20:$L$56,11,FALSE)</f>
        <v>665</v>
      </c>
      <c r="C9" s="44">
        <f>VLOOKUP($A9,CASH_FLOW!$B$20:$L$56,9,FALSE)</f>
        <v>724</v>
      </c>
      <c r="D9" s="44">
        <f>VLOOKUP($A9,CASH_FLOW!$B$20:$L$56,7,FALSE)</f>
        <v>774</v>
      </c>
      <c r="E9" s="44">
        <f>VLOOKUP($A9,CASH_FLOW!$B$20:$L$56,5,FALSE)</f>
        <v>818</v>
      </c>
      <c r="F9" s="44">
        <f>VLOOKUP($A9,CASH_FLOW!$B$20:$L$56,3,FALSE)</f>
        <v>860</v>
      </c>
      <c r="G9" s="44">
        <f>$K$9*(Forecast!K13)</f>
        <v>923.42327746372371</v>
      </c>
      <c r="H9" s="44">
        <f>$K$9*(Forecast!L13)</f>
        <v>996.62265898875319</v>
      </c>
      <c r="I9" s="44">
        <f>$K$9*(Forecast!M13)</f>
        <v>1075.6258610967905</v>
      </c>
      <c r="J9" s="10"/>
      <c r="K9" s="174">
        <f>F9/(Forecast!J13)</f>
        <v>3.4446847712889528E-2</v>
      </c>
      <c r="L9" s="10" t="s">
        <v>336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5" customHeight="1">
      <c r="A10" s="171" t="s">
        <v>337</v>
      </c>
      <c r="B10" s="44"/>
      <c r="C10" s="44"/>
      <c r="D10" s="44"/>
      <c r="E10" s="44"/>
      <c r="F10" s="44"/>
      <c r="G10" s="44"/>
      <c r="H10" s="44"/>
      <c r="I10" s="44"/>
      <c r="J10" s="10"/>
      <c r="K10" s="172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5" customHeight="1">
      <c r="A11" s="171" t="s">
        <v>338</v>
      </c>
      <c r="B11" s="44">
        <f>VLOOKUP(A11,CASH_FLOW!$B$20:$L$56,11,FALSE)</f>
        <v>144</v>
      </c>
      <c r="C11" s="44">
        <f>VLOOKUP($A11,CASH_FLOW!$B$20:$L$56,9,FALSE)</f>
        <v>39</v>
      </c>
      <c r="D11" s="44">
        <f>VLOOKUP($A11,CASH_FLOW!$B$20:$L$56,7,FALSE)</f>
        <v>495</v>
      </c>
      <c r="E11" s="44">
        <f>VLOOKUP($A11,CASH_FLOW!$B$20:$L$56,5,FALSE)</f>
        <v>-9</v>
      </c>
      <c r="F11" s="44">
        <f>VLOOKUP($A11,CASH_FLOW!$B$20:$L$56,3,FALSE)</f>
        <v>-117</v>
      </c>
      <c r="G11" s="44">
        <v>0</v>
      </c>
      <c r="H11" s="44">
        <v>0</v>
      </c>
      <c r="I11" s="44">
        <v>0</v>
      </c>
      <c r="J11" s="10"/>
      <c r="K11" s="172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 customHeight="1">
      <c r="A12" s="171" t="s">
        <v>339</v>
      </c>
      <c r="B12" s="44"/>
      <c r="C12" s="44"/>
      <c r="D12" s="44"/>
      <c r="E12" s="44"/>
      <c r="F12" s="44"/>
      <c r="G12" s="44"/>
      <c r="H12" s="44"/>
      <c r="I12" s="44"/>
      <c r="J12" s="10"/>
      <c r="K12" s="172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5" customHeight="1">
      <c r="A13" s="171" t="s">
        <v>70</v>
      </c>
      <c r="B13" s="44">
        <f>VLOOKUP(A13,CASH_FLOW!$B$20:$L$56,11,FALSE)</f>
        <v>-1892</v>
      </c>
      <c r="C13" s="44">
        <f>VLOOKUP($A13,CASH_FLOW!$B$20:$L$56,9,FALSE)</f>
        <v>-4003</v>
      </c>
      <c r="D13" s="44">
        <f>VLOOKUP($A13,CASH_FLOW!$B$20:$L$56,7,FALSE)</f>
        <v>1228</v>
      </c>
      <c r="E13" s="44">
        <f>VLOOKUP($A13,CASH_FLOW!$B$20:$L$56,5,FALSE)</f>
        <v>-2068</v>
      </c>
      <c r="F13" s="44">
        <f>VLOOKUP($A13,CASH_FLOW!$B$20:$L$56,3,FALSE)</f>
        <v>559</v>
      </c>
      <c r="G13" s="44">
        <f>Forecast!J34-Forecast!K34</f>
        <v>-1436.0237362166918</v>
      </c>
      <c r="H13" s="44">
        <f>Forecast!K34-Forecast!L34</f>
        <v>-1549.8808401112474</v>
      </c>
      <c r="I13" s="44">
        <f>Forecast!L34-Forecast!M34</f>
        <v>-1672.7675385182702</v>
      </c>
      <c r="J13" s="10"/>
      <c r="K13" s="172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5" customHeight="1">
      <c r="A14" s="171" t="s">
        <v>82</v>
      </c>
      <c r="B14" s="44">
        <f>VLOOKUP(A14,CASH_FLOW!$B$20:$L$56,11,FALSE)</f>
        <v>1838</v>
      </c>
      <c r="C14" s="44">
        <f>VLOOKUP($A14,CASH_FLOW!$B$20:$L$56,9,FALSE)</f>
        <v>1891</v>
      </c>
      <c r="D14" s="44">
        <f>VLOOKUP($A14,CASH_FLOW!$B$20:$L$56,7,FALSE)</f>
        <v>-382</v>
      </c>
      <c r="E14" s="44">
        <f>VLOOKUP($A14,CASH_FLOW!$B$20:$L$56,5,FALSE)</f>
        <v>1938</v>
      </c>
      <c r="F14" s="44">
        <f>VLOOKUP($A14,CASH_FLOW!$B$20:$L$56,3,FALSE)</f>
        <v>404</v>
      </c>
      <c r="G14" s="44">
        <f>Forecast!K44-Forecast!J44</f>
        <v>1568.1639199367819</v>
      </c>
      <c r="H14" s="44">
        <f>Forecast!L44-Forecast!K44</f>
        <v>1692.497938834229</v>
      </c>
      <c r="I14" s="44">
        <f>Forecast!M44-Forecast!L44</f>
        <v>1826.692438424976</v>
      </c>
      <c r="J14" s="10"/>
      <c r="K14" s="172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3.5" customHeight="1">
      <c r="A15" s="171" t="s">
        <v>340</v>
      </c>
      <c r="B15" s="44">
        <f>VLOOKUP(A15,CASH_FLOW!$B$20:$L$56,11,FALSE)</f>
        <v>1057</v>
      </c>
      <c r="C15" s="44">
        <f>VLOOKUP($A15,CASH_FLOW!$B$20:$L$56,9,FALSE)</f>
        <v>549</v>
      </c>
      <c r="D15" s="44">
        <f>VLOOKUP($A15,CASH_FLOW!$B$20:$L$56,7,FALSE)</f>
        <v>172</v>
      </c>
      <c r="E15" s="44">
        <f>VLOOKUP($A15,CASH_FLOW!$B$20:$L$56,5,FALSE)</f>
        <v>741</v>
      </c>
      <c r="F15" s="44">
        <f>VLOOKUP($A15,CASH_FLOW!$B$20:$L$56,3,FALSE)</f>
        <v>801</v>
      </c>
      <c r="G15" s="44">
        <f>(Forecast!I33-Forecast!J33)+(Forecast!I39-Forecast!J39)+(Forecast!J45-Forecast!I45)+(Forecast!J46-Forecast!I46)+(Forecast!J47-Forecast!I47)+(Forecast!J48-Forecast!I48)</f>
        <v>692</v>
      </c>
      <c r="H15" s="44">
        <f>(Forecast!J33-Forecast!K33)+(Forecast!J39-Forecast!K39)+(Forecast!K45-Forecast!J45)+(Forecast!K46-Forecast!J46)+(Forecast!K47-Forecast!J47)+(Forecast!K48-Forecast!J48)+1000</f>
        <v>2137.8824414320165</v>
      </c>
      <c r="I15" s="44">
        <f>(Forecast!K33-Forecast!L33)+(Forecast!K39-Forecast!L39)+(Forecast!L45-Forecast!K45)+(Forecast!L46-Forecast!K46)+(Forecast!L47-Forecast!K47)+(Forecast!L48-Forecast!K48)</f>
        <v>1260.9688445596198</v>
      </c>
      <c r="J15" s="10"/>
      <c r="K15" s="172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3.5" customHeight="1">
      <c r="A16" s="175" t="s">
        <v>341</v>
      </c>
      <c r="B16" s="176">
        <f>VLOOKUP(A16,CASH_FLOW!$B$20:$L$56,11,FALSE)</f>
        <v>8958</v>
      </c>
      <c r="C16" s="176">
        <f>VLOOKUP($A16,CASH_FLOW!$B$20:$L$56,9,FALSE)</f>
        <v>7392</v>
      </c>
      <c r="D16" s="176">
        <f>VLOOKUP($A16,CASH_FLOW!$B$20:$L$56,7,FALSE)</f>
        <v>11068</v>
      </c>
      <c r="E16" s="176">
        <f>VLOOKUP($A16,CASH_FLOW!$B$20:$L$56,5,FALSE)</f>
        <v>11339</v>
      </c>
      <c r="F16" s="176">
        <f>VLOOKUP($A16,CASH_FLOW!$B$20:$L$56,3,FALSE)</f>
        <v>13335</v>
      </c>
      <c r="G16" s="176">
        <f t="shared" ref="G16:I16" si="0">SUM(G7:G15)+G4</f>
        <v>12923.259792230487</v>
      </c>
      <c r="H16" s="176">
        <f t="shared" si="0"/>
        <v>15407.231285341395</v>
      </c>
      <c r="I16" s="176">
        <f t="shared" si="0"/>
        <v>15648.106221222104</v>
      </c>
      <c r="J16" s="10"/>
      <c r="K16" s="172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5" customHeight="1">
      <c r="A17" s="177" t="s">
        <v>342</v>
      </c>
      <c r="B17" s="44"/>
      <c r="C17" s="44"/>
      <c r="D17" s="44"/>
      <c r="E17" s="44"/>
      <c r="F17" s="44"/>
      <c r="G17" s="44"/>
      <c r="H17" s="44"/>
      <c r="I17" s="44"/>
      <c r="J17" s="10"/>
      <c r="K17" s="172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5" customHeight="1">
      <c r="A18" s="171" t="s">
        <v>343</v>
      </c>
      <c r="B18" s="44">
        <f>VLOOKUP(A18,CASH_FLOW!$B$20:$L$56,11,FALSE)</f>
        <v>-3588</v>
      </c>
      <c r="C18" s="44">
        <f>VLOOKUP($A18,CASH_FLOW!$B$20:$L$56,9,FALSE)</f>
        <v>-3891</v>
      </c>
      <c r="D18" s="44">
        <f>VLOOKUP($A18,CASH_FLOW!$B$20:$L$56,7,FALSE)</f>
        <v>-4323</v>
      </c>
      <c r="E18" s="44">
        <f>VLOOKUP($A18,CASH_FLOW!$B$20:$L$56,5,FALSE)</f>
        <v>-4710</v>
      </c>
      <c r="F18" s="44">
        <f>VLOOKUP($A18,CASH_FLOW!$B$20:$L$56,3,FALSE)</f>
        <v>-5498</v>
      </c>
      <c r="G18" s="44">
        <f>-Forecast!K137</f>
        <v>-5933.8168746809097</v>
      </c>
      <c r="H18" s="44">
        <f>-Forecast!L137</f>
        <v>-6404.1880857060614</v>
      </c>
      <c r="I18" s="44">
        <f>-Forecast!M137</f>
        <v>-6911.8540123329904</v>
      </c>
      <c r="J18" s="10"/>
      <c r="K18" s="172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.5" customHeight="1">
      <c r="A19" s="171" t="s">
        <v>344</v>
      </c>
      <c r="B19" s="44">
        <f>VLOOKUP(A19,CASH_FLOW!$B$20:$L$56,11,FALSE)</f>
        <v>-1331</v>
      </c>
      <c r="C19" s="44">
        <f>VLOOKUP($A19,CASH_FLOW!$B$20:$L$56,9,FALSE)</f>
        <v>-1121</v>
      </c>
      <c r="D19" s="44">
        <f>VLOOKUP($A19,CASH_FLOW!$B$20:$L$56,7,FALSE)</f>
        <v>-1622</v>
      </c>
      <c r="E19" s="44">
        <f>VLOOKUP($A19,CASH_FLOW!$B$20:$L$56,5,FALSE)</f>
        <v>-1470</v>
      </c>
      <c r="F19" s="44">
        <f>VLOOKUP($A19,CASH_FLOW!$B$20:$L$56,3,FALSE)</f>
        <v>-1028</v>
      </c>
      <c r="G19" s="44">
        <f t="shared" ref="G19:H19" si="1">F19</f>
        <v>-1028</v>
      </c>
      <c r="H19" s="44">
        <f t="shared" si="1"/>
        <v>-1028</v>
      </c>
      <c r="I19" s="44">
        <f>H19-375.3</f>
        <v>-1403.3</v>
      </c>
      <c r="J19" s="10"/>
      <c r="K19" s="178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5" customHeight="1">
      <c r="A20" s="171" t="s">
        <v>345</v>
      </c>
      <c r="B20" s="44">
        <f>VLOOKUP(A20,CASH_FLOW!$B$20:$L$56,11,FALSE)</f>
        <v>1446</v>
      </c>
      <c r="C20" s="44">
        <f>VLOOKUP($A20,CASH_FLOW!$B$20:$L$56,9,FALSE)</f>
        <v>1145</v>
      </c>
      <c r="D20" s="44">
        <f>VLOOKUP($A20,CASH_FLOW!$B$20:$L$56,7,FALSE)</f>
        <v>937</v>
      </c>
      <c r="E20" s="44">
        <f>VLOOKUP($A20,CASH_FLOW!$B$20:$L$56,5,FALSE)</f>
        <v>1790</v>
      </c>
      <c r="F20" s="44">
        <f>VLOOKUP($A20,CASH_FLOW!$B$20:$L$56,3,FALSE)</f>
        <v>1141</v>
      </c>
      <c r="G20" s="44">
        <f t="shared" ref="G20:I20" si="2">F20</f>
        <v>1141</v>
      </c>
      <c r="H20" s="44">
        <f t="shared" si="2"/>
        <v>1141</v>
      </c>
      <c r="I20" s="44">
        <f t="shared" si="2"/>
        <v>1141</v>
      </c>
      <c r="J20" s="10"/>
      <c r="K20" s="172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5" customHeight="1">
      <c r="A21" s="171" t="s">
        <v>346</v>
      </c>
      <c r="B21" s="44">
        <f>VLOOKUP(A21,CASH_FLOW!$B$20:$L$56,11,FALSE)</f>
        <v>-62</v>
      </c>
      <c r="C21" s="44">
        <f>VLOOKUP($A21,CASH_FLOW!$B$20:$L$56,9,FALSE)</f>
        <v>-48</v>
      </c>
      <c r="D21" s="44">
        <f>VLOOKUP($A21,CASH_FLOW!$B$20:$L$56,7,FALSE)</f>
        <v>36</v>
      </c>
      <c r="E21" s="44">
        <f>VLOOKUP($A21,CASH_FLOW!$B$20:$L$56,5,FALSE)</f>
        <v>-19</v>
      </c>
      <c r="F21" s="44">
        <f>VLOOKUP($A21,CASH_FLOW!$B$20:$L$56,3,FALSE)</f>
        <v>74</v>
      </c>
      <c r="G21" s="44">
        <f t="shared" ref="G21:I21" si="3">F21</f>
        <v>74</v>
      </c>
      <c r="H21" s="44">
        <f t="shared" si="3"/>
        <v>74</v>
      </c>
      <c r="I21" s="44">
        <f t="shared" si="3"/>
        <v>74</v>
      </c>
      <c r="J21" s="10"/>
      <c r="K21" s="172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5" customHeight="1">
      <c r="A22" s="175" t="s">
        <v>347</v>
      </c>
      <c r="B22" s="176">
        <f>VLOOKUP(A22,CASH_FLOW!$B$20:$L$56,11,FALSE)</f>
        <v>-3535</v>
      </c>
      <c r="C22" s="176">
        <f>VLOOKUP($A22,CASH_FLOW!$B$20:$L$56,9,FALSE)</f>
        <v>-3915</v>
      </c>
      <c r="D22" s="176">
        <f>VLOOKUP($A22,CASH_FLOW!$B$20:$L$56,7,FALSE)</f>
        <v>-4972</v>
      </c>
      <c r="E22" s="176">
        <f>VLOOKUP($A22,CASH_FLOW!$B$20:$L$56,5,FALSE)</f>
        <v>-4409</v>
      </c>
      <c r="F22" s="176">
        <f>VLOOKUP($A22,CASH_FLOW!$B$20:$L$56,3,FALSE)</f>
        <v>-5311</v>
      </c>
      <c r="G22" s="176">
        <f t="shared" ref="G22:I22" si="4">SUM(G18:G21)</f>
        <v>-5746.8168746809097</v>
      </c>
      <c r="H22" s="176">
        <f t="shared" si="4"/>
        <v>-6217.1880857060614</v>
      </c>
      <c r="I22" s="176">
        <f t="shared" si="4"/>
        <v>-7100.1540123329905</v>
      </c>
      <c r="J22" s="10"/>
      <c r="K22" s="172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3.5" customHeight="1">
      <c r="A23" s="177" t="s">
        <v>348</v>
      </c>
      <c r="B23" s="44"/>
      <c r="C23" s="44"/>
      <c r="D23" s="44"/>
      <c r="E23" s="44"/>
      <c r="F23" s="44"/>
      <c r="G23" s="44"/>
      <c r="H23" s="44"/>
      <c r="I23" s="44"/>
      <c r="J23" s="10"/>
      <c r="K23" s="172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3.5" customHeight="1">
      <c r="A24" s="171" t="s">
        <v>349</v>
      </c>
      <c r="B24" s="44">
        <f>VLOOKUP(A24,CASH_FLOW!$B$20:$L$56,11,FALSE)</f>
        <v>0</v>
      </c>
      <c r="C24" s="44">
        <f>VLOOKUP($A24,CASH_FLOW!$B$20:$L$56,9,FALSE)</f>
        <v>-6</v>
      </c>
      <c r="D24" s="44">
        <f>VLOOKUP($A24,CASH_FLOW!$B$20:$L$56,7,FALSE)</f>
        <v>-935</v>
      </c>
      <c r="E24" s="44">
        <f>VLOOKUP($A24,CASH_FLOW!$B$20:$L$56,5,FALSE)</f>
        <v>-920</v>
      </c>
      <c r="F24" s="44">
        <f>VLOOKUP($A24,CASH_FLOW!$B$20:$L$56,3,FALSE)</f>
        <v>-862</v>
      </c>
      <c r="G24" s="44">
        <f>-816</f>
        <v>-816</v>
      </c>
      <c r="H24" s="44">
        <f t="shared" ref="H24:I24" si="5">-G25</f>
        <v>0</v>
      </c>
      <c r="I24" s="44">
        <f t="shared" si="5"/>
        <v>0</v>
      </c>
      <c r="J24" s="10"/>
      <c r="K24" s="179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3.5" customHeight="1">
      <c r="A25" s="171" t="s">
        <v>350</v>
      </c>
      <c r="B25" s="44">
        <f>VLOOKUP(A25,CASH_FLOW!$B$20:$L$56,11,FALSE)</f>
        <v>41</v>
      </c>
      <c r="C25" s="44">
        <f>VLOOKUP($A25,CASH_FLOW!$B$20:$L$56,9,FALSE)</f>
        <v>53</v>
      </c>
      <c r="D25" s="44">
        <f>VLOOKUP($A25,CASH_FLOW!$B$20:$L$56,7,FALSE)</f>
        <v>917</v>
      </c>
      <c r="E25" s="44">
        <f>VLOOKUP($A25,CASH_FLOW!$B$20:$L$56,5,FALSE)</f>
        <v>928</v>
      </c>
      <c r="F25" s="44">
        <f>VLOOKUP($A25,CASH_FLOW!$B$20:$L$56,3,FALSE)</f>
        <v>816</v>
      </c>
      <c r="G25" s="44">
        <v>0</v>
      </c>
      <c r="H25" s="44">
        <v>0</v>
      </c>
      <c r="I25" s="44">
        <v>0</v>
      </c>
      <c r="J25" s="10"/>
      <c r="K25" s="172"/>
      <c r="L25" s="10" t="s">
        <v>351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5" customHeight="1">
      <c r="A26" s="171" t="s">
        <v>352</v>
      </c>
      <c r="B26" s="44">
        <f>VLOOKUP(A26,CASH_FLOW!$B$20:$L$56,11,FALSE)</f>
        <v>-94</v>
      </c>
      <c r="C26" s="44">
        <f>VLOOKUP($A26,CASH_FLOW!$B$20:$L$56,9,FALSE)</f>
        <v>-800</v>
      </c>
      <c r="D26" s="44">
        <f>VLOOKUP($A26,CASH_FLOW!$B$20:$L$56,7,FALSE)</f>
        <v>-75</v>
      </c>
      <c r="E26" s="44">
        <f>VLOOKUP($A26,CASH_FLOW!$B$20:$L$56,5,FALSE)</f>
        <v>-1077</v>
      </c>
      <c r="F26" s="44">
        <f>VLOOKUP($A26,CASH_FLOW!$B$20:$L$56,3,FALSE)</f>
        <v>-103</v>
      </c>
      <c r="G26" s="44">
        <f>Forecast!K113</f>
        <v>-75</v>
      </c>
      <c r="H26" s="44">
        <f>Forecast!L113</f>
        <v>-2250</v>
      </c>
      <c r="I26" s="44">
        <f>Forecast!M113</f>
        <v>0</v>
      </c>
      <c r="J26" s="10"/>
      <c r="K26" s="180">
        <v>1962</v>
      </c>
      <c r="L26" s="10" t="s">
        <v>353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5" customHeight="1">
      <c r="A27" s="171" t="s">
        <v>354</v>
      </c>
      <c r="B27" s="44">
        <f>VLOOKUP(A27,CASH_FLOW!$B$20:$L$56,11,FALSE)</f>
        <v>0</v>
      </c>
      <c r="C27" s="44">
        <f>VLOOKUP($A27,CASH_FLOW!$B$20:$L$56,9,FALSE)</f>
        <v>0</v>
      </c>
      <c r="D27" s="44">
        <f>VLOOKUP($A27,CASH_FLOW!$B$20:$L$56,7,FALSE)</f>
        <v>0</v>
      </c>
      <c r="E27" s="44">
        <f>VLOOKUP($A27,CASH_FLOW!$B$20:$L$56,5,FALSE)</f>
        <v>498</v>
      </c>
      <c r="F27" s="44">
        <f>VLOOKUP($A27,CASH_FLOW!$B$20:$L$56,3,FALSE)</f>
        <v>0</v>
      </c>
      <c r="G27" s="44">
        <v>0</v>
      </c>
      <c r="H27" s="44">
        <v>0</v>
      </c>
      <c r="I27" s="44">
        <v>0</v>
      </c>
      <c r="J27" s="10"/>
      <c r="K27" s="172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5" customHeight="1">
      <c r="A28" s="171" t="s">
        <v>355</v>
      </c>
      <c r="B28" s="44">
        <f>VLOOKUP(A28,CASH_FLOW!$B$20:$L$56,11,FALSE)</f>
        <v>-312</v>
      </c>
      <c r="C28" s="44">
        <f>VLOOKUP($A28,CASH_FLOW!$B$20:$L$56,9,FALSE)</f>
        <v>-363</v>
      </c>
      <c r="D28" s="44">
        <f>VLOOKUP($A28,CASH_FLOW!$B$20:$L$56,7,FALSE)</f>
        <v>-303</v>
      </c>
      <c r="E28" s="44">
        <f>VLOOKUP($A28,CASH_FLOW!$B$20:$L$56,5,FALSE)</f>
        <v>-315</v>
      </c>
      <c r="F28" s="44">
        <f>VLOOKUP($A28,CASH_FLOW!$B$20:$L$56,3,FALSE)</f>
        <v>-393</v>
      </c>
      <c r="G28" s="44">
        <f t="shared" ref="G28:I28" si="6">-$K$28*G9</f>
        <v>-421.98296284098069</v>
      </c>
      <c r="H28" s="44">
        <f t="shared" si="6"/>
        <v>-455.4333778867209</v>
      </c>
      <c r="I28" s="44">
        <f t="shared" si="6"/>
        <v>-491.53600396632402</v>
      </c>
      <c r="J28" s="10"/>
      <c r="K28" s="178">
        <f>-F28/F9</f>
        <v>0.4569767441860465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5" customHeight="1">
      <c r="A29" s="171" t="s">
        <v>356</v>
      </c>
      <c r="B29" s="44">
        <f>VLOOKUP(A29,CASH_FLOW!$B$20:$L$56,11,FALSE)</f>
        <v>-496</v>
      </c>
      <c r="C29" s="44">
        <f>VLOOKUP($A29,CASH_FLOW!$B$20:$L$56,9,FALSE)</f>
        <v>-439</v>
      </c>
      <c r="D29" s="44">
        <f>VLOOKUP($A29,CASH_FLOW!$B$20:$L$56,7,FALSE)</f>
        <v>-676</v>
      </c>
      <c r="E29" s="44">
        <f>VLOOKUP($A29,CASH_FLOW!$B$20:$L$56,5,FALSE)</f>
        <v>-700</v>
      </c>
      <c r="F29" s="44">
        <f>VLOOKUP($A29,CASH_FLOW!$B$20:$L$56,3,FALSE)</f>
        <v>-903</v>
      </c>
      <c r="G29" s="44">
        <f>-1558.5</f>
        <v>-1558.5</v>
      </c>
      <c r="H29" s="44">
        <f>0</f>
        <v>0</v>
      </c>
      <c r="I29" s="44">
        <f>-(K26-1559)</f>
        <v>-403</v>
      </c>
      <c r="J29" s="10"/>
      <c r="K29" s="172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5" customHeight="1">
      <c r="A30" s="171" t="s">
        <v>357</v>
      </c>
      <c r="B30" s="44">
        <f>VLOOKUP(A30,CASH_FLOW!$B$20:$L$56,11,FALSE)</f>
        <v>-5748</v>
      </c>
      <c r="C30" s="44">
        <f>VLOOKUP($A30,CASH_FLOW!$B$20:$L$56,9,FALSE)</f>
        <v>-1498</v>
      </c>
      <c r="D30" s="44">
        <f>VLOOKUP($A30,CASH_FLOW!$B$20:$L$56,7,FALSE)</f>
        <v>-1251</v>
      </c>
      <c r="E30" s="44">
        <f>VLOOKUP($A30,CASH_FLOW!$B$20:$L$56,5,FALSE)</f>
        <v>-9041</v>
      </c>
      <c r="F30" s="44">
        <f>VLOOKUP($A30,CASH_FLOW!$B$20:$L$56,3,FALSE)</f>
        <v>-2183</v>
      </c>
      <c r="G30" s="44">
        <f t="shared" ref="G30:I30" si="7">$K$30*-G4</f>
        <v>-2205.4663581601649</v>
      </c>
      <c r="H30" s="44">
        <f t="shared" si="7"/>
        <v>-2379.5787700358846</v>
      </c>
      <c r="I30" s="44">
        <f t="shared" si="7"/>
        <v>-2566.7945311562244</v>
      </c>
      <c r="J30" s="10"/>
      <c r="K30" s="178">
        <f>-F30/F4</f>
        <v>0.26953944931473023</v>
      </c>
      <c r="L30" s="10" t="s">
        <v>358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5" customHeight="1">
      <c r="A31" s="171" t="s">
        <v>359</v>
      </c>
      <c r="B31" s="44">
        <v>-67</v>
      </c>
      <c r="C31" s="44">
        <v>-176</v>
      </c>
      <c r="D31" s="44">
        <v>-291</v>
      </c>
      <c r="E31" s="44">
        <v>-137</v>
      </c>
      <c r="F31" s="44">
        <v>-147</v>
      </c>
      <c r="G31" s="44">
        <f>-133</f>
        <v>-133</v>
      </c>
      <c r="H31" s="44">
        <v>-132</v>
      </c>
      <c r="I31" s="44">
        <f>-135</f>
        <v>-135</v>
      </c>
      <c r="J31" s="10"/>
      <c r="K31" s="172"/>
      <c r="L31" s="10" t="s">
        <v>360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5" customHeight="1">
      <c r="A32" s="171" t="s">
        <v>361</v>
      </c>
      <c r="B32" s="44">
        <f>VLOOKUP(A32,CASH_FLOW!$B$20:$L$56,11,FALSE)</f>
        <v>0</v>
      </c>
      <c r="C32" s="44">
        <f>VLOOKUP($A32,CASH_FLOW!$B$20:$L$56,9,FALSE)</f>
        <v>-208</v>
      </c>
      <c r="D32" s="44">
        <f>VLOOKUP($A32,CASH_FLOW!$B$20:$L$56,7,FALSE)</f>
        <v>0</v>
      </c>
      <c r="E32" s="44">
        <f>VLOOKUP($A32,CASH_FLOW!$B$20:$L$56,5,FALSE)</f>
        <v>0</v>
      </c>
      <c r="F32" s="44">
        <f>VLOOKUP($A32,CASH_FLOW!$B$20:$L$56,3,FALSE)</f>
        <v>0</v>
      </c>
      <c r="G32" s="44">
        <v>0</v>
      </c>
      <c r="H32" s="44">
        <v>0</v>
      </c>
      <c r="I32" s="44">
        <v>0</v>
      </c>
      <c r="J32" s="10"/>
      <c r="K32" s="172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5" customHeight="1">
      <c r="A33" s="171" t="s">
        <v>362</v>
      </c>
      <c r="B33" s="44">
        <f>VLOOKUP(A33,CASH_FLOW!$B$20:$L$56,11,FALSE)</f>
        <v>0</v>
      </c>
      <c r="C33" s="44">
        <f>VLOOKUP($A33,CASH_FLOW!$B$20:$L$56,9,FALSE)</f>
        <v>-842</v>
      </c>
      <c r="D33" s="44">
        <f>VLOOKUP($A33,CASH_FLOW!$B$20:$L$56,7,FALSE)</f>
        <v>0</v>
      </c>
      <c r="E33" s="44">
        <f>VLOOKUP($A33,CASH_FLOW!$B$20:$L$56,5,FALSE)</f>
        <v>0</v>
      </c>
      <c r="F33" s="44">
        <f>VLOOKUP($A33,CASH_FLOW!$B$20:$L$56,3,FALSE)</f>
        <v>0</v>
      </c>
      <c r="G33" s="44">
        <v>0</v>
      </c>
      <c r="H33" s="44">
        <v>0</v>
      </c>
      <c r="I33" s="44">
        <v>0</v>
      </c>
      <c r="J33" s="10"/>
      <c r="K33" s="172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5" customHeight="1">
      <c r="A34" s="171" t="s">
        <v>363</v>
      </c>
      <c r="B34" s="44">
        <f>VLOOKUP(A34,CASH_FLOW!$B$20:$L$56,11,FALSE)</f>
        <v>188</v>
      </c>
      <c r="C34" s="44">
        <f>VLOOKUP($A34,CASH_FLOW!$B$20:$L$56,9,FALSE)</f>
        <v>-4</v>
      </c>
      <c r="D34" s="44">
        <f>VLOOKUP($A34,CASH_FLOW!$B$20:$L$56,7,FALSE)</f>
        <v>0</v>
      </c>
      <c r="E34" s="44">
        <f>VLOOKUP($A34,CASH_FLOW!$B$20:$L$56,5,FALSE)</f>
        <v>0</v>
      </c>
      <c r="F34" s="44">
        <f>VLOOKUP($A34,CASH_FLOW!$B$20:$L$56,3,FALSE)</f>
        <v>0</v>
      </c>
      <c r="G34" s="44">
        <v>0</v>
      </c>
      <c r="H34" s="44">
        <v>0</v>
      </c>
      <c r="I34" s="44">
        <v>0</v>
      </c>
      <c r="J34" s="10"/>
      <c r="K34" s="172"/>
      <c r="L34" s="181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5" customHeight="1">
      <c r="A35" s="175" t="s">
        <v>364</v>
      </c>
      <c r="B35" s="176">
        <f>VLOOKUP(A35,CASH_FLOW!$B$20:$L$56,11,FALSE)</f>
        <v>-6488</v>
      </c>
      <c r="C35" s="176">
        <f>VLOOKUP($A35,CASH_FLOW!$B$20:$L$56,9,FALSE)</f>
        <v>-4283</v>
      </c>
      <c r="D35" s="176">
        <f>VLOOKUP($A35,CASH_FLOW!$B$20:$L$56,7,FALSE)</f>
        <v>-2614</v>
      </c>
      <c r="E35" s="176">
        <f>VLOOKUP($A35,CASH_FLOW!$B$20:$L$56,5,FALSE)</f>
        <v>-10764</v>
      </c>
      <c r="F35" s="176">
        <f>VLOOKUP($A35,CASH_FLOW!$B$20:$L$56,3,FALSE)</f>
        <v>-3775</v>
      </c>
      <c r="G35" s="176">
        <f t="shared" ref="G35:I35" si="8">SUM(G24:G34)</f>
        <v>-5209.949321001146</v>
      </c>
      <c r="H35" s="176">
        <f t="shared" si="8"/>
        <v>-5217.0121479226054</v>
      </c>
      <c r="I35" s="176">
        <f t="shared" si="8"/>
        <v>-3596.3305351225481</v>
      </c>
      <c r="J35" s="10"/>
      <c r="K35" s="172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5" customHeight="1">
      <c r="A36" s="171" t="s">
        <v>365</v>
      </c>
      <c r="B36" s="44"/>
      <c r="C36" s="44"/>
      <c r="D36" s="44"/>
      <c r="E36" s="44"/>
      <c r="F36" s="44"/>
      <c r="G36" s="44"/>
      <c r="H36" s="44"/>
      <c r="I36" s="44"/>
      <c r="J36" s="10"/>
      <c r="K36" s="172"/>
      <c r="L36" s="181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5" customHeight="1">
      <c r="A37" s="171" t="s">
        <v>366</v>
      </c>
      <c r="B37" s="44">
        <f>VLOOKUP(A37,CASH_FLOW!$B$20:$L$56,11,FALSE)</f>
        <v>46</v>
      </c>
      <c r="C37" s="44">
        <f>VLOOKUP($A37,CASH_FLOW!$B$20:$L$56,9,FALSE)</f>
        <v>-249</v>
      </c>
      <c r="D37" s="44">
        <f>VLOOKUP($A37,CASH_FLOW!$B$20:$L$56,7,FALSE)</f>
        <v>15</v>
      </c>
      <c r="E37" s="44">
        <f>VLOOKUP($A37,CASH_FLOW!$B$20:$L$56,5,FALSE)</f>
        <v>40</v>
      </c>
      <c r="F37" s="44">
        <f>VLOOKUP($A37,CASH_FLOW!$B$20:$L$56,3,FALSE)</f>
        <v>6</v>
      </c>
      <c r="G37" s="44">
        <v>6</v>
      </c>
      <c r="H37" s="44">
        <v>6</v>
      </c>
      <c r="I37" s="44">
        <v>6</v>
      </c>
      <c r="J37" s="10"/>
      <c r="K37" s="172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5" customHeight="1">
      <c r="A38" s="177" t="s">
        <v>367</v>
      </c>
      <c r="B38" s="44">
        <f t="shared" ref="B38:I38" si="9">SUM(B35,B22,B16)+B37</f>
        <v>-1019</v>
      </c>
      <c r="C38" s="44">
        <f t="shared" si="9"/>
        <v>-1055</v>
      </c>
      <c r="D38" s="44">
        <f t="shared" si="9"/>
        <v>3497</v>
      </c>
      <c r="E38" s="44">
        <f t="shared" si="9"/>
        <v>-3794</v>
      </c>
      <c r="F38" s="44">
        <f t="shared" si="9"/>
        <v>4255</v>
      </c>
      <c r="G38" s="44">
        <f t="shared" si="9"/>
        <v>1972.493596548431</v>
      </c>
      <c r="H38" s="44">
        <f t="shared" si="9"/>
        <v>3979.0310517127273</v>
      </c>
      <c r="I38" s="44">
        <f t="shared" si="9"/>
        <v>4957.6216737665654</v>
      </c>
      <c r="J38" s="10"/>
      <c r="K38" s="172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5" customHeight="1">
      <c r="A39" s="171" t="s">
        <v>368</v>
      </c>
      <c r="B39" s="44">
        <f>VLOOKUP(A39,CASH_FLOW!$B$20:$L$56,11,FALSE)</f>
        <v>12277</v>
      </c>
      <c r="C39" s="44">
        <f t="shared" ref="C39:I39" si="10">B40</f>
        <v>11258</v>
      </c>
      <c r="D39" s="44">
        <f t="shared" si="10"/>
        <v>10203</v>
      </c>
      <c r="E39" s="44">
        <f t="shared" si="10"/>
        <v>13700</v>
      </c>
      <c r="F39" s="44">
        <f t="shared" si="10"/>
        <v>9906</v>
      </c>
      <c r="G39" s="44">
        <f t="shared" si="10"/>
        <v>14161</v>
      </c>
      <c r="H39" s="44">
        <f t="shared" si="10"/>
        <v>16133.493596548431</v>
      </c>
      <c r="I39" s="44">
        <f t="shared" si="10"/>
        <v>20112.524648261158</v>
      </c>
      <c r="J39" s="10"/>
      <c r="K39" s="172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5" customHeight="1">
      <c r="A40" s="182" t="s">
        <v>369</v>
      </c>
      <c r="B40" s="183">
        <f t="shared" ref="B40:I40" si="11">B38+B39</f>
        <v>11258</v>
      </c>
      <c r="C40" s="183">
        <f t="shared" si="11"/>
        <v>10203</v>
      </c>
      <c r="D40" s="183">
        <f t="shared" si="11"/>
        <v>13700</v>
      </c>
      <c r="E40" s="183">
        <f t="shared" si="11"/>
        <v>9906</v>
      </c>
      <c r="F40" s="183">
        <f t="shared" si="11"/>
        <v>14161</v>
      </c>
      <c r="G40" s="183">
        <f t="shared" si="11"/>
        <v>16133.493596548431</v>
      </c>
      <c r="H40" s="183">
        <f t="shared" si="11"/>
        <v>20112.524648261158</v>
      </c>
      <c r="I40" s="183">
        <f t="shared" si="11"/>
        <v>25070.146322027722</v>
      </c>
      <c r="J40" s="10"/>
      <c r="K40" s="172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5" customHeight="1">
      <c r="A41" s="184" t="s">
        <v>370</v>
      </c>
      <c r="B41" s="185"/>
      <c r="C41" s="185"/>
      <c r="D41" s="185"/>
      <c r="E41" s="185"/>
      <c r="F41" s="185"/>
      <c r="G41" s="186">
        <f>-AFN!D15</f>
        <v>2108.7304957312026</v>
      </c>
      <c r="H41" s="186">
        <f>-AFN!E15</f>
        <v>2040.1946062941324</v>
      </c>
      <c r="I41" s="186">
        <f>-AFN!F15</f>
        <v>2174.7427882953589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5" customHeight="1">
      <c r="A42" s="10"/>
      <c r="B42" s="10"/>
      <c r="C42" s="10"/>
      <c r="D42" s="10"/>
      <c r="E42" s="10"/>
      <c r="F42" s="10"/>
      <c r="G42" s="44"/>
      <c r="H42" s="44"/>
      <c r="I42" s="44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5" customHeight="1">
      <c r="A44" s="12" t="s">
        <v>371</v>
      </c>
      <c r="B44" s="10"/>
      <c r="C44" s="10"/>
      <c r="D44" s="240" t="s">
        <v>372</v>
      </c>
      <c r="E44" s="241"/>
      <c r="F44" s="241"/>
      <c r="G44" s="52">
        <f>G41/('Valuation DCF '!$B$26/10^6)</f>
        <v>4.750784003720014</v>
      </c>
      <c r="H44" s="52">
        <f>H41/('Valuation DCF '!$B$26/10^6)</f>
        <v>4.5963786836103644</v>
      </c>
      <c r="I44" s="52">
        <f>I41/('Valuation DCF '!$B$26/10^6)</f>
        <v>4.8995038824326018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5" customHeight="1">
      <c r="A45" s="187"/>
      <c r="B45" s="188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5" customHeight="1">
      <c r="A46" s="189"/>
      <c r="B46" s="188"/>
      <c r="C46" s="190"/>
      <c r="D46" s="10"/>
      <c r="E46" s="10"/>
      <c r="F46" s="10"/>
      <c r="G46" s="89"/>
      <c r="H46" s="89"/>
      <c r="I46" s="8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5" customHeight="1">
      <c r="A47" s="189"/>
      <c r="B47" s="188"/>
      <c r="C47" s="190"/>
      <c r="D47" s="10"/>
      <c r="E47" s="10"/>
      <c r="F47" s="10"/>
      <c r="G47" s="89"/>
      <c r="H47" s="89"/>
      <c r="I47" s="89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5" customHeight="1">
      <c r="A48" s="18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5" customHeight="1">
      <c r="A49" s="18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5" customHeight="1">
      <c r="A50" s="189"/>
      <c r="B50" s="10"/>
      <c r="C50" s="10"/>
      <c r="D50" s="10"/>
      <c r="E50" s="10"/>
      <c r="F50" s="10"/>
      <c r="G50" s="89"/>
      <c r="H50" s="89"/>
      <c r="I50" s="89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5" customHeight="1">
      <c r="A51" s="18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5" customHeight="1">
      <c r="A57" s="10"/>
      <c r="B57" s="10"/>
      <c r="C57" s="10"/>
      <c r="D57" s="10"/>
      <c r="E57" s="10"/>
      <c r="F57" s="10"/>
      <c r="G57" s="10"/>
      <c r="H57" s="125"/>
      <c r="I57" s="12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5" customHeight="1">
      <c r="A60" s="10" t="s">
        <v>373</v>
      </c>
      <c r="B60" s="10"/>
      <c r="C60" s="10"/>
      <c r="D60" s="10"/>
      <c r="E60" s="10"/>
      <c r="F60" s="10"/>
      <c r="G60" s="10">
        <f>BALANCE_SHEET!G68*(Forecast!K12/365)</f>
        <v>19617.812115497149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D44:F44"/>
  </mergeCells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2"/>
  <sheetViews>
    <sheetView workbookViewId="0"/>
  </sheetViews>
  <sheetFormatPr defaultColWidth="12.6328125" defaultRowHeight="15" customHeight="1"/>
  <cols>
    <col min="1" max="1" width="26.6328125" customWidth="1"/>
    <col min="2" max="2" width="13.90625" customWidth="1"/>
  </cols>
  <sheetData>
    <row r="1" spans="1:26" ht="14.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5" customHeight="1">
      <c r="A2" s="12" t="s">
        <v>374</v>
      </c>
      <c r="B2" s="12" t="s">
        <v>375</v>
      </c>
      <c r="C2" s="191">
        <v>2025</v>
      </c>
      <c r="D2" s="191">
        <v>2024</v>
      </c>
      <c r="E2" s="191">
        <v>2023</v>
      </c>
      <c r="F2" s="191">
        <v>2022</v>
      </c>
      <c r="G2" s="191">
        <v>2021</v>
      </c>
      <c r="H2" s="191" t="s">
        <v>376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>
      <c r="A3" s="10" t="s">
        <v>377</v>
      </c>
      <c r="B3" s="10" t="s">
        <v>378</v>
      </c>
      <c r="C3" s="192">
        <f>BALANCE_SHEET!D25/BALANCE_SHEET!D39</f>
        <v>1.0342783227336423</v>
      </c>
      <c r="D3" s="192">
        <f>BALANCE_SHEET!F25/BALANCE_SHEET!F39</f>
        <v>0.96565531242950597</v>
      </c>
      <c r="E3" s="192">
        <f>BALANCE_SHEET!H25/BALANCE_SHEET!H39</f>
        <v>1.0683679242473871</v>
      </c>
      <c r="F3" s="192">
        <f>BALANCE_SHEET!J25/BALANCE_SHEET!J39</f>
        <v>1.0218138633664604</v>
      </c>
      <c r="G3" s="192">
        <f>BALANCE_SHEET!L25/BALANCE_SHEET!L39</f>
        <v>1.0021738392038313</v>
      </c>
      <c r="H3" s="192">
        <f t="shared" ref="H3:H6" si="0">AVERAGE(C3:G3)</f>
        <v>1.0184578523961654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>
      <c r="A4" s="10" t="s">
        <v>379</v>
      </c>
      <c r="B4" s="10" t="s">
        <v>380</v>
      </c>
      <c r="C4" s="192">
        <f>(BALANCE_SHEET!D20+BALANCE_SHEET!D22+BALANCE_SHEET!D21)/BALANCE_SHEET!D39</f>
        <v>0.49819445941575941</v>
      </c>
      <c r="D4" s="192">
        <f>(BALANCE_SHEET!F20+BALANCE_SHEET!F22+BALANCE_SHEET!F21)/BALANCE_SHEET!F39</f>
        <v>0.39095984660500788</v>
      </c>
      <c r="E4" s="192">
        <f>(BALANCE_SHEET!H20+BALANCE_SHEET!H22+BALANCE_SHEET!H21)/BALANCE_SHEET!H39</f>
        <v>0.52166274603221863</v>
      </c>
      <c r="F4" s="192">
        <f>(BALANCE_SHEET!J20+BALANCE_SHEET!J22+BALANCE_SHEET!J21)/BALANCE_SHEET!J39</f>
        <v>0.41533845865366587</v>
      </c>
      <c r="G4" s="192">
        <f>(BALANCE_SHEET!L20+BALANCE_SHEET!L22+BALANCE_SHEET!L21)/BALANCE_SHEET!L39</f>
        <v>0.47478006861179989</v>
      </c>
      <c r="H4" s="192">
        <f t="shared" si="0"/>
        <v>0.46018711586369038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>
      <c r="A5" s="10" t="s">
        <v>381</v>
      </c>
      <c r="B5" s="10" t="s">
        <v>382</v>
      </c>
      <c r="C5" s="192">
        <f>(BALANCE_SHEET!D41+BALANCE_SHEET!D42)/BALANCE_SHEET!D30</f>
        <v>0.10600656299044087</v>
      </c>
      <c r="D5" s="192">
        <f>(BALANCE_SHEET!F41+BALANCE_SHEET!F42)/BALANCE_SHEET!F30</f>
        <v>0.11698242900717447</v>
      </c>
      <c r="E5" s="192">
        <f>(BALANCE_SHEET!H41+BALANCE_SHEET!H42)/BALANCE_SHEET!H30</f>
        <v>0.11309679102530655</v>
      </c>
      <c r="F5" s="192">
        <f>(BALANCE_SHEET!J41+BALANCE_SHEET!J42)/BALANCE_SHEET!J30</f>
        <v>0.13973132188386372</v>
      </c>
      <c r="G5" s="192">
        <f>(BALANCE_SHEET!L41+BALANCE_SHEET!L42)/BALANCE_SHEET!L30</f>
        <v>0.15748802051697375</v>
      </c>
      <c r="H5" s="192">
        <f t="shared" si="0"/>
        <v>0.12666102508475188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>
      <c r="A6" s="10" t="s">
        <v>383</v>
      </c>
      <c r="B6" s="10" t="s">
        <v>384</v>
      </c>
      <c r="C6" s="192">
        <f>INCOME_STATEMENT!D24/((BALANCE_SHEET!D23+BALANCE_SHEET!F23)/2)</f>
        <v>13.050403938742758</v>
      </c>
      <c r="D6" s="192">
        <f>INCOME_STATEMENT!F24/((BALANCE_SHEET!F23+BALANCE_SHEET!H23)/2)</f>
        <v>12.598900787580034</v>
      </c>
      <c r="E6" s="192">
        <f>INCOME_STATEMENT!H24/((BALANCE_SHEET!H23+BALANCE_SHEET!J23)/2)</f>
        <v>12.303142542971237</v>
      </c>
      <c r="F6" s="192">
        <f>INCOME_STATEMENT!J24/((BALANCE_SHEET!J23+BALANCE_SHEET!L23)/2)</f>
        <v>12.414046447917315</v>
      </c>
      <c r="G6" s="192">
        <f>INCOME_STATEMENT!L24/((BALANCE_SHEET!L23+BALANCE_SHEET!N23)/2)</f>
        <v>12.902747855010016</v>
      </c>
      <c r="H6" s="192">
        <f t="shared" si="0"/>
        <v>12.653848314444271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>
      <c r="A7" s="10" t="s">
        <v>385</v>
      </c>
      <c r="B7" s="10" t="s">
        <v>386</v>
      </c>
      <c r="C7" s="192" t="e">
        <f t="array" aca="1" ref="C7" ca="1">_xludf.XLOOKUP(C$2,INCOME_STATEMENT!$18:$18,INCOME_STATEMENT!20:20)/((_xludf.XLOOKUP(C$2,BALANCE_SHEET!$17:$17,BALANCE_SHEET!20:20)+(_xludf.XLOOKUP(C$2,BALANCE_SHEET!$17:$17,BALANCE_SHEET!$21:$21)+(_xludf.XLOOKUP(C$2,BALANCE_SHEET!$17:$17,BALANCE_SHEET!$22:$22)))))</f>
        <v>#NAME?</v>
      </c>
      <c r="D7" s="192" t="e">
        <f t="array" aca="1" ref="D7" ca="1">_xludf.XLOOKUP(D$2,INCOME_STATEMENT!$18:$18,INCOME_STATEMENT!20:20)/((_xludf.XLOOKUP(D$2,BALANCE_SHEET!$17:$17,BALANCE_SHEET!20:20)+(_xludf.XLOOKUP(D$2,BALANCE_SHEET!$17:$17,BALANCE_SHEET!$21:$21)+(_xludf.XLOOKUP(D$2,BALANCE_SHEET!$17:$17,BALANCE_SHEET!$22:$22)))))</f>
        <v>#NAME?</v>
      </c>
      <c r="E7" s="192" t="e">
        <f t="array" aca="1" ref="E7" ca="1">_xludf.XLOOKUP(E$2,INCOME_STATEMENT!$18:$18,INCOME_STATEMENT!20:20)/((_xludf.XLOOKUP(E$2,BALANCE_SHEET!$17:$17,BALANCE_SHEET!20:20)+(_xludf.XLOOKUP(E$2,BALANCE_SHEET!$17:$17,BALANCE_SHEET!$21:$21)+(_xludf.XLOOKUP(E$2,BALANCE_SHEET!$17:$17,BALANCE_SHEET!$22:$22)))))</f>
        <v>#NAME?</v>
      </c>
      <c r="F7" s="192" t="e">
        <f t="array" aca="1" ref="F7" ca="1">_xludf.XLOOKUP(F$2,INCOME_STATEMENT!$18:$18,INCOME_STATEMENT!20:20)/((_xludf.XLOOKUP(F$2,BALANCE_SHEET!$17:$17,BALANCE_SHEET!20:20)+(_xludf.XLOOKUP(F$2,BALANCE_SHEET!$17:$17,BALANCE_SHEET!$21:$21)+(_xludf.XLOOKUP(F$2,BALANCE_SHEET!$17:$17,BALANCE_SHEET!$22:$22)))))</f>
        <v>#NAME?</v>
      </c>
      <c r="G7" s="192" t="e">
        <f t="array" aca="1" ref="G7" ca="1">_xludf.XLOOKUP(G$2,INCOME_STATEMENT!$18:$18,INCOME_STATEMENT!20:20)/((_xludf.XLOOKUP(G$2,BALANCE_SHEET!$17:$17,BALANCE_SHEET!20:20)+(_xludf.XLOOKUP(G$2,BALANCE_SHEET!$17:$17,BALANCE_SHEET!$21:$21)+(_xludf.XLOOKUP(G$2,BALANCE_SHEET!$17:$17,BALANCE_SHEET!$22:$22)))))</f>
        <v>#NAME?</v>
      </c>
      <c r="H7" s="192" t="e">
        <f t="array" aca="1" ref="H7" ca="1">_xludf.XLOOKUP(H$2,INCOME_STATEMENT!$18:$18,INCOME_STATEMENT!20:20)/((_xludf.XLOOKUP(H$2,BALANCE_SHEET!$17:$17,BALANCE_SHEET!20:20)+(_xludf.XLOOKUP(H$2,BALANCE_SHEET!$17:$17,BALANCE_SHEET!$21:$21)+(_xludf.XLOOKUP(H$2,BALANCE_SHEET!$17:$17,BALANCE_SHEET!$22:$22)))))</f>
        <v>#NAME?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>
      <c r="A8" s="10" t="s">
        <v>387</v>
      </c>
      <c r="B8" s="10" t="s">
        <v>388</v>
      </c>
      <c r="C8" s="192">
        <f>INCOME_STATEMENT!D20/((BALANCE_SHEET!D27+BALANCE_SHEET!F27)/2)</f>
        <v>8.8581414811046741</v>
      </c>
      <c r="D8" s="192">
        <v>8.9600000000000009</v>
      </c>
      <c r="E8" s="192">
        <f>INCOME_STATEMENT!H20/((BALANCE_SHEET!H27+BALANCE_SHEET!J27)/2)</f>
        <v>9.2620300019481778</v>
      </c>
      <c r="F8" s="192">
        <f>INCOME_STATEMENT!J20/((BALANCE_SHEET!J27+BALANCE_SHEET!L27)/2)</f>
        <v>9.253811957289459</v>
      </c>
      <c r="G8" s="192">
        <f>INCOME_STATEMENT!L20/((BALANCE_SHEET!L27+BALANCE_SHEET!N27)/2)</f>
        <v>16.350417163289631</v>
      </c>
      <c r="H8" s="192">
        <f t="shared" ref="H8:H12" si="1">AVERAGE(C8:G8)</f>
        <v>10.536880120726389</v>
      </c>
      <c r="I8" s="9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>
      <c r="A9" s="10" t="s">
        <v>389</v>
      </c>
      <c r="B9" s="10" t="s">
        <v>390</v>
      </c>
      <c r="C9" s="192">
        <f>INCOME_STATEMENT!D20/((BALANCE_SHEET!D30+BALANCE_SHEET!F30)/2)</f>
        <v>3.6740216429592323</v>
      </c>
      <c r="D9" s="192">
        <f>INCOME_STATEMENT!F20/((BALANCE_SHEET!F30+BALANCE_SHEET!H30)/2)</f>
        <v>3.5962542769674051</v>
      </c>
      <c r="E9" s="192">
        <f>INCOME_STATEMENT!H20/((BALANCE_SHEET!H30+BALANCE_SHEET!J30)/2)</f>
        <v>3.57029137879243</v>
      </c>
      <c r="F9" s="192">
        <f>INCOME_STATEMENT!J20/((BALANCE_SHEET!J30+BALANCE_SHEET!L30)/2)</f>
        <v>3.6088922015003968</v>
      </c>
      <c r="G9" s="192">
        <f>INCOME_STATEMENT!L20/((BALANCE_SHEET!L30+BALANCE_SHEET!N30)/2)</f>
        <v>3.3451543231380199</v>
      </c>
      <c r="H9" s="192">
        <f t="shared" si="1"/>
        <v>3.5589227646714967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>
      <c r="A10" s="10" t="s">
        <v>391</v>
      </c>
      <c r="B10" s="10" t="s">
        <v>392</v>
      </c>
      <c r="C10" s="193">
        <f>(INCOME_STATEMENT!D20-INCOME_STATEMENT!D24)/INCOME_STATEMENT!D20</f>
        <v>0.11124366460179615</v>
      </c>
      <c r="D10" s="193">
        <f>(INCOME_STATEMENT!F20-INCOME_STATEMENT!F24)/INCOME_STATEMENT!F20</f>
        <v>0.10923184777165748</v>
      </c>
      <c r="E10" s="193">
        <f>(INCOME_STATEMENT!H20-INCOME_STATEMENT!H24)/INCOME_STATEMENT!H20</f>
        <v>0.1056918093475243</v>
      </c>
      <c r="F10" s="193">
        <f>(INCOME_STATEMENT!J20-INCOME_STATEMENT!J24)/INCOME_STATEMENT!J20</f>
        <v>0.10482647151259372</v>
      </c>
      <c r="G10" s="193">
        <f>(INCOME_STATEMENT!L20-INCOME_STATEMENT!L24)/INCOME_STATEMENT!L20</f>
        <v>0.11126153333472184</v>
      </c>
      <c r="H10" s="193">
        <f t="shared" si="1"/>
        <v>0.10845106531365871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>
      <c r="A11" s="10" t="s">
        <v>393</v>
      </c>
      <c r="B11" s="10" t="s">
        <v>394</v>
      </c>
      <c r="C11" s="193">
        <f>INCOME_STATEMENT!D33/INCOME_STATEMENT!D20</f>
        <v>3.0006076054417737E-2</v>
      </c>
      <c r="D11" s="193">
        <f>INCOME_STATEMENT!F33/INCOME_STATEMENT!F20</f>
        <v>2.9512268402603906E-2</v>
      </c>
      <c r="E11" s="193">
        <f>INCOME_STATEMENT!H33/INCOME_STATEMENT!H20</f>
        <v>2.6469227209625173E-2</v>
      </c>
      <c r="F11" s="193">
        <f>INCOME_STATEMENT!J33/INCOME_STATEMENT!J20</f>
        <v>2.6556817671620346E-2</v>
      </c>
      <c r="G11" s="193">
        <f>INCOME_STATEMENT!L33/INCOME_STATEMENT!L20</f>
        <v>2.6445962551808887E-2</v>
      </c>
      <c r="H11" s="193">
        <f t="shared" si="1"/>
        <v>2.7798070378015211E-2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>
      <c r="A12" s="10" t="s">
        <v>395</v>
      </c>
      <c r="B12" s="10" t="s">
        <v>396</v>
      </c>
      <c r="C12" s="193">
        <f>INCOME_STATEMENT!D33/BALANCE_SHEET!D56</f>
        <v>0.27770539020710466</v>
      </c>
      <c r="D12" s="193">
        <f>INCOME_STATEMENT!F33/BALANCE_SHEET!F56</f>
        <v>0.31187029040724751</v>
      </c>
      <c r="E12" s="193">
        <f>INCOME_STATEMENT!H33/BALANCE_SHEET!H56</f>
        <v>0.25109745390693589</v>
      </c>
      <c r="F12" s="193">
        <f>INCOME_STATEMENT!J33/BALANCE_SHEET!J56</f>
        <v>0.28648229767036371</v>
      </c>
      <c r="G12" s="193">
        <f>INCOME_STATEMENT!L33/BALANCE_SHEET!L56</f>
        <v>0.28094922004646533</v>
      </c>
      <c r="H12" s="193">
        <f t="shared" si="1"/>
        <v>0.28162093044762349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.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4.5">
      <c r="A14" s="10"/>
      <c r="B14" s="10"/>
      <c r="C14" s="191">
        <v>2025</v>
      </c>
      <c r="D14" s="191">
        <v>2024</v>
      </c>
      <c r="E14" s="191">
        <v>2023</v>
      </c>
      <c r="F14" s="191">
        <v>2022</v>
      </c>
      <c r="G14" s="191">
        <v>2021</v>
      </c>
      <c r="H14" s="191" t="s">
        <v>376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>
      <c r="A15" s="12" t="s">
        <v>397</v>
      </c>
      <c r="B15" s="10" t="s">
        <v>398</v>
      </c>
      <c r="C15" s="192">
        <f t="shared" ref="C15:G15" si="2">C16+C17-C18</f>
        <v>1.7949592220153008</v>
      </c>
      <c r="D15" s="192">
        <f t="shared" si="2"/>
        <v>2.7081092288465527</v>
      </c>
      <c r="E15" s="192">
        <f t="shared" si="2"/>
        <v>2.0800776566139447</v>
      </c>
      <c r="F15" s="192">
        <f t="shared" si="2"/>
        <v>3.7804596966085313</v>
      </c>
      <c r="G15" s="192">
        <f t="shared" si="2"/>
        <v>-0.98498194780948012</v>
      </c>
      <c r="H15" s="192">
        <f t="shared" ref="H15:H18" si="3">AVERAGE(C15:G15)</f>
        <v>1.8757247712549698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>
      <c r="A16" s="10" t="s">
        <v>399</v>
      </c>
      <c r="B16" s="10" t="s">
        <v>400</v>
      </c>
      <c r="C16" s="192">
        <f>BALANCE_SHEET!D23/(INCOME_STATEMENT!D24/365)</f>
        <v>27.564509808825861</v>
      </c>
      <c r="D16" s="192">
        <f>BALANCE_SHEET!F23/(INCOME_STATEMENT!F24/365)</f>
        <v>30.608995403808272</v>
      </c>
      <c r="E16" s="192">
        <f>BALANCE_SHEET!H23/(INCOME_STATEMENT!H24/365)</f>
        <v>28.588971051715539</v>
      </c>
      <c r="F16" s="192">
        <f>BALANCE_SHEET!J23/(INCOME_STATEMENT!J24/365)</f>
        <v>32.781570051459013</v>
      </c>
      <c r="G16" s="192">
        <f>BALANCE_SHEET!L23/(INCOME_STATEMENT!L24/365)</f>
        <v>30.398133392702302</v>
      </c>
      <c r="H16" s="192">
        <f t="shared" si="3"/>
        <v>29.9884359417022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>
      <c r="A17" s="10" t="s">
        <v>401</v>
      </c>
      <c r="B17" s="10" t="s">
        <v>402</v>
      </c>
      <c r="C17" s="192">
        <f>BALANCE_SHEET!D22/(INCOME_STATEMENT!D20/365)</f>
        <v>4.3313931948190518</v>
      </c>
      <c r="D17" s="192">
        <f>BALANCE_SHEET!F22/(INCOME_STATEMENT!F20/365)</f>
        <v>3.9786279419128689</v>
      </c>
      <c r="E17" s="192">
        <f>BALANCE_SHEET!H22/(INCOME_STATEMENT!H20/365)</f>
        <v>3.5085818854907243</v>
      </c>
      <c r="F17" s="192">
        <f>BALANCE_SHEET!J22/(INCOME_STATEMENT!J20/365)</f>
        <v>3.6724509495802091</v>
      </c>
      <c r="G17" s="192">
        <f>BALANCE_SHEET!L22/(INCOME_STATEMENT!L20/365)</f>
        <v>3.4266500739383083</v>
      </c>
      <c r="H17" s="192">
        <f t="shared" si="3"/>
        <v>3.7835408091482323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 customHeight="1">
      <c r="A18" s="10" t="s">
        <v>403</v>
      </c>
      <c r="B18" s="10" t="s">
        <v>404</v>
      </c>
      <c r="C18" s="192">
        <f>BALANCE_SHEET!D33/(INCOME_STATEMENT!D24/365)</f>
        <v>30.10094378162961</v>
      </c>
      <c r="D18" s="192">
        <f>BALANCE_SHEET!F33/(INCOME_STATEMENT!F24/365)</f>
        <v>31.879514116874589</v>
      </c>
      <c r="E18" s="192">
        <f>BALANCE_SHEET!H33/(INCOME_STATEMENT!H24/365)</f>
        <v>30.017475280592322</v>
      </c>
      <c r="F18" s="192">
        <f>BALANCE_SHEET!J33/(INCOME_STATEMENT!J24/365)</f>
        <v>32.673561304430692</v>
      </c>
      <c r="G18" s="192">
        <f>BALANCE_SHEET!L33/(INCOME_STATEMENT!L24/365)</f>
        <v>34.809765414450091</v>
      </c>
      <c r="H18" s="192">
        <f t="shared" si="3"/>
        <v>31.896251979595462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 customHeight="1">
      <c r="A20" s="10" t="s">
        <v>405</v>
      </c>
      <c r="B20" s="10" t="s">
        <v>406</v>
      </c>
      <c r="C20" s="10" t="s">
        <v>407</v>
      </c>
      <c r="D20" s="10" t="s">
        <v>408</v>
      </c>
      <c r="E20" s="10" t="s">
        <v>409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>
      <c r="A21" s="10" t="s">
        <v>219</v>
      </c>
      <c r="B21" s="192">
        <v>2.7081092288465527</v>
      </c>
      <c r="C21" s="194">
        <v>30.608995403808272</v>
      </c>
      <c r="D21" s="194">
        <v>3.9786279419128689</v>
      </c>
      <c r="E21" s="194">
        <v>31.879514116874589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>
      <c r="A22" s="10" t="s">
        <v>410</v>
      </c>
      <c r="B22" s="195">
        <f t="shared" ref="B22:E22" si="4">SUM(B26:B29)/4</f>
        <v>-2.1479726927883593</v>
      </c>
      <c r="C22" s="195">
        <f t="shared" si="4"/>
        <v>43.077248850952067</v>
      </c>
      <c r="D22" s="195">
        <f t="shared" si="4"/>
        <v>10.944656985478218</v>
      </c>
      <c r="E22" s="195">
        <f t="shared" si="4"/>
        <v>56.16987852921865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>
      <c r="A23" s="10" t="s">
        <v>411</v>
      </c>
      <c r="B23" s="192">
        <f t="shared" ref="B23:E23" si="5">SUM(B26:B28)/3</f>
        <v>6.6693697429488523</v>
      </c>
      <c r="C23" s="192">
        <f t="shared" si="5"/>
        <v>43.902998467936094</v>
      </c>
      <c r="D23" s="192">
        <f t="shared" si="5"/>
        <v>4.6595426473042894</v>
      </c>
      <c r="E23" s="192">
        <f t="shared" si="5"/>
        <v>41.893171372291533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4.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customHeight="1">
      <c r="A25" s="10" t="s">
        <v>405</v>
      </c>
      <c r="B25" s="10" t="s">
        <v>406</v>
      </c>
      <c r="C25" s="10" t="s">
        <v>407</v>
      </c>
      <c r="D25" s="10" t="s">
        <v>408</v>
      </c>
      <c r="E25" s="10" t="s">
        <v>409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" customHeight="1">
      <c r="A26" s="10" t="s">
        <v>219</v>
      </c>
      <c r="B26" s="192">
        <f>D15</f>
        <v>2.7081092288465527</v>
      </c>
      <c r="C26" s="194">
        <f>D16</f>
        <v>30.608995403808272</v>
      </c>
      <c r="D26" s="194">
        <f>D17</f>
        <v>3.9786279419128689</v>
      </c>
      <c r="E26" s="192">
        <f>D18</f>
        <v>31.879514116874589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customHeight="1">
      <c r="A27" s="10" t="s">
        <v>412</v>
      </c>
      <c r="B27" s="196">
        <f t="shared" ref="B27:B29" si="6">C27+D27-E27</f>
        <v>5</v>
      </c>
      <c r="C27" s="196">
        <v>41.5</v>
      </c>
      <c r="D27" s="196">
        <v>4.7</v>
      </c>
      <c r="E27" s="196">
        <v>41.2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" customHeight="1">
      <c r="A28" s="10" t="s">
        <v>413</v>
      </c>
      <c r="B28" s="196">
        <f t="shared" si="6"/>
        <v>12.300000000000004</v>
      </c>
      <c r="C28" s="196">
        <v>59.6</v>
      </c>
      <c r="D28" s="196">
        <v>5.3</v>
      </c>
      <c r="E28" s="196">
        <v>52.6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>
      <c r="A29" s="10" t="s">
        <v>414</v>
      </c>
      <c r="B29" s="197">
        <f t="shared" si="6"/>
        <v>-28.599999999999994</v>
      </c>
      <c r="C29" s="196">
        <v>40.6</v>
      </c>
      <c r="D29" s="196">
        <v>29.8</v>
      </c>
      <c r="E29" s="197">
        <v>99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4.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4.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4.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4.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4.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 customHeight="1">
      <c r="A35" s="10" t="s">
        <v>33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4.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4.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4.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" customHeight="1">
      <c r="A39" s="10" t="s">
        <v>33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" customHeight="1">
      <c r="A40" s="10"/>
      <c r="B40" s="10" t="s">
        <v>33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4.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4.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4.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4.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4.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4.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4.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4.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4.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4.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4.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4.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4.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4.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4.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4.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4.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4.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4.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4.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4.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4.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4.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4.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4.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4.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4.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4.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.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4.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4.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.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4.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4.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4.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4.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4.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4.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4.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4.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4.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4.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4.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4.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4.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4.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4.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4.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4.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4.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4.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4.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4.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4.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4.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4.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4.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4.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4.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4.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4.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4.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4.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4.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.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.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4.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4.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4.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4.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4.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4.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4.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4.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4.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4.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4.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4.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4.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4.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4.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4.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4.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4.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4.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4.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4.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4.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4.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4.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4.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4.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4.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4.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4.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4.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4.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4.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4.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4.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4.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4.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4.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4.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4.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4.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4.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4.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4.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4.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4.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4.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4.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4.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4.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4.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4.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4.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4.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4.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4.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4.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4.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4.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4.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4.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4.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4.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4.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4.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4.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4.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4.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4.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4.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4.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4.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4.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4.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4.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4.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4.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4.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4.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4.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4.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4.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4.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4.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4.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4.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4.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4.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4.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4.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4.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4.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4.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4.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4.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4.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4.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4.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4.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4.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4.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4.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4.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4.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4.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4.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4.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4.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4.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4.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4.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4.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4.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4.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4.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4.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4.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4.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4.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4.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4.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4.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4.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4.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4.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4.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4.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4.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4.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4.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4.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4.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4.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4.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4.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4.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4.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4.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4.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4.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4.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4.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4.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4.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4.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4.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4.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4.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4.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4.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4.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4.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4.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4.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4.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4.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4.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4.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4.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4.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4.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4.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4.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4.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4.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4.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4.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4.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4.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4.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4.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4.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4.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4.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4.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4.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4.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4.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4.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4.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4.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4.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4.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4.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4.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4.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4.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4.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4.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4.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4.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4.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4.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4.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4.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4.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4.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4.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4.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4.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4.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4.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4.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4.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4.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4.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4.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4.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4.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4.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4.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4.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4.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4.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4.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4.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4.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4.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4.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4.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4.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4.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4.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4.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4.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4.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4.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4.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4.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4.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4.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4.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4.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4.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4.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4.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4.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4.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4.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4.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4.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4.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4.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4.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4.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4.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4.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4.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4.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4.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4.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4.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4.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4.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4.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4.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4.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4.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4.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4.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4.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4.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4.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4.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4.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4.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4.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4.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4.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4.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4.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4.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4.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4.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4.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4.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4.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4.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4.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4.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4.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4.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4.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4.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4.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4.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4.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4.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4.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4.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4.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4.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4.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4.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4.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4.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4.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4.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4.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4.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4.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4.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4.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4.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4.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4.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4.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4.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4.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4.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4.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4.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4.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4.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4.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4.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4.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4.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4.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4.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4.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4.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4.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4.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4.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4.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4.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4.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4.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4.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4.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4.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4.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4.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4.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4.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4.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4.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4.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4.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4.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4.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4.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4.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4.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4.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4.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4.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4.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4.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4.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4.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4.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4.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4.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4.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4.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4.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4.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4.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4.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4.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4.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4.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4.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4.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4.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4.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4.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4.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4.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4.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4.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4.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4.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4.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4.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4.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4.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4.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4.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4.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4.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4.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4.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4.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4.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4.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4.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4.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4.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4.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4.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4.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4.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4.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4.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4.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4.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4.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4.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4.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4.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4.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4.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4.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4.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4.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4.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4.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4.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4.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4.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4.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4.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4.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4.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4.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4.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4.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4.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4.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4.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4.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4.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4.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4.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4.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4.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4.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4.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4.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4.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4.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4.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4.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4.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4.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4.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4.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4.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4.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4.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4.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4.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4.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4.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4.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4.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4.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4.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4.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4.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4.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4.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4.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4.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4.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4.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4.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4.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4.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4.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4.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4.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4.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4.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4.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4.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4.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4.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4.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4.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4.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4.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4.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4.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4.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4.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4.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4.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4.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4.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4.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4.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4.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4.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4.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4.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4.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4.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4.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4.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4.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4.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4.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4.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4.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4.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4.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4.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4.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4.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4.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4.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4.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4.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4.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4.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4.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4.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4.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4.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4.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4.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4.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4.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4.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4.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4.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4.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4.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4.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4.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4.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4.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4.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4.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4.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4.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4.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4.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4.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4.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4.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4.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4.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4.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4.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4.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4.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4.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4.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4.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4.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4.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4.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4.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4.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4.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4.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4.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4.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4.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4.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4.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4.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4.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4.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4.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4.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4.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4.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4.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4.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4.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4.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4.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4.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4.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4.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4.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4.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4.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4.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4.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4.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4.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4.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4.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4.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4.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4.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4.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4.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4.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4.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4.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4.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4.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4.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4.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4.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4.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4.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4.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4.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4.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4.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4.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4.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4.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4.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4.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4.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4.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4.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4.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4.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4.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4.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4.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4.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4.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4.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4.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4.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4.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4.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4.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4.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4.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4.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4.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4.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4.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4.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4.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4.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4.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4.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4.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4.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4.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4.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4.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4.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4.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4.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4.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4.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4.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4.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4.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4.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4.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4.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4.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4.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4.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4.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4.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4.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4.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4.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4.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4.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4.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4.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4.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4.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4.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4.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4.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4.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4.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4.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4.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4.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4.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4.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4.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4.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4.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4.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4.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4.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4.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4.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4.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4.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4.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4.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4.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4.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4.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4.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4.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4.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4.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4.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4.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4.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4.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4.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4.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4.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4.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4.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4.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4.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4.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4.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4.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4.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4.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4.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4.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4.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4.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4.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4.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4.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4.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4.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4.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4.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4.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4.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4.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4.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4.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4.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4.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4.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4.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4.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4.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4.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4.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4.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4.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4.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4.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4.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4.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4.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4.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4.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4.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4.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4.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4.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4.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4.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4.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4.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4.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4.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4.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4.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4.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4.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4.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4.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4.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4.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4.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4.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4.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4.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4.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4.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4.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4.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4.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4.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4.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4.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4.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4.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4.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4.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4.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4.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4.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4.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4.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4.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4.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4.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4.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4.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4.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4.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4.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4.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4.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4.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4.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4.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4.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4.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4.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4.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4.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4.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4.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4.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4.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4.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4.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4.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4.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4.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4.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4.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4.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4.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4.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4.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4.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4.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4.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4.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4.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4.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4.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4.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4.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4.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4.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4.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4.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4.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4.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4.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4.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4.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4.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4.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4.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4.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4.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4.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4.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4.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4.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4.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4.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4.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4.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4.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4.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4.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4.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4.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4.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4.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4.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4.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4.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4.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4.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4.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4.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4.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4.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4.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4.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4.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4.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4.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4.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4.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4.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4.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4.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4.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4.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4.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4.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4.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sqref="A1:H1"/>
    </sheetView>
  </sheetViews>
  <sheetFormatPr defaultColWidth="12.6328125" defaultRowHeight="15" customHeight="1"/>
  <cols>
    <col min="1" max="1" width="3" customWidth="1"/>
    <col min="2" max="2" width="44" customWidth="1"/>
    <col min="3" max="3" width="11" customWidth="1"/>
    <col min="4" max="4" width="17" customWidth="1"/>
    <col min="5" max="5" width="11" customWidth="1"/>
    <col min="6" max="6" width="17" customWidth="1"/>
    <col min="7" max="7" width="10.08984375" customWidth="1"/>
    <col min="8" max="8" width="17" customWidth="1"/>
    <col min="9" max="9" width="14.08984375" customWidth="1"/>
    <col min="10" max="10" width="21.7265625" customWidth="1"/>
    <col min="11" max="11" width="11" customWidth="1"/>
    <col min="12" max="12" width="21.7265625" customWidth="1"/>
    <col min="13" max="26" width="8.6328125" customWidth="1"/>
  </cols>
  <sheetData>
    <row r="1" spans="1:26" ht="12.75" customHeight="1">
      <c r="A1" s="257" t="s">
        <v>415</v>
      </c>
      <c r="B1" s="241"/>
      <c r="C1" s="241"/>
      <c r="D1" s="241"/>
      <c r="E1" s="241"/>
      <c r="F1" s="241"/>
      <c r="G1" s="241"/>
      <c r="H1" s="241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</row>
    <row r="2" spans="1:26" ht="12.75" customHeight="1">
      <c r="A2" s="257" t="s">
        <v>416</v>
      </c>
      <c r="B2" s="241"/>
      <c r="C2" s="241"/>
      <c r="D2" s="241"/>
      <c r="E2" s="241"/>
      <c r="F2" s="241"/>
      <c r="G2" s="241"/>
      <c r="H2" s="241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</row>
    <row r="3" spans="1:26" ht="12.75" customHeight="1">
      <c r="A3" s="257" t="s">
        <v>417</v>
      </c>
      <c r="B3" s="241"/>
      <c r="C3" s="241"/>
      <c r="D3" s="241"/>
      <c r="E3" s="241"/>
      <c r="F3" s="241"/>
      <c r="G3" s="241"/>
      <c r="H3" s="241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spans="1:26" ht="12.75" customHeight="1">
      <c r="A4" s="257" t="s">
        <v>418</v>
      </c>
      <c r="B4" s="241"/>
      <c r="C4" s="241"/>
      <c r="D4" s="241"/>
      <c r="E4" s="241"/>
      <c r="F4" s="241"/>
      <c r="G4" s="241"/>
      <c r="H4" s="241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</row>
    <row r="5" spans="1:26" ht="12.75" customHeight="1">
      <c r="A5" s="257" t="s">
        <v>419</v>
      </c>
      <c r="B5" s="241"/>
      <c r="C5" s="241"/>
      <c r="D5" s="241"/>
      <c r="E5" s="241"/>
      <c r="F5" s="241"/>
      <c r="G5" s="241"/>
      <c r="H5" s="241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</row>
    <row r="6" spans="1:26" ht="12.75" customHeight="1">
      <c r="A6" s="257" t="s">
        <v>420</v>
      </c>
      <c r="B6" s="241"/>
      <c r="C6" s="241"/>
      <c r="D6" s="241"/>
      <c r="E6" s="241"/>
      <c r="F6" s="241"/>
      <c r="G6" s="241"/>
      <c r="H6" s="241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</row>
    <row r="7" spans="1:26" ht="12.75" customHeight="1">
      <c r="A7" s="257" t="s">
        <v>421</v>
      </c>
      <c r="B7" s="241"/>
      <c r="C7" s="241"/>
      <c r="D7" s="241"/>
      <c r="E7" s="241"/>
      <c r="F7" s="241"/>
      <c r="G7" s="241"/>
      <c r="H7" s="241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spans="1:26" ht="12.75" customHeight="1">
      <c r="A8" s="258" t="s">
        <v>422</v>
      </c>
      <c r="B8" s="241"/>
      <c r="C8" s="241"/>
      <c r="D8" s="241"/>
      <c r="E8" s="241"/>
      <c r="F8" s="241"/>
      <c r="G8" s="241"/>
      <c r="H8" s="241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</row>
    <row r="9" spans="1:26" ht="12.75" customHeight="1">
      <c r="A9" s="257" t="s">
        <v>416</v>
      </c>
      <c r="B9" s="241"/>
      <c r="C9" s="241"/>
      <c r="D9" s="241"/>
      <c r="E9" s="241"/>
      <c r="F9" s="241"/>
      <c r="G9" s="241"/>
      <c r="H9" s="241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</row>
    <row r="10" spans="1:26" ht="12.75" customHeight="1">
      <c r="A10" s="198"/>
      <c r="B10" s="259" t="s">
        <v>423</v>
      </c>
      <c r="C10" s="241"/>
      <c r="D10" s="241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</row>
    <row r="11" spans="1:26" ht="12.75" customHeight="1">
      <c r="A11" s="198"/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</row>
    <row r="12" spans="1:26" ht="12.75" customHeight="1">
      <c r="A12" s="198"/>
      <c r="B12" s="259" t="s">
        <v>424</v>
      </c>
      <c r="C12" s="241"/>
      <c r="D12" s="241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</row>
    <row r="13" spans="1:26" ht="12.75" customHeight="1">
      <c r="A13" s="198"/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 spans="1:26" ht="12.75" customHeight="1">
      <c r="A14" s="198"/>
      <c r="B14" s="259" t="s">
        <v>425</v>
      </c>
      <c r="C14" s="241"/>
      <c r="D14" s="241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 spans="1:26" ht="12.75" customHeight="1">
      <c r="A15" s="198"/>
      <c r="B15" s="198"/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</row>
    <row r="16" spans="1:26" ht="12.75" customHeight="1">
      <c r="A16" s="198"/>
      <c r="B16" s="198" t="s">
        <v>416</v>
      </c>
      <c r="C16" s="199">
        <v>52</v>
      </c>
      <c r="D16" s="198" t="s">
        <v>426</v>
      </c>
      <c r="E16" s="199">
        <v>52</v>
      </c>
      <c r="F16" s="198" t="s">
        <v>426</v>
      </c>
      <c r="G16" s="199">
        <v>53</v>
      </c>
      <c r="H16" s="198" t="s">
        <v>426</v>
      </c>
      <c r="I16" s="199">
        <v>52</v>
      </c>
      <c r="J16" s="198" t="s">
        <v>426</v>
      </c>
      <c r="K16" s="199">
        <v>52</v>
      </c>
      <c r="L16" s="198" t="s">
        <v>426</v>
      </c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</row>
    <row r="17" spans="1:26" ht="12.75" customHeight="1">
      <c r="A17" s="198"/>
      <c r="B17" s="198" t="s">
        <v>416</v>
      </c>
      <c r="C17" s="198" t="s">
        <v>416</v>
      </c>
      <c r="D17" s="198" t="s">
        <v>427</v>
      </c>
      <c r="E17" s="198" t="s">
        <v>416</v>
      </c>
      <c r="F17" s="198" t="s">
        <v>428</v>
      </c>
      <c r="G17" s="198" t="s">
        <v>416</v>
      </c>
      <c r="H17" s="198" t="s">
        <v>429</v>
      </c>
      <c r="I17" s="198" t="s">
        <v>416</v>
      </c>
      <c r="J17" s="198" t="s">
        <v>430</v>
      </c>
      <c r="K17" s="198" t="s">
        <v>416</v>
      </c>
      <c r="L17" s="198" t="s">
        <v>431</v>
      </c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</row>
    <row r="18" spans="1:26" ht="12.75" customHeight="1">
      <c r="A18" s="198"/>
      <c r="B18" s="198" t="s">
        <v>416</v>
      </c>
      <c r="C18" s="198" t="s">
        <v>416</v>
      </c>
      <c r="D18" s="198">
        <v>2025</v>
      </c>
      <c r="E18" s="198" t="s">
        <v>416</v>
      </c>
      <c r="F18" s="198">
        <v>2024</v>
      </c>
      <c r="G18" s="198" t="s">
        <v>416</v>
      </c>
      <c r="H18" s="198">
        <v>2023</v>
      </c>
      <c r="I18" s="198" t="s">
        <v>416</v>
      </c>
      <c r="J18" s="198">
        <v>2022</v>
      </c>
      <c r="K18" s="198" t="s">
        <v>416</v>
      </c>
      <c r="L18" s="198">
        <v>2021</v>
      </c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</row>
    <row r="19" spans="1:26" ht="12.75" customHeight="1">
      <c r="A19" s="198"/>
      <c r="B19" s="198" t="s">
        <v>432</v>
      </c>
      <c r="C19" s="198"/>
      <c r="D19" s="198"/>
      <c r="E19" s="198"/>
      <c r="F19" s="198"/>
      <c r="G19" s="198"/>
      <c r="H19" s="198"/>
      <c r="I19" s="200"/>
      <c r="J19" s="200"/>
      <c r="K19" s="200"/>
      <c r="L19" s="200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</row>
    <row r="20" spans="1:26" ht="12.75" customHeight="1">
      <c r="A20" s="198"/>
      <c r="B20" s="198" t="s">
        <v>39</v>
      </c>
      <c r="C20" s="198" t="s">
        <v>416</v>
      </c>
      <c r="D20" s="201">
        <v>269912</v>
      </c>
      <c r="E20" s="198" t="s">
        <v>416</v>
      </c>
      <c r="F20" s="201">
        <v>249625</v>
      </c>
      <c r="G20" s="198" t="s">
        <v>416</v>
      </c>
      <c r="H20" s="201">
        <v>237710</v>
      </c>
      <c r="I20" s="202"/>
      <c r="J20" s="201">
        <v>222730</v>
      </c>
      <c r="K20" s="198" t="s">
        <v>416</v>
      </c>
      <c r="L20" s="201">
        <v>192052</v>
      </c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</row>
    <row r="21" spans="1:26" ht="12.75" customHeight="1">
      <c r="A21" s="198"/>
      <c r="B21" s="198" t="s">
        <v>42</v>
      </c>
      <c r="C21" s="198" t="s">
        <v>416</v>
      </c>
      <c r="D21" s="199">
        <v>5323</v>
      </c>
      <c r="E21" s="198" t="s">
        <v>416</v>
      </c>
      <c r="F21" s="199">
        <v>4828</v>
      </c>
      <c r="G21" s="198" t="s">
        <v>416</v>
      </c>
      <c r="H21" s="199">
        <v>4580</v>
      </c>
      <c r="I21" s="202"/>
      <c r="J21" s="199">
        <v>4224</v>
      </c>
      <c r="K21" s="198" t="s">
        <v>416</v>
      </c>
      <c r="L21" s="199">
        <v>3877</v>
      </c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</row>
    <row r="22" spans="1:26" ht="12.75" customHeight="1">
      <c r="A22" s="198"/>
      <c r="B22" s="198" t="s">
        <v>43</v>
      </c>
      <c r="C22" s="198" t="s">
        <v>416</v>
      </c>
      <c r="D22" s="199">
        <v>275235</v>
      </c>
      <c r="E22" s="198" t="s">
        <v>416</v>
      </c>
      <c r="F22" s="199">
        <v>254453</v>
      </c>
      <c r="G22" s="198" t="s">
        <v>416</v>
      </c>
      <c r="H22" s="199">
        <v>242290</v>
      </c>
      <c r="I22" s="202"/>
      <c r="J22" s="199">
        <v>226954</v>
      </c>
      <c r="K22" s="198" t="s">
        <v>416</v>
      </c>
      <c r="L22" s="199">
        <v>195929</v>
      </c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</row>
    <row r="23" spans="1:26" ht="12.75" customHeight="1">
      <c r="A23" s="198"/>
      <c r="B23" s="198" t="s">
        <v>44</v>
      </c>
      <c r="C23" s="198"/>
      <c r="D23" s="198"/>
      <c r="E23" s="198"/>
      <c r="F23" s="198"/>
      <c r="G23" s="198"/>
      <c r="H23" s="198"/>
      <c r="I23" s="202"/>
      <c r="J23" s="200"/>
      <c r="K23" s="200"/>
      <c r="L23" s="200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</row>
    <row r="24" spans="1:26" ht="12.75" customHeight="1">
      <c r="A24" s="198"/>
      <c r="B24" s="198" t="s">
        <v>45</v>
      </c>
      <c r="C24" s="198" t="s">
        <v>416</v>
      </c>
      <c r="D24" s="199">
        <v>239886</v>
      </c>
      <c r="E24" s="198" t="s">
        <v>416</v>
      </c>
      <c r="F24" s="199">
        <v>222358</v>
      </c>
      <c r="G24" s="198" t="s">
        <v>416</v>
      </c>
      <c r="H24" s="199">
        <v>212586</v>
      </c>
      <c r="I24" s="202"/>
      <c r="J24" s="199">
        <v>199382</v>
      </c>
      <c r="K24" s="198" t="s">
        <v>416</v>
      </c>
      <c r="L24" s="199">
        <v>170684</v>
      </c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</row>
    <row r="25" spans="1:26" ht="12.75" customHeight="1">
      <c r="A25" s="198"/>
      <c r="B25" s="198" t="s">
        <v>47</v>
      </c>
      <c r="C25" s="198" t="s">
        <v>416</v>
      </c>
      <c r="D25" s="199">
        <v>24966</v>
      </c>
      <c r="E25" s="198" t="s">
        <v>416</v>
      </c>
      <c r="F25" s="199">
        <v>22810</v>
      </c>
      <c r="G25" s="198" t="s">
        <v>416</v>
      </c>
      <c r="H25" s="199">
        <v>21590</v>
      </c>
      <c r="I25" s="202"/>
      <c r="J25" s="199">
        <v>19779</v>
      </c>
      <c r="K25" s="198" t="s">
        <v>416</v>
      </c>
      <c r="L25" s="199">
        <v>18537</v>
      </c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</row>
    <row r="26" spans="1:26" ht="12.75" customHeight="1">
      <c r="A26" s="198"/>
      <c r="B26" s="198" t="s">
        <v>49</v>
      </c>
      <c r="C26" s="198" t="s">
        <v>416</v>
      </c>
      <c r="D26" s="199">
        <v>10383</v>
      </c>
      <c r="E26" s="198" t="s">
        <v>416</v>
      </c>
      <c r="F26" s="199">
        <v>9285</v>
      </c>
      <c r="G26" s="198" t="s">
        <v>416</v>
      </c>
      <c r="H26" s="199">
        <v>8114</v>
      </c>
      <c r="I26" s="202"/>
      <c r="J26" s="199">
        <v>7793</v>
      </c>
      <c r="K26" s="198" t="s">
        <v>416</v>
      </c>
      <c r="L26" s="199">
        <v>6708</v>
      </c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</row>
    <row r="27" spans="1:26" ht="12.75" customHeight="1">
      <c r="A27" s="198"/>
      <c r="B27" s="198" t="s">
        <v>50</v>
      </c>
      <c r="C27" s="198"/>
      <c r="D27" s="198"/>
      <c r="E27" s="198"/>
      <c r="F27" s="198"/>
      <c r="G27" s="198"/>
      <c r="H27" s="198"/>
      <c r="I27" s="202"/>
      <c r="J27" s="200"/>
      <c r="K27" s="200"/>
      <c r="L27" s="200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</row>
    <row r="28" spans="1:26" ht="12.75" customHeight="1">
      <c r="A28" s="198"/>
      <c r="B28" s="198" t="s">
        <v>51</v>
      </c>
      <c r="C28" s="198" t="s">
        <v>416</v>
      </c>
      <c r="D28" s="199">
        <v>-154</v>
      </c>
      <c r="E28" s="198" t="s">
        <v>416</v>
      </c>
      <c r="F28" s="199">
        <v>-169</v>
      </c>
      <c r="G28" s="198" t="s">
        <v>416</v>
      </c>
      <c r="H28" s="199">
        <v>-160</v>
      </c>
      <c r="I28" s="202"/>
      <c r="J28" s="199">
        <v>-158</v>
      </c>
      <c r="K28" s="198" t="s">
        <v>416</v>
      </c>
      <c r="L28" s="199">
        <v>-171</v>
      </c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</row>
    <row r="29" spans="1:26" ht="12.75" customHeight="1">
      <c r="A29" s="198"/>
      <c r="B29" s="198" t="s">
        <v>53</v>
      </c>
      <c r="C29" s="198" t="s">
        <v>416</v>
      </c>
      <c r="D29" s="199">
        <v>589</v>
      </c>
      <c r="E29" s="198" t="s">
        <v>416</v>
      </c>
      <c r="F29" s="199">
        <v>624</v>
      </c>
      <c r="G29" s="198" t="s">
        <v>416</v>
      </c>
      <c r="H29" s="199">
        <v>533</v>
      </c>
      <c r="I29" s="202"/>
      <c r="J29" s="199">
        <v>205</v>
      </c>
      <c r="K29" s="198" t="s">
        <v>416</v>
      </c>
      <c r="L29" s="199">
        <v>143</v>
      </c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</row>
    <row r="30" spans="1:26" ht="12.75" customHeight="1">
      <c r="A30" s="198"/>
      <c r="B30" s="198" t="s">
        <v>55</v>
      </c>
      <c r="C30" s="198" t="s">
        <v>416</v>
      </c>
      <c r="D30" s="199">
        <v>10818</v>
      </c>
      <c r="E30" s="198" t="s">
        <v>416</v>
      </c>
      <c r="F30" s="199">
        <v>9740</v>
      </c>
      <c r="G30" s="198" t="s">
        <v>416</v>
      </c>
      <c r="H30" s="199">
        <v>8487</v>
      </c>
      <c r="I30" s="202"/>
      <c r="J30" s="199">
        <v>7840</v>
      </c>
      <c r="K30" s="198" t="s">
        <v>416</v>
      </c>
      <c r="L30" s="199">
        <v>6680</v>
      </c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</row>
    <row r="31" spans="1:26" ht="12.75" customHeight="1">
      <c r="A31" s="198"/>
      <c r="B31" s="198" t="s">
        <v>56</v>
      </c>
      <c r="C31" s="198" t="s">
        <v>416</v>
      </c>
      <c r="D31" s="199">
        <v>2719</v>
      </c>
      <c r="E31" s="198" t="s">
        <v>416</v>
      </c>
      <c r="F31" s="199">
        <v>2373</v>
      </c>
      <c r="G31" s="198" t="s">
        <v>416</v>
      </c>
      <c r="H31" s="199">
        <v>2195</v>
      </c>
      <c r="I31" s="202"/>
      <c r="J31" s="199">
        <v>1925</v>
      </c>
      <c r="K31" s="198" t="s">
        <v>416</v>
      </c>
      <c r="L31" s="199">
        <v>1601</v>
      </c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 spans="1:26" ht="12.75" customHeight="1">
      <c r="A32" s="198"/>
      <c r="B32" s="198"/>
      <c r="C32" s="198"/>
      <c r="D32" s="198"/>
      <c r="E32" s="198"/>
      <c r="F32" s="198"/>
      <c r="G32" s="198"/>
      <c r="H32" s="198"/>
      <c r="I32" s="202"/>
      <c r="J32" s="200"/>
      <c r="K32" s="200"/>
      <c r="L32" s="200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</row>
    <row r="33" spans="1:26" ht="12.75" customHeight="1">
      <c r="A33" s="198"/>
      <c r="B33" s="198" t="s">
        <v>58</v>
      </c>
      <c r="C33" s="198" t="s">
        <v>416</v>
      </c>
      <c r="D33" s="201">
        <v>8099</v>
      </c>
      <c r="E33" s="198" t="s">
        <v>416</v>
      </c>
      <c r="F33" s="201">
        <v>7367</v>
      </c>
      <c r="G33" s="198" t="s">
        <v>416</v>
      </c>
      <c r="H33" s="201">
        <v>6292</v>
      </c>
      <c r="I33" s="202"/>
      <c r="J33" s="199">
        <v>5915</v>
      </c>
      <c r="K33" s="198" t="s">
        <v>416</v>
      </c>
      <c r="L33" s="199">
        <v>5079</v>
      </c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</row>
    <row r="34" spans="1:26" ht="12.75" customHeight="1">
      <c r="A34" s="198"/>
      <c r="B34" s="198" t="s">
        <v>433</v>
      </c>
      <c r="C34" s="198"/>
      <c r="D34" s="198"/>
      <c r="E34" s="198"/>
      <c r="F34" s="198"/>
      <c r="G34" s="198"/>
      <c r="H34" s="198"/>
      <c r="I34" s="200"/>
      <c r="J34" s="200"/>
      <c r="K34" s="200"/>
      <c r="L34" s="200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</row>
    <row r="35" spans="1:26" ht="12.75" customHeight="1">
      <c r="A35" s="198"/>
      <c r="B35" s="198" t="s">
        <v>434</v>
      </c>
      <c r="C35" s="198" t="s">
        <v>416</v>
      </c>
      <c r="D35" s="203">
        <v>18.239999999999998</v>
      </c>
      <c r="E35" s="198" t="s">
        <v>416</v>
      </c>
      <c r="F35" s="203">
        <v>16.59</v>
      </c>
      <c r="G35" s="198" t="s">
        <v>416</v>
      </c>
      <c r="H35" s="203">
        <v>14.18</v>
      </c>
      <c r="I35" s="198" t="s">
        <v>416</v>
      </c>
      <c r="J35" s="203">
        <v>13.17</v>
      </c>
      <c r="K35" s="198" t="s">
        <v>416</v>
      </c>
      <c r="L35" s="203">
        <v>11.3</v>
      </c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</row>
    <row r="36" spans="1:26" ht="12.75" customHeight="1">
      <c r="A36" s="198"/>
      <c r="B36" s="198" t="s">
        <v>435</v>
      </c>
      <c r="C36" s="198" t="s">
        <v>416</v>
      </c>
      <c r="D36" s="203">
        <v>18.21</v>
      </c>
      <c r="E36" s="198" t="s">
        <v>416</v>
      </c>
      <c r="F36" s="203">
        <v>16.559999999999999</v>
      </c>
      <c r="G36" s="198" t="s">
        <v>416</v>
      </c>
      <c r="H36" s="203">
        <v>14.16</v>
      </c>
      <c r="I36" s="198" t="s">
        <v>416</v>
      </c>
      <c r="J36" s="203">
        <v>13.14</v>
      </c>
      <c r="K36" s="198" t="s">
        <v>416</v>
      </c>
      <c r="L36" s="203">
        <v>11.27</v>
      </c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 spans="1:26" ht="12.75" customHeight="1">
      <c r="A37" s="198"/>
      <c r="B37" s="198" t="s">
        <v>436</v>
      </c>
      <c r="C37" s="198"/>
      <c r="D37" s="198"/>
      <c r="E37" s="198"/>
      <c r="F37" s="198"/>
      <c r="G37" s="198"/>
      <c r="H37" s="198"/>
      <c r="I37" s="200"/>
      <c r="J37" s="200"/>
      <c r="K37" s="200"/>
      <c r="L37" s="200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</row>
    <row r="38" spans="1:26" ht="12.75" customHeight="1">
      <c r="A38" s="198"/>
      <c r="B38" s="198" t="s">
        <v>434</v>
      </c>
      <c r="C38" s="198" t="s">
        <v>416</v>
      </c>
      <c r="D38" s="199">
        <v>443985</v>
      </c>
      <c r="E38" s="198" t="s">
        <v>416</v>
      </c>
      <c r="F38" s="199">
        <v>443914</v>
      </c>
      <c r="G38" s="198" t="s">
        <v>416</v>
      </c>
      <c r="H38" s="199">
        <v>443854</v>
      </c>
      <c r="I38" s="198" t="s">
        <v>416</v>
      </c>
      <c r="J38" s="199">
        <v>443651</v>
      </c>
      <c r="K38" s="198" t="s">
        <v>416</v>
      </c>
      <c r="L38" s="199">
        <v>443089</v>
      </c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</row>
    <row r="39" spans="1:26" ht="12.75" customHeight="1">
      <c r="A39" s="198"/>
      <c r="B39" s="198" t="s">
        <v>435</v>
      </c>
      <c r="C39" s="198" t="s">
        <v>416</v>
      </c>
      <c r="D39" s="199">
        <v>444803</v>
      </c>
      <c r="E39" s="198" t="s">
        <v>416</v>
      </c>
      <c r="F39" s="199">
        <v>444759</v>
      </c>
      <c r="G39" s="198" t="s">
        <v>416</v>
      </c>
      <c r="H39" s="199">
        <v>444452</v>
      </c>
      <c r="I39" s="198" t="s">
        <v>416</v>
      </c>
      <c r="J39" s="199">
        <v>444757</v>
      </c>
      <c r="K39" s="198" t="s">
        <v>416</v>
      </c>
      <c r="L39" s="199">
        <v>444346</v>
      </c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</row>
    <row r="40" spans="1:26" ht="12.75" customHeight="1">
      <c r="A40" s="198"/>
      <c r="B40" s="198"/>
      <c r="C40" s="198"/>
      <c r="D40" s="198"/>
      <c r="E40" s="198"/>
      <c r="F40" s="198"/>
      <c r="G40" s="198"/>
      <c r="H40" s="198"/>
      <c r="I40" s="198"/>
      <c r="J40" s="203"/>
      <c r="K40" s="198"/>
      <c r="L40" s="203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</row>
    <row r="41" spans="1:26" ht="12.75" customHeight="1">
      <c r="A41" s="198"/>
      <c r="B41" s="198" t="s">
        <v>437</v>
      </c>
      <c r="C41" s="198"/>
      <c r="D41" s="199">
        <f>D22-D24</f>
        <v>35349</v>
      </c>
      <c r="E41" s="198"/>
      <c r="F41" s="199">
        <f>F22-F24</f>
        <v>32095</v>
      </c>
      <c r="G41" s="198"/>
      <c r="H41" s="199">
        <f>H22-H24</f>
        <v>29704</v>
      </c>
      <c r="I41" s="200"/>
      <c r="J41" s="199">
        <f>J22-J24</f>
        <v>27572</v>
      </c>
      <c r="K41" s="200"/>
      <c r="L41" s="199">
        <f>L22-L24</f>
        <v>25245</v>
      </c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</row>
    <row r="42" spans="1:26" ht="12.75" customHeight="1">
      <c r="A42" s="198"/>
      <c r="B42" s="198"/>
      <c r="C42" s="198"/>
      <c r="D42" s="198"/>
      <c r="E42" s="198"/>
      <c r="F42" s="198"/>
      <c r="G42" s="198"/>
      <c r="H42" s="198"/>
      <c r="I42" s="198"/>
      <c r="J42" s="199"/>
      <c r="K42" s="198"/>
      <c r="L42" s="199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</row>
    <row r="43" spans="1:26" ht="12.75" customHeight="1">
      <c r="A43" s="198"/>
      <c r="B43" s="204" t="s">
        <v>438</v>
      </c>
      <c r="C43" s="198"/>
      <c r="D43" s="198"/>
      <c r="E43" s="198"/>
      <c r="F43" s="198"/>
      <c r="G43" s="198"/>
      <c r="H43" s="198"/>
      <c r="I43" s="198"/>
      <c r="J43" s="199"/>
      <c r="K43" s="198"/>
      <c r="L43" s="199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</row>
    <row r="44" spans="1:26" ht="12.75" customHeight="1">
      <c r="A44" s="205"/>
      <c r="B44" s="206" t="s">
        <v>287</v>
      </c>
      <c r="C44" s="205"/>
      <c r="D44" s="207">
        <v>12809</v>
      </c>
      <c r="E44" s="207"/>
      <c r="F44" s="207">
        <v>11522</v>
      </c>
      <c r="G44" s="207"/>
      <c r="H44" s="207">
        <v>10603</v>
      </c>
      <c r="I44" s="205"/>
      <c r="J44" s="208">
        <v>10070</v>
      </c>
      <c r="K44" s="205"/>
      <c r="L44" s="208">
        <v>9366</v>
      </c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</row>
    <row r="45" spans="1:26" ht="12.75" customHeight="1">
      <c r="A45" s="205"/>
      <c r="B45" s="206" t="s">
        <v>280</v>
      </c>
      <c r="C45" s="205"/>
      <c r="D45" s="207">
        <v>10383</v>
      </c>
      <c r="E45" s="207"/>
      <c r="F45" s="207">
        <v>9285</v>
      </c>
      <c r="G45" s="207"/>
      <c r="H45" s="207">
        <v>8114.0000000000009</v>
      </c>
      <c r="I45" s="205"/>
      <c r="J45" s="208">
        <v>7793</v>
      </c>
      <c r="K45" s="205"/>
      <c r="L45" s="208">
        <v>7299</v>
      </c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</row>
    <row r="46" spans="1:26" ht="12.75" customHeight="1">
      <c r="A46" s="205"/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</row>
    <row r="47" spans="1:26" ht="12.75" customHeight="1">
      <c r="A47" s="205"/>
      <c r="B47" s="205" t="s">
        <v>135</v>
      </c>
      <c r="C47" s="205"/>
      <c r="D47" s="209">
        <v>0.251</v>
      </c>
      <c r="E47" s="205"/>
      <c r="F47" s="209">
        <v>0.24399999999999999</v>
      </c>
      <c r="G47" s="205"/>
      <c r="H47" s="209">
        <v>0.25900000000000001</v>
      </c>
      <c r="I47" s="205"/>
      <c r="J47" s="210">
        <v>0.25</v>
      </c>
      <c r="K47" s="205"/>
      <c r="L47" s="209">
        <v>0.246</v>
      </c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</row>
    <row r="48" spans="1:26" ht="12.75" customHeight="1">
      <c r="A48" s="205"/>
      <c r="B48" s="205" t="s">
        <v>261</v>
      </c>
      <c r="C48" s="205"/>
      <c r="D48" s="211">
        <f>D33-((D29+D28)*(1-D47))</f>
        <v>7773.1850000000004</v>
      </c>
      <c r="E48" s="211"/>
      <c r="F48" s="211">
        <f>F33-((F29+F28)*(1-F47))</f>
        <v>7023.02</v>
      </c>
      <c r="G48" s="211"/>
      <c r="H48" s="211">
        <f>H33-((H29+H28)*(1-H47))</f>
        <v>6015.607</v>
      </c>
      <c r="I48" s="211"/>
      <c r="J48" s="211">
        <f>J33-((J29+J28)*(1-J47))</f>
        <v>5879.75</v>
      </c>
      <c r="K48" s="211"/>
      <c r="L48" s="211">
        <f>L33-((L29+L28)*(1-L47))</f>
        <v>5100.1120000000001</v>
      </c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</row>
    <row r="49" spans="1:26" ht="12.75" customHeight="1">
      <c r="A49" s="198"/>
      <c r="B49" s="198"/>
      <c r="C49" s="198"/>
      <c r="D49" s="212">
        <v>0.22</v>
      </c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</row>
    <row r="50" spans="1:26" ht="12.75" customHeight="1">
      <c r="A50" s="198"/>
      <c r="B50" s="198" t="s">
        <v>439</v>
      </c>
      <c r="C50" s="198"/>
      <c r="D50" s="213">
        <f>D33-((D29+D28)*(1-$D$49))</f>
        <v>7759.7</v>
      </c>
      <c r="E50" s="213">
        <f>D33-((D29+D28)*(1-$D$49))</f>
        <v>7759.7</v>
      </c>
      <c r="F50" s="213">
        <f>F33-((F29+F28)*(1-$D$49))</f>
        <v>7012.1</v>
      </c>
      <c r="G50" s="213"/>
      <c r="H50" s="213">
        <f t="shared" ref="H50:J50" si="0">H33-((H29+H28)*(1-$D$49))</f>
        <v>6001.06</v>
      </c>
      <c r="I50" s="213">
        <f t="shared" si="0"/>
        <v>0</v>
      </c>
      <c r="J50" s="213">
        <f t="shared" si="0"/>
        <v>5878.34</v>
      </c>
      <c r="K50" s="213"/>
      <c r="L50" s="213">
        <f>L33-((L29+L28)*(1-$D$49))</f>
        <v>5100.84</v>
      </c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</row>
    <row r="51" spans="1:26" ht="12.75" customHeight="1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</row>
    <row r="52" spans="1:26" ht="12.75" customHeight="1">
      <c r="A52" s="198"/>
      <c r="C52" s="198"/>
      <c r="D52" s="214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</row>
    <row r="53" spans="1:26" ht="12.75" customHeight="1">
      <c r="A53" s="198"/>
      <c r="B53" s="215"/>
      <c r="C53" s="216"/>
      <c r="D53" s="216"/>
      <c r="E53" s="216"/>
      <c r="F53" s="216"/>
      <c r="G53" s="216"/>
      <c r="H53" s="216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</row>
    <row r="54" spans="1:26" ht="12.75" customHeight="1">
      <c r="A54" s="198"/>
      <c r="B54" s="216"/>
      <c r="C54" s="216"/>
      <c r="D54" s="217"/>
      <c r="E54" s="217"/>
      <c r="F54" s="217"/>
      <c r="G54" s="217"/>
      <c r="H54" s="217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</row>
    <row r="55" spans="1:26" ht="12.75" customHeight="1">
      <c r="A55" s="198"/>
      <c r="B55" s="216"/>
      <c r="C55" s="216"/>
      <c r="D55" s="217"/>
      <c r="E55" s="217"/>
      <c r="F55" s="217"/>
      <c r="G55" s="217"/>
      <c r="H55" s="217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</row>
    <row r="56" spans="1:26" ht="12.75" customHeight="1">
      <c r="A56" s="198"/>
      <c r="B56" s="216"/>
      <c r="C56" s="216"/>
      <c r="D56" s="217"/>
      <c r="E56" s="217"/>
      <c r="F56" s="217"/>
      <c r="G56" s="217"/>
      <c r="H56" s="217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</row>
    <row r="57" spans="1:26" ht="12.75" customHeight="1">
      <c r="A57" s="198"/>
      <c r="B57" s="216"/>
      <c r="C57" s="216"/>
      <c r="D57" s="217"/>
      <c r="E57" s="217"/>
      <c r="F57" s="217"/>
      <c r="G57" s="216"/>
      <c r="H57" s="216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</row>
    <row r="58" spans="1:26" ht="12.75" customHeight="1">
      <c r="A58" s="198"/>
      <c r="B58" s="198"/>
      <c r="C58" s="198"/>
      <c r="D58" s="218"/>
      <c r="E58" s="218"/>
      <c r="F58" s="21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</row>
    <row r="59" spans="1:26" ht="12.75" customHeight="1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</row>
    <row r="60" spans="1:26" ht="12.75" customHeight="1">
      <c r="A60" s="198"/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</row>
    <row r="61" spans="1:26" ht="12.75" customHeight="1">
      <c r="A61" s="198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</row>
    <row r="62" spans="1:26" ht="12.75" customHeight="1">
      <c r="A62" s="198"/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</row>
    <row r="63" spans="1:26" ht="12.75" customHeight="1">
      <c r="A63" s="198"/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</row>
    <row r="64" spans="1:26" ht="12.75" customHeight="1">
      <c r="A64" s="198"/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</row>
    <row r="65" spans="1:26" ht="12.75" customHeight="1">
      <c r="A65" s="198"/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</row>
    <row r="66" spans="1:26" ht="12.75" customHeight="1">
      <c r="A66" s="198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</row>
    <row r="67" spans="1:26" ht="12.75" customHeight="1">
      <c r="A67" s="198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</row>
    <row r="68" spans="1:26" ht="12.75" customHeight="1">
      <c r="A68" s="198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</row>
    <row r="69" spans="1:26" ht="12.75" customHeight="1">
      <c r="A69" s="198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</row>
    <row r="70" spans="1:26" ht="12.75" customHeight="1">
      <c r="A70" s="198"/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</row>
    <row r="71" spans="1:26" ht="12.75" customHeight="1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</row>
    <row r="72" spans="1:26" ht="12.75" customHeight="1">
      <c r="A72" s="198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</row>
    <row r="73" spans="1:26" ht="12.75" customHeight="1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</row>
    <row r="74" spans="1:26" ht="12.75" customHeight="1">
      <c r="A74" s="198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</row>
    <row r="75" spans="1:26" ht="12.75" customHeight="1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</row>
    <row r="76" spans="1:26" ht="12.75" customHeight="1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</row>
    <row r="77" spans="1:26" ht="12.75" customHeight="1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</row>
    <row r="78" spans="1:26" ht="12.75" customHeight="1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</row>
    <row r="79" spans="1:26" ht="12.75" customHeight="1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</row>
    <row r="80" spans="1:26" ht="12.75" customHeight="1">
      <c r="A80" s="198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</row>
    <row r="81" spans="1:26" ht="12.75" customHeight="1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</row>
    <row r="82" spans="1:26" ht="12.75" customHeight="1">
      <c r="A82" s="198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</row>
    <row r="83" spans="1:26" ht="12.75" customHeight="1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</row>
    <row r="84" spans="1:26" ht="12.75" customHeight="1">
      <c r="A84" s="198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</row>
    <row r="85" spans="1:26" ht="12.75" customHeight="1">
      <c r="A85" s="198"/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</row>
    <row r="86" spans="1:26" ht="12.75" customHeight="1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</row>
    <row r="87" spans="1:26" ht="12.75" customHeight="1">
      <c r="A87" s="198"/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</row>
    <row r="88" spans="1:26" ht="12.75" customHeight="1">
      <c r="A88" s="198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</row>
    <row r="89" spans="1:26" ht="12.75" customHeight="1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</row>
    <row r="90" spans="1:26" ht="12.75" customHeight="1">
      <c r="A90" s="198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</row>
    <row r="91" spans="1:26" ht="12.75" customHeight="1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</row>
    <row r="92" spans="1:26" ht="12.75" customHeight="1">
      <c r="A92" s="198"/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</row>
    <row r="93" spans="1:26" ht="12.75" customHeight="1">
      <c r="A93" s="198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</row>
    <row r="94" spans="1:26" ht="12.75" customHeight="1">
      <c r="A94" s="198"/>
      <c r="B94" s="198"/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</row>
    <row r="95" spans="1:26" ht="12.75" customHeight="1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</row>
    <row r="96" spans="1:26" ht="12.75" customHeight="1">
      <c r="A96" s="198"/>
      <c r="B96" s="198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</row>
    <row r="97" spans="1:26" ht="12.75" customHeight="1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</row>
    <row r="98" spans="1:26" ht="12.75" customHeight="1">
      <c r="A98" s="198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</row>
    <row r="99" spans="1:26" ht="12.75" customHeight="1">
      <c r="A99" s="198"/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</row>
    <row r="100" spans="1:26" ht="12.75" customHeight="1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</row>
    <row r="101" spans="1:26" ht="12.75" customHeight="1">
      <c r="A101" s="198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</row>
    <row r="102" spans="1:26" ht="12.75" customHeight="1">
      <c r="A102" s="198"/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</row>
    <row r="103" spans="1:26" ht="12.75" customHeight="1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</row>
    <row r="104" spans="1:26" ht="12.75" customHeight="1">
      <c r="A104" s="198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</row>
    <row r="105" spans="1:26" ht="12.75" customHeight="1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</row>
    <row r="106" spans="1:26" ht="12.75" customHeight="1">
      <c r="A106" s="198"/>
      <c r="B106" s="198"/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</row>
    <row r="107" spans="1:26" ht="12.75" customHeight="1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</row>
    <row r="108" spans="1:26" ht="12.75" customHeight="1">
      <c r="A108" s="198"/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</row>
    <row r="109" spans="1:26" ht="12.75" customHeight="1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</row>
    <row r="110" spans="1:26" ht="12.75" customHeight="1">
      <c r="A110" s="198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</row>
    <row r="111" spans="1:26" ht="12.75" customHeight="1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</row>
    <row r="112" spans="1:26" ht="12.75" customHeight="1">
      <c r="A112" s="198"/>
      <c r="B112" s="198"/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</row>
    <row r="113" spans="1:26" ht="12.75" customHeight="1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</row>
    <row r="114" spans="1:26" ht="12.75" customHeight="1">
      <c r="A114" s="198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</row>
    <row r="115" spans="1:26" ht="12.75" customHeight="1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</row>
    <row r="116" spans="1:26" ht="12.75" customHeight="1">
      <c r="A116" s="198"/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</row>
    <row r="117" spans="1:26" ht="12.75" customHeight="1">
      <c r="A117" s="198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</row>
    <row r="118" spans="1:26" ht="12.75" customHeight="1">
      <c r="A118" s="198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</row>
    <row r="119" spans="1:26" ht="12.75" customHeight="1">
      <c r="A119" s="198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</row>
    <row r="120" spans="1:26" ht="12.75" customHeight="1">
      <c r="A120" s="198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</row>
    <row r="121" spans="1:26" ht="12.75" customHeight="1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</row>
    <row r="122" spans="1:26" ht="12.75" customHeight="1">
      <c r="A122" s="198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</row>
    <row r="123" spans="1:26" ht="12.75" customHeight="1">
      <c r="A123" s="198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</row>
    <row r="124" spans="1:26" ht="12.75" customHeight="1">
      <c r="A124" s="198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</row>
    <row r="125" spans="1:26" ht="12.75" customHeight="1">
      <c r="A125" s="198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</row>
    <row r="126" spans="1:26" ht="12.75" customHeight="1">
      <c r="A126" s="198"/>
      <c r="B126" s="198"/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</row>
    <row r="127" spans="1:26" ht="12.75" customHeight="1">
      <c r="A127" s="198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</row>
    <row r="128" spans="1:26" ht="12.75" customHeight="1">
      <c r="A128" s="198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</row>
    <row r="129" spans="1:26" ht="12.75" customHeight="1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</row>
    <row r="130" spans="1:26" ht="12.75" customHeight="1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</row>
    <row r="131" spans="1:26" ht="12.75" customHeight="1">
      <c r="A131" s="198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</row>
    <row r="132" spans="1:26" ht="12.75" customHeight="1">
      <c r="A132" s="198"/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</row>
    <row r="133" spans="1:26" ht="12.75" customHeight="1">
      <c r="A133" s="198"/>
      <c r="B133" s="198"/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</row>
    <row r="134" spans="1:26" ht="12.75" customHeight="1">
      <c r="A134" s="198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</row>
    <row r="135" spans="1:26" ht="12.75" customHeight="1">
      <c r="A135" s="198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</row>
    <row r="136" spans="1:26" ht="12.75" customHeight="1">
      <c r="A136" s="198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</row>
    <row r="137" spans="1:26" ht="12.75" customHeight="1">
      <c r="A137" s="198"/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</row>
    <row r="138" spans="1:26" ht="12.75" customHeight="1">
      <c r="A138" s="198"/>
      <c r="B138" s="198"/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</row>
    <row r="139" spans="1:26" ht="12.75" customHeight="1">
      <c r="A139" s="198"/>
      <c r="B139" s="198"/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</row>
    <row r="140" spans="1:26" ht="12.75" customHeight="1">
      <c r="A140" s="198"/>
      <c r="B140" s="198"/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</row>
    <row r="141" spans="1:26" ht="12.75" customHeight="1">
      <c r="A141" s="198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</row>
    <row r="142" spans="1:26" ht="12.75" customHeight="1">
      <c r="A142" s="198"/>
      <c r="B142" s="198"/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</row>
    <row r="143" spans="1:26" ht="12.75" customHeight="1">
      <c r="A143" s="198"/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</row>
    <row r="144" spans="1:26" ht="12.75" customHeight="1">
      <c r="A144" s="198"/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</row>
    <row r="145" spans="1:26" ht="12.75" customHeight="1">
      <c r="A145" s="198"/>
      <c r="B145" s="198"/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</row>
    <row r="146" spans="1:26" ht="12.75" customHeight="1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</row>
    <row r="147" spans="1:26" ht="12.75" customHeight="1">
      <c r="A147" s="198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</row>
    <row r="148" spans="1:26" ht="12.75" customHeight="1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</row>
    <row r="149" spans="1:26" ht="12.75" customHeight="1">
      <c r="A149" s="198"/>
      <c r="B149" s="198"/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</row>
    <row r="150" spans="1:26" ht="12.75" customHeight="1">
      <c r="A150" s="198"/>
      <c r="B150" s="198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</row>
    <row r="151" spans="1:26" ht="12.75" customHeight="1">
      <c r="A151" s="198"/>
      <c r="B151" s="198"/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</row>
    <row r="152" spans="1:26" ht="12.75" customHeight="1">
      <c r="A152" s="198"/>
      <c r="B152" s="198"/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</row>
    <row r="153" spans="1:26" ht="12.75" customHeight="1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</row>
    <row r="154" spans="1:26" ht="12.75" customHeight="1">
      <c r="A154" s="198"/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</row>
    <row r="155" spans="1:26" ht="12.75" customHeight="1">
      <c r="A155" s="198"/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</row>
    <row r="156" spans="1:26" ht="12.75" customHeight="1">
      <c r="A156" s="198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</row>
    <row r="157" spans="1:26" ht="12.75" customHeight="1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</row>
    <row r="158" spans="1:26" ht="12.75" customHeight="1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</row>
    <row r="159" spans="1:26" ht="12.75" customHeight="1">
      <c r="A159" s="198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</row>
    <row r="160" spans="1:26" ht="12.75" customHeight="1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</row>
    <row r="161" spans="1:26" ht="12.75" customHeight="1">
      <c r="A161" s="198"/>
      <c r="B161" s="198"/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</row>
    <row r="162" spans="1:26" ht="12.75" customHeight="1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</row>
    <row r="163" spans="1:26" ht="12.75" customHeight="1">
      <c r="A163" s="198"/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</row>
    <row r="164" spans="1:26" ht="12.75" customHeight="1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</row>
    <row r="165" spans="1:26" ht="12.75" customHeight="1">
      <c r="A165" s="198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</row>
    <row r="166" spans="1:26" ht="12.75" customHeight="1">
      <c r="A166" s="198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</row>
    <row r="167" spans="1:26" ht="12.75" customHeight="1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</row>
    <row r="168" spans="1:26" ht="12.75" customHeight="1">
      <c r="A168" s="198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</row>
    <row r="169" spans="1:26" ht="12.75" customHeight="1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</row>
    <row r="170" spans="1:26" ht="12.75" customHeight="1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</row>
    <row r="171" spans="1:26" ht="12.75" customHeight="1">
      <c r="A171" s="198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</row>
    <row r="172" spans="1:26" ht="12.75" customHeight="1">
      <c r="A172" s="198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</row>
    <row r="173" spans="1:26" ht="12.75" customHeight="1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</row>
    <row r="174" spans="1:26" ht="12.75" customHeight="1">
      <c r="A174" s="198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</row>
    <row r="175" spans="1:26" ht="12.75" customHeight="1">
      <c r="A175" s="198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</row>
    <row r="176" spans="1:26" ht="12.75" customHeight="1">
      <c r="A176" s="198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</row>
    <row r="177" spans="1:26" ht="12.75" customHeight="1">
      <c r="A177" s="198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</row>
    <row r="178" spans="1:26" ht="12.75" customHeight="1">
      <c r="A178" s="198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</row>
    <row r="179" spans="1:26" ht="12.75" customHeight="1">
      <c r="A179" s="198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</row>
    <row r="180" spans="1:26" ht="12.75" customHeight="1">
      <c r="A180" s="198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</row>
    <row r="181" spans="1:26" ht="12.75" customHeight="1">
      <c r="A181" s="198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</row>
    <row r="182" spans="1:26" ht="12.75" customHeight="1">
      <c r="A182" s="198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</row>
    <row r="183" spans="1:26" ht="12.75" customHeight="1">
      <c r="A183" s="198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</row>
    <row r="184" spans="1:26" ht="12.75" customHeight="1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</row>
    <row r="185" spans="1:26" ht="12.75" customHeight="1">
      <c r="A185" s="198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</row>
    <row r="186" spans="1:26" ht="12.75" customHeight="1">
      <c r="A186" s="198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</row>
    <row r="187" spans="1:26" ht="12.75" customHeight="1">
      <c r="A187" s="198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</row>
    <row r="188" spans="1:26" ht="12.75" customHeight="1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</row>
    <row r="189" spans="1:26" ht="12.75" customHeight="1">
      <c r="A189" s="198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</row>
    <row r="190" spans="1:26" ht="12.75" customHeight="1">
      <c r="A190" s="198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</row>
    <row r="191" spans="1:26" ht="12.75" customHeight="1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</row>
    <row r="192" spans="1:26" ht="12.75" customHeight="1">
      <c r="A192" s="198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</row>
    <row r="193" spans="1:26" ht="12.75" customHeight="1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</row>
    <row r="194" spans="1:26" ht="12.75" customHeight="1">
      <c r="A194" s="198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</row>
    <row r="195" spans="1:26" ht="12.75" customHeight="1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</row>
    <row r="196" spans="1:26" ht="12.75" customHeight="1">
      <c r="A196" s="198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</row>
    <row r="197" spans="1:26" ht="12.75" customHeight="1">
      <c r="A197" s="198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</row>
    <row r="198" spans="1:26" ht="12.75" customHeight="1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</row>
    <row r="199" spans="1:26" ht="12.75" customHeight="1">
      <c r="A199" s="198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</row>
    <row r="200" spans="1:26" ht="12.75" customHeight="1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</row>
    <row r="201" spans="1:26" ht="12.75" customHeight="1">
      <c r="A201" s="198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</row>
    <row r="202" spans="1:26" ht="12.75" customHeight="1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</row>
    <row r="203" spans="1:26" ht="12.75" customHeight="1">
      <c r="A203" s="198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</row>
    <row r="204" spans="1:26" ht="12.75" customHeight="1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</row>
    <row r="205" spans="1:26" ht="12.75" customHeight="1">
      <c r="A205" s="198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</row>
    <row r="206" spans="1:26" ht="12.75" customHeight="1">
      <c r="A206" s="198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</row>
    <row r="207" spans="1:26" ht="12.75" customHeight="1">
      <c r="A207" s="198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</row>
    <row r="208" spans="1:26" ht="12.75" customHeight="1">
      <c r="A208" s="198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</row>
    <row r="209" spans="1:26" ht="12.75" customHeight="1">
      <c r="A209" s="198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</row>
    <row r="210" spans="1:26" ht="12.75" customHeight="1">
      <c r="A210" s="198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</row>
    <row r="211" spans="1:26" ht="12.75" customHeight="1">
      <c r="A211" s="198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</row>
    <row r="212" spans="1:26" ht="12.75" customHeight="1">
      <c r="A212" s="198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</row>
    <row r="213" spans="1:26" ht="12.75" customHeight="1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</row>
    <row r="214" spans="1:26" ht="12.75" customHeight="1">
      <c r="A214" s="198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</row>
    <row r="215" spans="1:26" ht="12.75" customHeight="1">
      <c r="A215" s="198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</row>
    <row r="216" spans="1:26" ht="12.75" customHeight="1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</row>
    <row r="217" spans="1:26" ht="12.75" customHeight="1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</row>
    <row r="218" spans="1:26" ht="12.75" customHeight="1">
      <c r="A218" s="198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</row>
    <row r="219" spans="1:26" ht="12.75" customHeight="1">
      <c r="A219" s="198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</row>
    <row r="220" spans="1:26" ht="12.75" customHeight="1">
      <c r="A220" s="198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</row>
    <row r="221" spans="1:26" ht="12.75" customHeight="1">
      <c r="A221" s="198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</row>
    <row r="222" spans="1:26" ht="12.75" customHeight="1">
      <c r="A222" s="198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</row>
    <row r="223" spans="1:26" ht="12.75" customHeight="1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</row>
    <row r="224" spans="1:26" ht="12.75" customHeight="1">
      <c r="A224" s="198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</row>
    <row r="225" spans="1:26" ht="12.75" customHeight="1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</row>
    <row r="226" spans="1:26" ht="12.75" customHeight="1">
      <c r="A226" s="198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</row>
    <row r="227" spans="1:26" ht="12.75" customHeight="1">
      <c r="A227" s="198"/>
      <c r="B227" s="198"/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</row>
    <row r="228" spans="1:26" ht="12.75" customHeight="1">
      <c r="A228" s="198"/>
      <c r="B228" s="198"/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</row>
    <row r="229" spans="1:26" ht="12.75" customHeight="1">
      <c r="A229" s="198"/>
      <c r="B229" s="198"/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</row>
    <row r="230" spans="1:26" ht="12.75" customHeight="1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</row>
    <row r="231" spans="1:26" ht="12.75" customHeight="1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</row>
    <row r="232" spans="1:26" ht="12.75" customHeight="1">
      <c r="A232" s="198"/>
      <c r="B232" s="198"/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</row>
    <row r="233" spans="1:26" ht="12.75" customHeight="1">
      <c r="A233" s="198"/>
      <c r="B233" s="198"/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</row>
    <row r="234" spans="1:26" ht="12.75" customHeight="1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</row>
    <row r="235" spans="1:26" ht="12.75" customHeight="1">
      <c r="A235" s="198"/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</row>
    <row r="236" spans="1:26" ht="12.75" customHeight="1">
      <c r="A236" s="198"/>
      <c r="B236" s="198"/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</row>
    <row r="237" spans="1:26" ht="12.75" customHeight="1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</row>
    <row r="238" spans="1:26" ht="12.75" customHeight="1">
      <c r="A238" s="198"/>
      <c r="B238" s="198"/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</row>
    <row r="239" spans="1:26" ht="12.75" customHeight="1">
      <c r="A239" s="198"/>
      <c r="B239" s="198"/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</row>
    <row r="240" spans="1:26" ht="12.75" customHeight="1">
      <c r="A240" s="198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</row>
    <row r="241" spans="1:26" ht="12.75" customHeight="1">
      <c r="A241" s="198"/>
      <c r="B241" s="198"/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</row>
    <row r="242" spans="1:26" ht="12.75" customHeight="1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</row>
    <row r="243" spans="1:26" ht="12.75" customHeight="1">
      <c r="A243" s="198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</row>
    <row r="244" spans="1:26" ht="12.75" customHeight="1">
      <c r="A244" s="198"/>
      <c r="B244" s="198"/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</row>
    <row r="245" spans="1:26" ht="12.75" customHeight="1">
      <c r="A245" s="198"/>
      <c r="B245" s="198"/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</row>
    <row r="246" spans="1:26" ht="12.75" customHeight="1">
      <c r="A246" s="198"/>
      <c r="B246" s="198"/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</row>
    <row r="247" spans="1:26" ht="12.75" customHeight="1">
      <c r="A247" s="198"/>
      <c r="B247" s="198"/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</row>
    <row r="248" spans="1:26" ht="12.75" customHeight="1">
      <c r="A248" s="198"/>
      <c r="B248" s="198"/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</row>
    <row r="249" spans="1:26" ht="12.75" customHeight="1">
      <c r="A249" s="198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</row>
    <row r="250" spans="1:26" ht="12.75" customHeight="1">
      <c r="A250" s="198"/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</row>
    <row r="251" spans="1:26" ht="12.75" customHeight="1">
      <c r="A251" s="198"/>
      <c r="B251" s="198"/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</row>
    <row r="252" spans="1:26" ht="12.75" customHeight="1">
      <c r="A252" s="198"/>
      <c r="B252" s="198"/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</row>
    <row r="253" spans="1:26" ht="12.75" customHeight="1">
      <c r="A253" s="198"/>
      <c r="B253" s="198"/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</row>
    <row r="254" spans="1:26" ht="12.75" customHeight="1">
      <c r="A254" s="198"/>
      <c r="B254" s="198"/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</row>
    <row r="255" spans="1:26" ht="12.75" customHeight="1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</row>
    <row r="256" spans="1:26" ht="12.75" customHeight="1">
      <c r="A256" s="198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</row>
    <row r="257" spans="1:26" ht="12.75" customHeight="1">
      <c r="A257" s="198"/>
      <c r="B257" s="198"/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</row>
    <row r="258" spans="1:26" ht="12.75" customHeight="1">
      <c r="A258" s="198"/>
      <c r="B258" s="198"/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</row>
    <row r="259" spans="1:26" ht="12.75" customHeight="1">
      <c r="A259" s="198"/>
      <c r="B259" s="198"/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</row>
    <row r="260" spans="1:26" ht="12.75" customHeight="1">
      <c r="A260" s="198"/>
      <c r="B260" s="198"/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</row>
    <row r="261" spans="1:26" ht="12.75" customHeight="1">
      <c r="A261" s="198"/>
      <c r="B261" s="198"/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</row>
    <row r="262" spans="1:26" ht="12.75" customHeight="1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</row>
    <row r="263" spans="1:26" ht="12.75" customHeight="1">
      <c r="A263" s="198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</row>
    <row r="264" spans="1:26" ht="12.75" customHeight="1">
      <c r="A264" s="198"/>
      <c r="B264" s="198"/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</row>
    <row r="265" spans="1:26" ht="12.75" customHeight="1">
      <c r="A265" s="198"/>
      <c r="B265" s="198"/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</row>
    <row r="266" spans="1:26" ht="12.75" customHeight="1">
      <c r="A266" s="198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</row>
    <row r="267" spans="1:26" ht="12.75" customHeight="1">
      <c r="A267" s="198"/>
      <c r="B267" s="198"/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</row>
    <row r="268" spans="1:26" ht="12.75" customHeight="1">
      <c r="A268" s="198"/>
      <c r="B268" s="198"/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</row>
    <row r="269" spans="1:26" ht="12.75" customHeight="1">
      <c r="A269" s="198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</row>
    <row r="270" spans="1:26" ht="12.75" customHeight="1">
      <c r="A270" s="198"/>
      <c r="B270" s="198"/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</row>
    <row r="271" spans="1:26" ht="12.75" customHeight="1">
      <c r="A271" s="198"/>
      <c r="B271" s="198"/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</row>
    <row r="272" spans="1:26" ht="12.75" customHeight="1">
      <c r="A272" s="198"/>
      <c r="B272" s="198"/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</row>
    <row r="273" spans="1:26" ht="12.75" customHeight="1">
      <c r="A273" s="198"/>
      <c r="B273" s="198"/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</row>
    <row r="274" spans="1:26" ht="12.75" customHeight="1">
      <c r="A274" s="198"/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</row>
    <row r="275" spans="1:26" ht="12.75" customHeight="1">
      <c r="A275" s="198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</row>
    <row r="276" spans="1:26" ht="12.75" customHeight="1">
      <c r="A276" s="198"/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</row>
    <row r="277" spans="1:26" ht="12.75" customHeight="1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</row>
    <row r="278" spans="1:26" ht="12.75" customHeight="1">
      <c r="A278" s="198"/>
      <c r="B278" s="198"/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</row>
    <row r="279" spans="1:26" ht="12.75" customHeight="1">
      <c r="A279" s="198"/>
      <c r="B279" s="198"/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</row>
    <row r="280" spans="1:26" ht="12.75" customHeight="1">
      <c r="A280" s="198"/>
      <c r="B280" s="198"/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</row>
    <row r="281" spans="1:26" ht="12.75" customHeight="1">
      <c r="A281" s="198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</row>
    <row r="282" spans="1:26" ht="12.75" customHeight="1">
      <c r="A282" s="198"/>
      <c r="B282" s="198"/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</row>
    <row r="283" spans="1:26" ht="12.75" customHeight="1">
      <c r="A283" s="198"/>
      <c r="B283" s="198"/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</row>
    <row r="284" spans="1:26" ht="12.75" customHeight="1">
      <c r="A284" s="198"/>
      <c r="B284" s="198"/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</row>
    <row r="285" spans="1:26" ht="12.75" customHeight="1">
      <c r="A285" s="198"/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</row>
    <row r="286" spans="1:26" ht="12.75" customHeight="1">
      <c r="A286" s="198"/>
      <c r="B286" s="198"/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</row>
    <row r="287" spans="1:26" ht="12.75" customHeight="1">
      <c r="A287" s="198"/>
      <c r="B287" s="198"/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</row>
    <row r="288" spans="1:26" ht="12.75" customHeight="1">
      <c r="A288" s="198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</row>
    <row r="289" spans="1:26" ht="12.75" customHeight="1">
      <c r="A289" s="198"/>
      <c r="B289" s="198"/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</row>
    <row r="290" spans="1:26" ht="12.75" customHeight="1">
      <c r="A290" s="198"/>
      <c r="B290" s="198"/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</row>
    <row r="291" spans="1:26" ht="12.75" customHeight="1">
      <c r="A291" s="198"/>
      <c r="B291" s="198"/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</row>
    <row r="292" spans="1:26" ht="12.75" customHeight="1">
      <c r="A292" s="198"/>
      <c r="B292" s="198"/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</row>
    <row r="293" spans="1:26" ht="12.75" customHeight="1">
      <c r="A293" s="198"/>
      <c r="B293" s="198"/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</row>
    <row r="294" spans="1:26" ht="12.75" customHeight="1">
      <c r="A294" s="198"/>
      <c r="B294" s="198"/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</row>
    <row r="295" spans="1:26" ht="12.75" customHeight="1">
      <c r="A295" s="198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</row>
    <row r="296" spans="1:26" ht="12.75" customHeight="1">
      <c r="A296" s="198"/>
      <c r="B296" s="198"/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</row>
    <row r="297" spans="1:26" ht="12.75" customHeight="1">
      <c r="A297" s="198"/>
      <c r="B297" s="198"/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</row>
    <row r="298" spans="1:26" ht="12.75" customHeight="1">
      <c r="A298" s="198"/>
      <c r="B298" s="198"/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</row>
    <row r="299" spans="1:26" ht="12.75" customHeight="1">
      <c r="A299" s="198"/>
      <c r="B299" s="198"/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</row>
    <row r="300" spans="1:26" ht="12.75" customHeight="1">
      <c r="A300" s="198"/>
      <c r="B300" s="198"/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</row>
    <row r="301" spans="1:26" ht="12.75" customHeight="1">
      <c r="A301" s="198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</row>
    <row r="302" spans="1:26" ht="12.75" customHeight="1">
      <c r="A302" s="198"/>
      <c r="B302" s="198"/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</row>
    <row r="303" spans="1:26" ht="12.75" customHeight="1">
      <c r="A303" s="198"/>
      <c r="B303" s="198"/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</row>
    <row r="304" spans="1:26" ht="12.75" customHeight="1">
      <c r="A304" s="198"/>
      <c r="B304" s="198"/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</row>
    <row r="305" spans="1:26" ht="12.75" customHeight="1">
      <c r="A305" s="198"/>
      <c r="B305" s="198"/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</row>
    <row r="306" spans="1:26" ht="12.75" customHeight="1">
      <c r="A306" s="198"/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</row>
    <row r="307" spans="1:26" ht="12.75" customHeight="1">
      <c r="A307" s="198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</row>
    <row r="308" spans="1:26" ht="12.75" customHeight="1">
      <c r="A308" s="198"/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</row>
    <row r="309" spans="1:26" ht="12.75" customHeight="1">
      <c r="A309" s="198"/>
      <c r="B309" s="198"/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</row>
    <row r="310" spans="1:26" ht="12.75" customHeight="1">
      <c r="A310" s="198"/>
      <c r="B310" s="198"/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</row>
    <row r="311" spans="1:26" ht="12.75" customHeight="1">
      <c r="A311" s="198"/>
      <c r="B311" s="198"/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</row>
    <row r="312" spans="1:26" ht="12.75" customHeight="1">
      <c r="A312" s="198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</row>
    <row r="313" spans="1:26" ht="12.75" customHeight="1">
      <c r="A313" s="198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</row>
    <row r="314" spans="1:26" ht="12.75" customHeight="1">
      <c r="A314" s="198"/>
      <c r="B314" s="198"/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</row>
    <row r="315" spans="1:26" ht="12.75" customHeight="1">
      <c r="A315" s="198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</row>
    <row r="316" spans="1:26" ht="12.75" customHeight="1">
      <c r="A316" s="198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</row>
    <row r="317" spans="1:26" ht="12.75" customHeight="1">
      <c r="A317" s="198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</row>
    <row r="318" spans="1:26" ht="12.75" customHeight="1">
      <c r="A318" s="198"/>
      <c r="B318" s="198"/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</row>
    <row r="319" spans="1:26" ht="12.75" customHeight="1">
      <c r="A319" s="198"/>
      <c r="B319" s="198"/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</row>
    <row r="320" spans="1:26" ht="12.75" customHeight="1">
      <c r="A320" s="198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</row>
    <row r="321" spans="1:26" ht="12.75" customHeight="1">
      <c r="A321" s="198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</row>
    <row r="322" spans="1:26" ht="12.75" customHeight="1">
      <c r="A322" s="198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</row>
    <row r="323" spans="1:26" ht="12.75" customHeight="1">
      <c r="A323" s="198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</row>
    <row r="324" spans="1:26" ht="12.75" customHeight="1">
      <c r="A324" s="198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</row>
    <row r="325" spans="1:26" ht="12.75" customHeight="1">
      <c r="A325" s="198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</row>
    <row r="326" spans="1:26" ht="12.75" customHeight="1">
      <c r="A326" s="198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</row>
    <row r="327" spans="1:26" ht="12.75" customHeight="1">
      <c r="A327" s="198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</row>
    <row r="328" spans="1:26" ht="12.75" customHeight="1">
      <c r="A328" s="198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</row>
    <row r="329" spans="1:26" ht="12.75" customHeight="1">
      <c r="A329" s="198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</row>
    <row r="330" spans="1:26" ht="12.75" customHeight="1">
      <c r="A330" s="198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</row>
    <row r="331" spans="1:26" ht="12.75" customHeight="1">
      <c r="A331" s="198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</row>
    <row r="332" spans="1:26" ht="12.75" customHeight="1">
      <c r="A332" s="198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</row>
    <row r="333" spans="1:26" ht="12.75" customHeight="1">
      <c r="A333" s="198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</row>
    <row r="334" spans="1:26" ht="12.75" customHeight="1">
      <c r="A334" s="198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</row>
    <row r="335" spans="1:26" ht="12.75" customHeight="1">
      <c r="A335" s="198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</row>
    <row r="336" spans="1:26" ht="12.75" customHeight="1">
      <c r="A336" s="198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</row>
    <row r="337" spans="1:26" ht="12.75" customHeight="1">
      <c r="A337" s="198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</row>
    <row r="338" spans="1:26" ht="12.75" customHeight="1">
      <c r="A338" s="198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</row>
    <row r="339" spans="1:26" ht="12.75" customHeight="1">
      <c r="A339" s="198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</row>
    <row r="340" spans="1:26" ht="12.75" customHeight="1">
      <c r="A340" s="198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</row>
    <row r="341" spans="1:26" ht="12.75" customHeight="1">
      <c r="A341" s="198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</row>
    <row r="342" spans="1:26" ht="12.75" customHeight="1">
      <c r="A342" s="198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</row>
    <row r="343" spans="1:26" ht="12.75" customHeight="1">
      <c r="A343" s="198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</row>
    <row r="344" spans="1:26" ht="12.75" customHeight="1">
      <c r="A344" s="198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</row>
    <row r="345" spans="1:26" ht="12.75" customHeight="1">
      <c r="A345" s="198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</row>
    <row r="346" spans="1:26" ht="12.75" customHeight="1">
      <c r="A346" s="198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</row>
    <row r="347" spans="1:26" ht="12.75" customHeight="1">
      <c r="A347" s="198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</row>
    <row r="348" spans="1:26" ht="12.75" customHeight="1">
      <c r="A348" s="198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</row>
    <row r="349" spans="1:26" ht="12.75" customHeight="1">
      <c r="A349" s="198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</row>
    <row r="350" spans="1:26" ht="12.75" customHeight="1">
      <c r="A350" s="198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</row>
    <row r="351" spans="1:26" ht="12.75" customHeight="1">
      <c r="A351" s="198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</row>
    <row r="352" spans="1:26" ht="12.75" customHeight="1">
      <c r="A352" s="198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</row>
    <row r="353" spans="1:26" ht="12.75" customHeight="1">
      <c r="A353" s="198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</row>
    <row r="354" spans="1:26" ht="12.75" customHeight="1">
      <c r="A354" s="198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</row>
    <row r="355" spans="1:26" ht="12.75" customHeight="1">
      <c r="A355" s="198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</row>
    <row r="356" spans="1:26" ht="12.75" customHeight="1">
      <c r="A356" s="198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</row>
    <row r="357" spans="1:26" ht="12.75" customHeight="1">
      <c r="A357" s="198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</row>
    <row r="358" spans="1:26" ht="12.75" customHeight="1">
      <c r="A358" s="198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</row>
    <row r="359" spans="1:26" ht="12.75" customHeight="1">
      <c r="A359" s="198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</row>
    <row r="360" spans="1:26" ht="12.75" customHeight="1">
      <c r="A360" s="198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</row>
    <row r="361" spans="1:26" ht="12.75" customHeight="1">
      <c r="A361" s="198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</row>
    <row r="362" spans="1:26" ht="12.75" customHeight="1">
      <c r="A362" s="198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</row>
    <row r="363" spans="1:26" ht="12.75" customHeight="1">
      <c r="A363" s="198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</row>
    <row r="364" spans="1:26" ht="12.75" customHeight="1">
      <c r="A364" s="198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</row>
    <row r="365" spans="1:26" ht="12.75" customHeight="1">
      <c r="A365" s="198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</row>
    <row r="366" spans="1:26" ht="12.75" customHeight="1">
      <c r="A366" s="198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</row>
    <row r="367" spans="1:26" ht="12.75" customHeight="1">
      <c r="A367" s="198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</row>
    <row r="368" spans="1:26" ht="12.75" customHeight="1">
      <c r="A368" s="198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</row>
    <row r="369" spans="1:26" ht="12.75" customHeight="1">
      <c r="A369" s="198"/>
      <c r="B369" s="198"/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</row>
    <row r="370" spans="1:26" ht="12.75" customHeight="1">
      <c r="A370" s="198"/>
      <c r="B370" s="198"/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</row>
    <row r="371" spans="1:26" ht="12.75" customHeight="1">
      <c r="A371" s="198"/>
      <c r="B371" s="198"/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</row>
    <row r="372" spans="1:26" ht="12.75" customHeight="1">
      <c r="A372" s="198"/>
      <c r="B372" s="198"/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</row>
    <row r="373" spans="1:26" ht="12.75" customHeight="1">
      <c r="A373" s="198"/>
      <c r="B373" s="198"/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</row>
    <row r="374" spans="1:26" ht="12.75" customHeight="1">
      <c r="A374" s="198"/>
      <c r="B374" s="198"/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</row>
    <row r="375" spans="1:26" ht="12.75" customHeight="1">
      <c r="A375" s="198"/>
      <c r="B375" s="198"/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</row>
    <row r="376" spans="1:26" ht="12.75" customHeight="1">
      <c r="A376" s="198"/>
      <c r="B376" s="198"/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</row>
    <row r="377" spans="1:26" ht="12.75" customHeight="1">
      <c r="A377" s="198"/>
      <c r="B377" s="198"/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</row>
    <row r="378" spans="1:26" ht="12.75" customHeight="1">
      <c r="A378" s="198"/>
      <c r="B378" s="198"/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</row>
    <row r="379" spans="1:26" ht="12.75" customHeight="1">
      <c r="A379" s="198"/>
      <c r="B379" s="198"/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</row>
    <row r="380" spans="1:26" ht="12.75" customHeight="1">
      <c r="A380" s="198"/>
      <c r="B380" s="198"/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</row>
    <row r="381" spans="1:26" ht="12.75" customHeight="1">
      <c r="A381" s="198"/>
      <c r="B381" s="198"/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</row>
    <row r="382" spans="1:26" ht="12.75" customHeight="1">
      <c r="A382" s="198"/>
      <c r="B382" s="198"/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</row>
    <row r="383" spans="1:26" ht="12.75" customHeight="1">
      <c r="A383" s="198"/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</row>
    <row r="384" spans="1:26" ht="12.75" customHeight="1">
      <c r="A384" s="198"/>
      <c r="B384" s="198"/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</row>
    <row r="385" spans="1:26" ht="12.75" customHeight="1">
      <c r="A385" s="198"/>
      <c r="B385" s="198"/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</row>
    <row r="386" spans="1:26" ht="12.75" customHeight="1">
      <c r="A386" s="198"/>
      <c r="B386" s="198"/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</row>
    <row r="387" spans="1:26" ht="12.75" customHeight="1">
      <c r="A387" s="198"/>
      <c r="B387" s="198"/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</row>
    <row r="388" spans="1:26" ht="12.75" customHeight="1">
      <c r="A388" s="198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</row>
    <row r="389" spans="1:26" ht="12.75" customHeight="1">
      <c r="A389" s="198"/>
      <c r="B389" s="198"/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</row>
    <row r="390" spans="1:26" ht="12.75" customHeight="1">
      <c r="A390" s="198"/>
      <c r="B390" s="198"/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</row>
    <row r="391" spans="1:26" ht="12.75" customHeight="1">
      <c r="A391" s="198"/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</row>
    <row r="392" spans="1:26" ht="12.75" customHeight="1">
      <c r="A392" s="198"/>
      <c r="B392" s="198"/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</row>
    <row r="393" spans="1:26" ht="12.75" customHeight="1">
      <c r="A393" s="198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</row>
    <row r="394" spans="1:26" ht="12.75" customHeight="1">
      <c r="A394" s="198"/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</row>
    <row r="395" spans="1:26" ht="12.75" customHeight="1">
      <c r="A395" s="198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</row>
    <row r="396" spans="1:26" ht="12.75" customHeight="1">
      <c r="A396" s="198"/>
      <c r="B396" s="198"/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</row>
    <row r="397" spans="1:26" ht="12.75" customHeight="1">
      <c r="A397" s="198"/>
      <c r="B397" s="198"/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</row>
    <row r="398" spans="1:26" ht="12.75" customHeight="1">
      <c r="A398" s="198"/>
      <c r="B398" s="198"/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</row>
    <row r="399" spans="1:26" ht="12.75" customHeight="1">
      <c r="A399" s="198"/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</row>
    <row r="400" spans="1:26" ht="12.75" customHeight="1">
      <c r="A400" s="198"/>
      <c r="B400" s="198"/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</row>
    <row r="401" spans="1:26" ht="12.75" customHeight="1">
      <c r="A401" s="198"/>
      <c r="B401" s="198"/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</row>
    <row r="402" spans="1:26" ht="12.75" customHeight="1">
      <c r="A402" s="198"/>
      <c r="B402" s="198"/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</row>
    <row r="403" spans="1:26" ht="12.75" customHeight="1">
      <c r="A403" s="198"/>
      <c r="B403" s="198"/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</row>
    <row r="404" spans="1:26" ht="12.75" customHeight="1">
      <c r="A404" s="198"/>
      <c r="B404" s="198"/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</row>
    <row r="405" spans="1:26" ht="12.75" customHeight="1">
      <c r="A405" s="198"/>
      <c r="B405" s="198"/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</row>
    <row r="406" spans="1:26" ht="12.75" customHeight="1">
      <c r="A406" s="198"/>
      <c r="B406" s="198"/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</row>
    <row r="407" spans="1:26" ht="12.75" customHeight="1">
      <c r="A407" s="198"/>
      <c r="B407" s="198"/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</row>
    <row r="408" spans="1:26" ht="12.75" customHeight="1">
      <c r="A408" s="198"/>
      <c r="B408" s="198"/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</row>
    <row r="409" spans="1:26" ht="12.75" customHeight="1">
      <c r="A409" s="198"/>
      <c r="B409" s="198"/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</row>
    <row r="410" spans="1:26" ht="12.75" customHeight="1">
      <c r="A410" s="198"/>
      <c r="B410" s="198"/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</row>
    <row r="411" spans="1:26" ht="12.75" customHeight="1">
      <c r="A411" s="198"/>
      <c r="B411" s="198"/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</row>
    <row r="412" spans="1:26" ht="12.75" customHeight="1">
      <c r="A412" s="198"/>
      <c r="B412" s="198"/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</row>
    <row r="413" spans="1:26" ht="12.75" customHeight="1">
      <c r="A413" s="198"/>
      <c r="B413" s="198"/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</row>
    <row r="414" spans="1:26" ht="12.75" customHeight="1">
      <c r="A414" s="198"/>
      <c r="B414" s="198"/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</row>
    <row r="415" spans="1:26" ht="12.75" customHeight="1">
      <c r="A415" s="198"/>
      <c r="B415" s="198"/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</row>
    <row r="416" spans="1:26" ht="12.75" customHeight="1">
      <c r="A416" s="198"/>
      <c r="B416" s="198"/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</row>
    <row r="417" spans="1:26" ht="12.75" customHeight="1">
      <c r="A417" s="198"/>
      <c r="B417" s="198"/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</row>
    <row r="418" spans="1:26" ht="12.75" customHeight="1">
      <c r="A418" s="198"/>
      <c r="B418" s="198"/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</row>
    <row r="419" spans="1:26" ht="12.75" customHeight="1">
      <c r="A419" s="198"/>
      <c r="B419" s="198"/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</row>
    <row r="420" spans="1:26" ht="12.75" customHeight="1">
      <c r="A420" s="198"/>
      <c r="B420" s="198"/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</row>
    <row r="421" spans="1:26" ht="12.75" customHeight="1">
      <c r="A421" s="198"/>
      <c r="B421" s="198"/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</row>
    <row r="422" spans="1:26" ht="12.75" customHeight="1">
      <c r="A422" s="198"/>
      <c r="B422" s="198"/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</row>
    <row r="423" spans="1:26" ht="12.75" customHeight="1">
      <c r="A423" s="198"/>
      <c r="B423" s="198"/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</row>
    <row r="424" spans="1:26" ht="12.75" customHeight="1">
      <c r="A424" s="198"/>
      <c r="B424" s="198"/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</row>
    <row r="425" spans="1:26" ht="12.75" customHeight="1">
      <c r="A425" s="198"/>
      <c r="B425" s="198"/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</row>
    <row r="426" spans="1:26" ht="12.75" customHeight="1">
      <c r="A426" s="198"/>
      <c r="B426" s="198"/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</row>
    <row r="427" spans="1:26" ht="12.75" customHeight="1">
      <c r="A427" s="198"/>
      <c r="B427" s="198"/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</row>
    <row r="428" spans="1:26" ht="12.75" customHeight="1">
      <c r="A428" s="198"/>
      <c r="B428" s="198"/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</row>
    <row r="429" spans="1:26" ht="12.75" customHeight="1">
      <c r="A429" s="198"/>
      <c r="B429" s="198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</row>
    <row r="430" spans="1:26" ht="12.75" customHeight="1">
      <c r="A430" s="198"/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</row>
    <row r="431" spans="1:26" ht="12.75" customHeight="1">
      <c r="A431" s="198"/>
      <c r="B431" s="198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</row>
    <row r="432" spans="1:26" ht="12.75" customHeight="1">
      <c r="A432" s="198"/>
      <c r="B432" s="198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</row>
    <row r="433" spans="1:26" ht="12.75" customHeight="1">
      <c r="A433" s="198"/>
      <c r="B433" s="198"/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</row>
    <row r="434" spans="1:26" ht="12.75" customHeight="1">
      <c r="A434" s="198"/>
      <c r="B434" s="198"/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</row>
    <row r="435" spans="1:26" ht="12.75" customHeight="1">
      <c r="A435" s="198"/>
      <c r="B435" s="198"/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</row>
    <row r="436" spans="1:26" ht="12.75" customHeight="1">
      <c r="A436" s="198"/>
      <c r="B436" s="198"/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</row>
    <row r="437" spans="1:26" ht="12.75" customHeight="1">
      <c r="A437" s="198"/>
      <c r="B437" s="198"/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</row>
    <row r="438" spans="1:26" ht="12.75" customHeight="1">
      <c r="A438" s="198"/>
      <c r="B438" s="198"/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</row>
    <row r="439" spans="1:26" ht="12.75" customHeight="1">
      <c r="A439" s="198"/>
      <c r="B439" s="198"/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</row>
    <row r="440" spans="1:26" ht="12.75" customHeight="1">
      <c r="A440" s="198"/>
      <c r="B440" s="198"/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</row>
    <row r="441" spans="1:26" ht="12.75" customHeight="1">
      <c r="A441" s="198"/>
      <c r="B441" s="198"/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</row>
    <row r="442" spans="1:26" ht="12.75" customHeight="1">
      <c r="A442" s="198"/>
      <c r="B442" s="198"/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</row>
    <row r="443" spans="1:26" ht="12.75" customHeight="1">
      <c r="A443" s="198"/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</row>
    <row r="444" spans="1:26" ht="12.75" customHeight="1">
      <c r="A444" s="198"/>
      <c r="B444" s="198"/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</row>
    <row r="445" spans="1:26" ht="12.75" customHeight="1">
      <c r="A445" s="198"/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</row>
    <row r="446" spans="1:26" ht="12.75" customHeight="1">
      <c r="A446" s="198"/>
      <c r="B446" s="198"/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</row>
    <row r="447" spans="1:26" ht="12.75" customHeight="1">
      <c r="A447" s="198"/>
      <c r="B447" s="198"/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</row>
    <row r="448" spans="1:26" ht="12.75" customHeight="1">
      <c r="A448" s="198"/>
      <c r="B448" s="198"/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</row>
    <row r="449" spans="1:26" ht="12.75" customHeight="1">
      <c r="A449" s="198"/>
      <c r="B449" s="198"/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</row>
    <row r="450" spans="1:26" ht="12.75" customHeight="1">
      <c r="A450" s="198"/>
      <c r="B450" s="198"/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</row>
    <row r="451" spans="1:26" ht="12.75" customHeight="1">
      <c r="A451" s="198"/>
      <c r="B451" s="198"/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</row>
    <row r="452" spans="1:26" ht="12.75" customHeight="1">
      <c r="A452" s="198"/>
      <c r="B452" s="198"/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</row>
    <row r="453" spans="1:26" ht="12.75" customHeight="1">
      <c r="A453" s="198"/>
      <c r="B453" s="198"/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</row>
    <row r="454" spans="1:26" ht="12.75" customHeight="1">
      <c r="A454" s="198"/>
      <c r="B454" s="198"/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</row>
    <row r="455" spans="1:26" ht="12.75" customHeight="1">
      <c r="A455" s="198"/>
      <c r="B455" s="198"/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</row>
    <row r="456" spans="1:26" ht="12.75" customHeight="1">
      <c r="A456" s="198"/>
      <c r="B456" s="198"/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</row>
    <row r="457" spans="1:26" ht="12.75" customHeight="1">
      <c r="A457" s="198"/>
      <c r="B457" s="198"/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</row>
    <row r="458" spans="1:26" ht="12.75" customHeight="1">
      <c r="A458" s="198"/>
      <c r="B458" s="198"/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</row>
    <row r="459" spans="1:26" ht="12.75" customHeight="1">
      <c r="A459" s="198"/>
      <c r="B459" s="198"/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</row>
    <row r="460" spans="1:26" ht="12.75" customHeight="1">
      <c r="A460" s="198"/>
      <c r="B460" s="198"/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</row>
    <row r="461" spans="1:26" ht="12.75" customHeight="1">
      <c r="A461" s="198"/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</row>
    <row r="462" spans="1:26" ht="12.75" customHeight="1">
      <c r="A462" s="198"/>
      <c r="B462" s="198"/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</row>
    <row r="463" spans="1:26" ht="12.75" customHeight="1">
      <c r="A463" s="198"/>
      <c r="B463" s="198"/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</row>
    <row r="464" spans="1:26" ht="12.75" customHeight="1">
      <c r="A464" s="198"/>
      <c r="B464" s="198"/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</row>
    <row r="465" spans="1:26" ht="12.75" customHeight="1">
      <c r="A465" s="198"/>
      <c r="B465" s="198"/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</row>
    <row r="466" spans="1:26" ht="12.75" customHeight="1">
      <c r="A466" s="198"/>
      <c r="B466" s="198"/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</row>
    <row r="467" spans="1:26" ht="12.75" customHeight="1">
      <c r="A467" s="198"/>
      <c r="B467" s="198"/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</row>
    <row r="468" spans="1:26" ht="12.75" customHeight="1">
      <c r="A468" s="198"/>
      <c r="B468" s="198"/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</row>
    <row r="469" spans="1:26" ht="12.75" customHeight="1">
      <c r="A469" s="198"/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</row>
    <row r="470" spans="1:26" ht="12.75" customHeight="1">
      <c r="A470" s="198"/>
      <c r="B470" s="198"/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</row>
    <row r="471" spans="1:26" ht="12.75" customHeight="1">
      <c r="A471" s="198"/>
      <c r="B471" s="198"/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</row>
    <row r="472" spans="1:26" ht="12.75" customHeight="1">
      <c r="A472" s="198"/>
      <c r="B472" s="198"/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</row>
    <row r="473" spans="1:26" ht="12.75" customHeight="1">
      <c r="A473" s="198"/>
      <c r="B473" s="198"/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</row>
    <row r="474" spans="1:26" ht="12.75" customHeight="1">
      <c r="A474" s="198"/>
      <c r="B474" s="198"/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</row>
    <row r="475" spans="1:26" ht="12.75" customHeight="1">
      <c r="A475" s="198"/>
      <c r="B475" s="198"/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</row>
    <row r="476" spans="1:26" ht="12.75" customHeight="1">
      <c r="A476" s="198"/>
      <c r="B476" s="198"/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</row>
    <row r="477" spans="1:26" ht="12.75" customHeight="1">
      <c r="A477" s="198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</row>
    <row r="478" spans="1:26" ht="12.75" customHeight="1">
      <c r="A478" s="198"/>
      <c r="B478" s="198"/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</row>
    <row r="479" spans="1:26" ht="12.75" customHeight="1">
      <c r="A479" s="198"/>
      <c r="B479" s="198"/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</row>
    <row r="480" spans="1:26" ht="12.75" customHeight="1">
      <c r="A480" s="198"/>
      <c r="B480" s="198"/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</row>
    <row r="481" spans="1:26" ht="12.75" customHeight="1">
      <c r="A481" s="198"/>
      <c r="B481" s="198"/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</row>
    <row r="482" spans="1:26" ht="12.75" customHeight="1">
      <c r="A482" s="198"/>
      <c r="B482" s="198"/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</row>
    <row r="483" spans="1:26" ht="12.75" customHeight="1">
      <c r="A483" s="198"/>
      <c r="B483" s="198"/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</row>
    <row r="484" spans="1:26" ht="12.75" customHeight="1">
      <c r="A484" s="198"/>
      <c r="B484" s="198"/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</row>
    <row r="485" spans="1:26" ht="12.75" customHeight="1">
      <c r="A485" s="198"/>
      <c r="B485" s="198"/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</row>
    <row r="486" spans="1:26" ht="12.75" customHeight="1">
      <c r="A486" s="198"/>
      <c r="B486" s="198"/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</row>
    <row r="487" spans="1:26" ht="12.75" customHeight="1">
      <c r="A487" s="198"/>
      <c r="B487" s="198"/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</row>
    <row r="488" spans="1:26" ht="12.75" customHeight="1">
      <c r="A488" s="198"/>
      <c r="B488" s="198"/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</row>
    <row r="489" spans="1:26" ht="12.75" customHeight="1">
      <c r="A489" s="198"/>
      <c r="B489" s="198"/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</row>
    <row r="490" spans="1:26" ht="12.75" customHeight="1">
      <c r="A490" s="198"/>
      <c r="B490" s="198"/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</row>
    <row r="491" spans="1:26" ht="12.75" customHeight="1">
      <c r="A491" s="198"/>
      <c r="B491" s="198"/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</row>
    <row r="492" spans="1:26" ht="12.75" customHeight="1">
      <c r="A492" s="198"/>
      <c r="B492" s="198"/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</row>
    <row r="493" spans="1:26" ht="12.75" customHeight="1">
      <c r="A493" s="198"/>
      <c r="B493" s="198"/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</row>
    <row r="494" spans="1:26" ht="12.75" customHeight="1">
      <c r="A494" s="198"/>
      <c r="B494" s="198"/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</row>
    <row r="495" spans="1:26" ht="12.75" customHeight="1">
      <c r="A495" s="198"/>
      <c r="B495" s="198"/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</row>
    <row r="496" spans="1:26" ht="12.75" customHeight="1">
      <c r="A496" s="198"/>
      <c r="B496" s="198"/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</row>
    <row r="497" spans="1:26" ht="12.75" customHeight="1">
      <c r="A497" s="198"/>
      <c r="B497" s="198"/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</row>
    <row r="498" spans="1:26" ht="12.75" customHeight="1">
      <c r="A498" s="198"/>
      <c r="B498" s="198"/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</row>
    <row r="499" spans="1:26" ht="12.75" customHeight="1">
      <c r="A499" s="198"/>
      <c r="B499" s="198"/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</row>
    <row r="500" spans="1:26" ht="12.75" customHeight="1">
      <c r="A500" s="198"/>
      <c r="B500" s="198"/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</row>
    <row r="501" spans="1:26" ht="12.75" customHeight="1">
      <c r="A501" s="198"/>
      <c r="B501" s="198"/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</row>
    <row r="502" spans="1:26" ht="12.75" customHeight="1">
      <c r="A502" s="198"/>
      <c r="B502" s="198"/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</row>
    <row r="503" spans="1:26" ht="12.75" customHeight="1">
      <c r="A503" s="198"/>
      <c r="B503" s="198"/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</row>
    <row r="504" spans="1:26" ht="12.75" customHeight="1">
      <c r="A504" s="198"/>
      <c r="B504" s="198"/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</row>
    <row r="505" spans="1:26" ht="12.75" customHeight="1">
      <c r="A505" s="198"/>
      <c r="B505" s="198"/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</row>
    <row r="506" spans="1:26" ht="12.75" customHeight="1">
      <c r="A506" s="198"/>
      <c r="B506" s="198"/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</row>
    <row r="507" spans="1:26" ht="12.75" customHeight="1">
      <c r="A507" s="198"/>
      <c r="B507" s="198"/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</row>
    <row r="508" spans="1:26" ht="12.75" customHeight="1">
      <c r="A508" s="198"/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</row>
    <row r="509" spans="1:26" ht="12.75" customHeight="1">
      <c r="A509" s="198"/>
      <c r="B509" s="198"/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</row>
    <row r="510" spans="1:26" ht="12.75" customHeight="1">
      <c r="A510" s="198"/>
      <c r="B510" s="198"/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</row>
    <row r="511" spans="1:26" ht="12.75" customHeight="1">
      <c r="A511" s="198"/>
      <c r="B511" s="198"/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</row>
    <row r="512" spans="1:26" ht="12.75" customHeight="1">
      <c r="A512" s="198"/>
      <c r="B512" s="198"/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</row>
    <row r="513" spans="1:26" ht="12.75" customHeight="1">
      <c r="A513" s="198"/>
      <c r="B513" s="198"/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</row>
    <row r="514" spans="1:26" ht="12.75" customHeight="1">
      <c r="A514" s="198"/>
      <c r="B514" s="198"/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</row>
    <row r="515" spans="1:26" ht="12.75" customHeight="1">
      <c r="A515" s="198"/>
      <c r="B515" s="198"/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</row>
    <row r="516" spans="1:26" ht="12.75" customHeight="1">
      <c r="A516" s="198"/>
      <c r="B516" s="198"/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</row>
    <row r="517" spans="1:26" ht="12.75" customHeight="1">
      <c r="A517" s="198"/>
      <c r="B517" s="198"/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</row>
    <row r="518" spans="1:26" ht="12.75" customHeight="1">
      <c r="A518" s="198"/>
      <c r="B518" s="198"/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</row>
    <row r="519" spans="1:26" ht="12.75" customHeight="1">
      <c r="A519" s="198"/>
      <c r="B519" s="198"/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</row>
    <row r="520" spans="1:26" ht="12.75" customHeight="1">
      <c r="A520" s="198"/>
      <c r="B520" s="198"/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</row>
    <row r="521" spans="1:26" ht="12.75" customHeight="1">
      <c r="A521" s="198"/>
      <c r="B521" s="198"/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</row>
    <row r="522" spans="1:26" ht="12.75" customHeight="1">
      <c r="A522" s="198"/>
      <c r="B522" s="198"/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</row>
    <row r="523" spans="1:26" ht="12.75" customHeight="1">
      <c r="A523" s="198"/>
      <c r="B523" s="198"/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</row>
    <row r="524" spans="1:26" ht="12.75" customHeight="1">
      <c r="A524" s="198"/>
      <c r="B524" s="198"/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</row>
    <row r="525" spans="1:26" ht="12.75" customHeight="1">
      <c r="A525" s="198"/>
      <c r="B525" s="198"/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</row>
    <row r="526" spans="1:26" ht="12.75" customHeight="1">
      <c r="A526" s="198"/>
      <c r="B526" s="198"/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</row>
    <row r="527" spans="1:26" ht="12.75" customHeight="1">
      <c r="A527" s="198"/>
      <c r="B527" s="198"/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</row>
    <row r="528" spans="1:26" ht="12.75" customHeight="1">
      <c r="A528" s="198"/>
      <c r="B528" s="198"/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</row>
    <row r="529" spans="1:26" ht="12.75" customHeight="1">
      <c r="A529" s="198"/>
      <c r="B529" s="198"/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</row>
    <row r="530" spans="1:26" ht="12.75" customHeight="1">
      <c r="A530" s="198"/>
      <c r="B530" s="198"/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</row>
    <row r="531" spans="1:26" ht="12.75" customHeight="1">
      <c r="A531" s="198"/>
      <c r="B531" s="198"/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</row>
    <row r="532" spans="1:26" ht="12.75" customHeight="1">
      <c r="A532" s="198"/>
      <c r="B532" s="198"/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</row>
    <row r="533" spans="1:26" ht="12.75" customHeight="1">
      <c r="A533" s="198"/>
      <c r="B533" s="198"/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</row>
    <row r="534" spans="1:26" ht="12.75" customHeight="1">
      <c r="A534" s="198"/>
      <c r="B534" s="198"/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</row>
    <row r="535" spans="1:26" ht="12.75" customHeight="1">
      <c r="A535" s="198"/>
      <c r="B535" s="198"/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</row>
    <row r="536" spans="1:26" ht="12.75" customHeight="1">
      <c r="A536" s="198"/>
      <c r="B536" s="198"/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</row>
    <row r="537" spans="1:26" ht="12.75" customHeight="1">
      <c r="A537" s="198"/>
      <c r="B537" s="198"/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</row>
    <row r="538" spans="1:26" ht="12.75" customHeight="1">
      <c r="A538" s="198"/>
      <c r="B538" s="198"/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</row>
    <row r="539" spans="1:26" ht="12.75" customHeight="1">
      <c r="A539" s="198"/>
      <c r="B539" s="198"/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</row>
    <row r="540" spans="1:26" ht="12.75" customHeight="1">
      <c r="A540" s="198"/>
      <c r="B540" s="198"/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</row>
    <row r="541" spans="1:26" ht="12.75" customHeight="1">
      <c r="A541" s="198"/>
      <c r="B541" s="198"/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</row>
    <row r="542" spans="1:26" ht="12.75" customHeight="1">
      <c r="A542" s="198"/>
      <c r="B542" s="198"/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</row>
    <row r="543" spans="1:26" ht="12.75" customHeight="1">
      <c r="A543" s="198"/>
      <c r="B543" s="198"/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</row>
    <row r="544" spans="1:26" ht="12.75" customHeight="1">
      <c r="A544" s="198"/>
      <c r="B544" s="198"/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</row>
    <row r="545" spans="1:26" ht="12.75" customHeight="1">
      <c r="A545" s="198"/>
      <c r="B545" s="198"/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</row>
    <row r="546" spans="1:26" ht="12.75" customHeight="1">
      <c r="A546" s="198"/>
      <c r="B546" s="198"/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</row>
    <row r="547" spans="1:26" ht="12.75" customHeight="1">
      <c r="A547" s="198"/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</row>
    <row r="548" spans="1:26" ht="12.75" customHeight="1">
      <c r="A548" s="198"/>
      <c r="B548" s="198"/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</row>
    <row r="549" spans="1:26" ht="12.75" customHeight="1">
      <c r="A549" s="198"/>
      <c r="B549" s="198"/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</row>
    <row r="550" spans="1:26" ht="12.75" customHeight="1">
      <c r="A550" s="198"/>
      <c r="B550" s="198"/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</row>
    <row r="551" spans="1:26" ht="12.75" customHeight="1">
      <c r="A551" s="198"/>
      <c r="B551" s="198"/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</row>
    <row r="552" spans="1:26" ht="12.75" customHeight="1">
      <c r="A552" s="198"/>
      <c r="B552" s="198"/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</row>
    <row r="553" spans="1:26" ht="12.75" customHeight="1">
      <c r="A553" s="198"/>
      <c r="B553" s="198"/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</row>
    <row r="554" spans="1:26" ht="12.75" customHeight="1">
      <c r="A554" s="198"/>
      <c r="B554" s="198"/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</row>
    <row r="555" spans="1:26" ht="12.75" customHeight="1">
      <c r="A555" s="198"/>
      <c r="B555" s="198"/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</row>
    <row r="556" spans="1:26" ht="12.75" customHeight="1">
      <c r="A556" s="198"/>
      <c r="B556" s="198"/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</row>
    <row r="557" spans="1:26" ht="12.75" customHeight="1">
      <c r="A557" s="198"/>
      <c r="B557" s="198"/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</row>
    <row r="558" spans="1:26" ht="12.75" customHeight="1">
      <c r="A558" s="198"/>
      <c r="B558" s="198"/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</row>
    <row r="559" spans="1:26" ht="12.75" customHeight="1">
      <c r="A559" s="198"/>
      <c r="B559" s="198"/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</row>
    <row r="560" spans="1:26" ht="12.75" customHeight="1">
      <c r="A560" s="198"/>
      <c r="B560" s="198"/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</row>
    <row r="561" spans="1:26" ht="12.75" customHeight="1">
      <c r="A561" s="198"/>
      <c r="B561" s="198"/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</row>
    <row r="562" spans="1:26" ht="12.75" customHeight="1">
      <c r="A562" s="198"/>
      <c r="B562" s="198"/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</row>
    <row r="563" spans="1:26" ht="12.75" customHeight="1">
      <c r="A563" s="198"/>
      <c r="B563" s="198"/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</row>
    <row r="564" spans="1:26" ht="12.75" customHeight="1">
      <c r="A564" s="198"/>
      <c r="B564" s="198"/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</row>
    <row r="565" spans="1:26" ht="12.75" customHeight="1">
      <c r="A565" s="198"/>
      <c r="B565" s="198"/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</row>
    <row r="566" spans="1:26" ht="12.75" customHeight="1">
      <c r="A566" s="198"/>
      <c r="B566" s="198"/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</row>
    <row r="567" spans="1:26" ht="12.75" customHeight="1">
      <c r="A567" s="198"/>
      <c r="B567" s="198"/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</row>
    <row r="568" spans="1:26" ht="12.75" customHeight="1">
      <c r="A568" s="198"/>
      <c r="B568" s="198"/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</row>
    <row r="569" spans="1:26" ht="12.75" customHeight="1">
      <c r="A569" s="198"/>
      <c r="B569" s="198"/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</row>
    <row r="570" spans="1:26" ht="12.75" customHeight="1">
      <c r="A570" s="198"/>
      <c r="B570" s="198"/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</row>
    <row r="571" spans="1:26" ht="12.75" customHeight="1">
      <c r="A571" s="198"/>
      <c r="B571" s="198"/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</row>
    <row r="572" spans="1:26" ht="12.75" customHeight="1">
      <c r="A572" s="198"/>
      <c r="B572" s="198"/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</row>
    <row r="573" spans="1:26" ht="12.75" customHeight="1">
      <c r="A573" s="198"/>
      <c r="B573" s="198"/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</row>
    <row r="574" spans="1:26" ht="12.75" customHeight="1">
      <c r="A574" s="198"/>
      <c r="B574" s="198"/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</row>
    <row r="575" spans="1:26" ht="12.75" customHeight="1">
      <c r="A575" s="198"/>
      <c r="B575" s="198"/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</row>
    <row r="576" spans="1:26" ht="12.75" customHeight="1">
      <c r="A576" s="198"/>
      <c r="B576" s="198"/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</row>
    <row r="577" spans="1:26" ht="12.75" customHeight="1">
      <c r="A577" s="198"/>
      <c r="B577" s="198"/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</row>
    <row r="578" spans="1:26" ht="12.75" customHeight="1">
      <c r="A578" s="198"/>
      <c r="B578" s="198"/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</row>
    <row r="579" spans="1:26" ht="12.75" customHeight="1">
      <c r="A579" s="198"/>
      <c r="B579" s="198"/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</row>
    <row r="580" spans="1:26" ht="12.75" customHeight="1">
      <c r="A580" s="198"/>
      <c r="B580" s="198"/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</row>
    <row r="581" spans="1:26" ht="12.75" customHeight="1">
      <c r="A581" s="198"/>
      <c r="B581" s="198"/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</row>
    <row r="582" spans="1:26" ht="12.75" customHeight="1">
      <c r="A582" s="198"/>
      <c r="B582" s="198"/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</row>
    <row r="583" spans="1:26" ht="12.75" customHeight="1">
      <c r="A583" s="198"/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</row>
    <row r="584" spans="1:26" ht="12.75" customHeight="1">
      <c r="A584" s="198"/>
      <c r="B584" s="198"/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</row>
    <row r="585" spans="1:26" ht="12.75" customHeight="1">
      <c r="A585" s="198"/>
      <c r="B585" s="198"/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</row>
    <row r="586" spans="1:26" ht="12.75" customHeight="1">
      <c r="A586" s="198"/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</row>
    <row r="587" spans="1:26" ht="12.75" customHeight="1">
      <c r="A587" s="198"/>
      <c r="B587" s="198"/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</row>
    <row r="588" spans="1:26" ht="12.75" customHeight="1">
      <c r="A588" s="198"/>
      <c r="B588" s="198"/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</row>
    <row r="589" spans="1:26" ht="12.75" customHeight="1">
      <c r="A589" s="198"/>
      <c r="B589" s="198"/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</row>
    <row r="590" spans="1:26" ht="12.75" customHeight="1">
      <c r="A590" s="198"/>
      <c r="B590" s="198"/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</row>
    <row r="591" spans="1:26" ht="12.75" customHeight="1">
      <c r="A591" s="198"/>
      <c r="B591" s="198"/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</row>
    <row r="592" spans="1:26" ht="12.75" customHeight="1">
      <c r="A592" s="198"/>
      <c r="B592" s="198"/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</row>
    <row r="593" spans="1:26" ht="12.75" customHeight="1">
      <c r="A593" s="198"/>
      <c r="B593" s="198"/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</row>
    <row r="594" spans="1:26" ht="12.75" customHeight="1">
      <c r="A594" s="198"/>
      <c r="B594" s="198"/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</row>
    <row r="595" spans="1:26" ht="12.75" customHeight="1">
      <c r="A595" s="198"/>
      <c r="B595" s="198"/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</row>
    <row r="596" spans="1:26" ht="12.75" customHeight="1">
      <c r="A596" s="198"/>
      <c r="B596" s="198"/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</row>
    <row r="597" spans="1:26" ht="12.75" customHeight="1">
      <c r="A597" s="198"/>
      <c r="B597" s="198"/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</row>
    <row r="598" spans="1:26" ht="12.75" customHeight="1">
      <c r="A598" s="198"/>
      <c r="B598" s="198"/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</row>
    <row r="599" spans="1:26" ht="12.75" customHeight="1">
      <c r="A599" s="198"/>
      <c r="B599" s="198"/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</row>
    <row r="600" spans="1:26" ht="12.75" customHeight="1">
      <c r="A600" s="198"/>
      <c r="B600" s="198"/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</row>
    <row r="601" spans="1:26" ht="12.75" customHeight="1">
      <c r="A601" s="198"/>
      <c r="B601" s="198"/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</row>
    <row r="602" spans="1:26" ht="12.75" customHeight="1">
      <c r="A602" s="198"/>
      <c r="B602" s="198"/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</row>
    <row r="603" spans="1:26" ht="12.75" customHeight="1">
      <c r="A603" s="198"/>
      <c r="B603" s="198"/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</row>
    <row r="604" spans="1:26" ht="12.75" customHeight="1">
      <c r="A604" s="198"/>
      <c r="B604" s="198"/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</row>
    <row r="605" spans="1:26" ht="12.75" customHeight="1">
      <c r="A605" s="198"/>
      <c r="B605" s="198"/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</row>
    <row r="606" spans="1:26" ht="12.75" customHeight="1">
      <c r="A606" s="198"/>
      <c r="B606" s="198"/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</row>
    <row r="607" spans="1:26" ht="12.75" customHeight="1">
      <c r="A607" s="198"/>
      <c r="B607" s="198"/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</row>
    <row r="608" spans="1:26" ht="12.75" customHeight="1">
      <c r="A608" s="198"/>
      <c r="B608" s="198"/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</row>
    <row r="609" spans="1:26" ht="12.75" customHeight="1">
      <c r="A609" s="198"/>
      <c r="B609" s="198"/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</row>
    <row r="610" spans="1:26" ht="12.75" customHeight="1">
      <c r="A610" s="198"/>
      <c r="B610" s="198"/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</row>
    <row r="611" spans="1:26" ht="12.75" customHeight="1">
      <c r="A611" s="198"/>
      <c r="B611" s="198"/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</row>
    <row r="612" spans="1:26" ht="12.75" customHeight="1">
      <c r="A612" s="198"/>
      <c r="B612" s="198"/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</row>
    <row r="613" spans="1:26" ht="12.75" customHeight="1">
      <c r="A613" s="198"/>
      <c r="B613" s="198"/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</row>
    <row r="614" spans="1:26" ht="12.75" customHeight="1">
      <c r="A614" s="198"/>
      <c r="B614" s="198"/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</row>
    <row r="615" spans="1:26" ht="12.75" customHeight="1">
      <c r="A615" s="198"/>
      <c r="B615" s="198"/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</row>
    <row r="616" spans="1:26" ht="12.75" customHeight="1">
      <c r="A616" s="198"/>
      <c r="B616" s="198"/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</row>
    <row r="617" spans="1:26" ht="12.75" customHeight="1">
      <c r="A617" s="198"/>
      <c r="B617" s="198"/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</row>
    <row r="618" spans="1:26" ht="12.75" customHeight="1">
      <c r="A618" s="198"/>
      <c r="B618" s="198"/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</row>
    <row r="619" spans="1:26" ht="12.75" customHeight="1">
      <c r="A619" s="198"/>
      <c r="B619" s="198"/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</row>
    <row r="620" spans="1:26" ht="12.75" customHeight="1">
      <c r="A620" s="198"/>
      <c r="B620" s="198"/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</row>
    <row r="621" spans="1:26" ht="12.75" customHeight="1">
      <c r="A621" s="198"/>
      <c r="B621" s="198"/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</row>
    <row r="622" spans="1:26" ht="12.75" customHeight="1">
      <c r="A622" s="198"/>
      <c r="B622" s="198"/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</row>
    <row r="623" spans="1:26" ht="12.75" customHeight="1">
      <c r="A623" s="198"/>
      <c r="B623" s="198"/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</row>
    <row r="624" spans="1:26" ht="12.75" customHeight="1">
      <c r="A624" s="198"/>
      <c r="B624" s="198"/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</row>
    <row r="625" spans="1:26" ht="12.75" customHeight="1">
      <c r="A625" s="198"/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</row>
    <row r="626" spans="1:26" ht="12.75" customHeight="1">
      <c r="A626" s="198"/>
      <c r="B626" s="198"/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</row>
    <row r="627" spans="1:26" ht="12.75" customHeight="1">
      <c r="A627" s="198"/>
      <c r="B627" s="198"/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</row>
    <row r="628" spans="1:26" ht="12.75" customHeight="1">
      <c r="A628" s="198"/>
      <c r="B628" s="198"/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</row>
    <row r="629" spans="1:26" ht="12.75" customHeight="1">
      <c r="A629" s="198"/>
      <c r="B629" s="198"/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</row>
    <row r="630" spans="1:26" ht="12.75" customHeight="1">
      <c r="A630" s="198"/>
      <c r="B630" s="198"/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</row>
    <row r="631" spans="1:26" ht="12.75" customHeight="1">
      <c r="A631" s="198"/>
      <c r="B631" s="198"/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</row>
    <row r="632" spans="1:26" ht="12.75" customHeight="1">
      <c r="A632" s="198"/>
      <c r="B632" s="198"/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</row>
    <row r="633" spans="1:26" ht="12.75" customHeight="1">
      <c r="A633" s="198"/>
      <c r="B633" s="198"/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</row>
    <row r="634" spans="1:26" ht="12.75" customHeight="1">
      <c r="A634" s="198"/>
      <c r="B634" s="198"/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</row>
    <row r="635" spans="1:26" ht="12.75" customHeight="1">
      <c r="A635" s="198"/>
      <c r="B635" s="198"/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</row>
    <row r="636" spans="1:26" ht="12.75" customHeight="1">
      <c r="A636" s="198"/>
      <c r="B636" s="198"/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</row>
    <row r="637" spans="1:26" ht="12.75" customHeight="1">
      <c r="A637" s="198"/>
      <c r="B637" s="198"/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</row>
    <row r="638" spans="1:26" ht="12.75" customHeight="1">
      <c r="A638" s="198"/>
      <c r="B638" s="198"/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</row>
    <row r="639" spans="1:26" ht="12.75" customHeight="1">
      <c r="A639" s="198"/>
      <c r="B639" s="198"/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</row>
    <row r="640" spans="1:26" ht="12.75" customHeight="1">
      <c r="A640" s="198"/>
      <c r="B640" s="198"/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</row>
    <row r="641" spans="1:26" ht="12.75" customHeight="1">
      <c r="A641" s="198"/>
      <c r="B641" s="198"/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</row>
    <row r="642" spans="1:26" ht="12.75" customHeight="1">
      <c r="A642" s="198"/>
      <c r="B642" s="198"/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</row>
    <row r="643" spans="1:26" ht="12.75" customHeight="1">
      <c r="A643" s="198"/>
      <c r="B643" s="198"/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</row>
    <row r="644" spans="1:26" ht="12.75" customHeight="1">
      <c r="A644" s="198"/>
      <c r="B644" s="198"/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</row>
    <row r="645" spans="1:26" ht="12.75" customHeight="1">
      <c r="A645" s="198"/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</row>
    <row r="646" spans="1:26" ht="12.75" customHeight="1">
      <c r="A646" s="198"/>
      <c r="B646" s="198"/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</row>
    <row r="647" spans="1:26" ht="12.75" customHeight="1">
      <c r="A647" s="198"/>
      <c r="B647" s="198"/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</row>
    <row r="648" spans="1:26" ht="12.75" customHeight="1">
      <c r="A648" s="198"/>
      <c r="B648" s="198"/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</row>
    <row r="649" spans="1:26" ht="12.75" customHeight="1">
      <c r="A649" s="198"/>
      <c r="B649" s="198"/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</row>
    <row r="650" spans="1:26" ht="12.75" customHeight="1">
      <c r="A650" s="198"/>
      <c r="B650" s="198"/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</row>
    <row r="651" spans="1:26" ht="12.75" customHeight="1">
      <c r="A651" s="198"/>
      <c r="B651" s="198"/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</row>
    <row r="652" spans="1:26" ht="12.75" customHeight="1">
      <c r="A652" s="198"/>
      <c r="B652" s="198"/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</row>
    <row r="653" spans="1:26" ht="12.75" customHeight="1">
      <c r="A653" s="198"/>
      <c r="B653" s="198"/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</row>
    <row r="654" spans="1:26" ht="12.75" customHeight="1">
      <c r="A654" s="198"/>
      <c r="B654" s="198"/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</row>
    <row r="655" spans="1:26" ht="12.75" customHeight="1">
      <c r="A655" s="198"/>
      <c r="B655" s="198"/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</row>
    <row r="656" spans="1:26" ht="12.75" customHeight="1">
      <c r="A656" s="198"/>
      <c r="B656" s="198"/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</row>
    <row r="657" spans="1:26" ht="12.75" customHeight="1">
      <c r="A657" s="198"/>
      <c r="B657" s="198"/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</row>
    <row r="658" spans="1:26" ht="12.75" customHeight="1">
      <c r="A658" s="198"/>
      <c r="B658" s="198"/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</row>
    <row r="659" spans="1:26" ht="12.75" customHeight="1">
      <c r="A659" s="198"/>
      <c r="B659" s="198"/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</row>
    <row r="660" spans="1:26" ht="12.75" customHeight="1">
      <c r="A660" s="198"/>
      <c r="B660" s="198"/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</row>
    <row r="661" spans="1:26" ht="12.75" customHeight="1">
      <c r="A661" s="198"/>
      <c r="B661" s="198"/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</row>
    <row r="662" spans="1:26" ht="12.75" customHeight="1">
      <c r="A662" s="198"/>
      <c r="B662" s="198"/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</row>
    <row r="663" spans="1:26" ht="12.75" customHeight="1">
      <c r="A663" s="198"/>
      <c r="B663" s="198"/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</row>
    <row r="664" spans="1:26" ht="12.75" customHeight="1">
      <c r="A664" s="198"/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</row>
    <row r="665" spans="1:26" ht="12.75" customHeight="1">
      <c r="A665" s="198"/>
      <c r="B665" s="198"/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</row>
    <row r="666" spans="1:26" ht="12.75" customHeight="1">
      <c r="A666" s="198"/>
      <c r="B666" s="198"/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</row>
    <row r="667" spans="1:26" ht="12.75" customHeight="1">
      <c r="A667" s="198"/>
      <c r="B667" s="198"/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</row>
    <row r="668" spans="1:26" ht="12.75" customHeight="1">
      <c r="A668" s="198"/>
      <c r="B668" s="198"/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</row>
    <row r="669" spans="1:26" ht="12.75" customHeight="1">
      <c r="A669" s="198"/>
      <c r="B669" s="198"/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</row>
    <row r="670" spans="1:26" ht="12.75" customHeight="1">
      <c r="A670" s="198"/>
      <c r="B670" s="198"/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</row>
    <row r="671" spans="1:26" ht="12.75" customHeight="1">
      <c r="A671" s="198"/>
      <c r="B671" s="198"/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</row>
    <row r="672" spans="1:26" ht="12.75" customHeight="1">
      <c r="A672" s="198"/>
      <c r="B672" s="198"/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</row>
    <row r="673" spans="1:26" ht="12.75" customHeight="1">
      <c r="A673" s="198"/>
      <c r="B673" s="198"/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</row>
    <row r="674" spans="1:26" ht="12.75" customHeight="1">
      <c r="A674" s="198"/>
      <c r="B674" s="198"/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</row>
    <row r="675" spans="1:26" ht="12.75" customHeight="1">
      <c r="A675" s="198"/>
      <c r="B675" s="198"/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</row>
    <row r="676" spans="1:26" ht="12.75" customHeight="1">
      <c r="A676" s="198"/>
      <c r="B676" s="198"/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</row>
    <row r="677" spans="1:26" ht="12.75" customHeight="1">
      <c r="A677" s="198"/>
      <c r="B677" s="198"/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</row>
    <row r="678" spans="1:26" ht="12.75" customHeight="1">
      <c r="A678" s="198"/>
      <c r="B678" s="198"/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</row>
    <row r="679" spans="1:26" ht="12.75" customHeight="1">
      <c r="A679" s="198"/>
      <c r="B679" s="198"/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</row>
    <row r="680" spans="1:26" ht="12.75" customHeight="1">
      <c r="A680" s="198"/>
      <c r="B680" s="198"/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</row>
    <row r="681" spans="1:26" ht="12.75" customHeight="1">
      <c r="A681" s="198"/>
      <c r="B681" s="198"/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</row>
    <row r="682" spans="1:26" ht="12.75" customHeight="1">
      <c r="A682" s="198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</row>
    <row r="683" spans="1:26" ht="12.75" customHeight="1">
      <c r="A683" s="198"/>
      <c r="B683" s="198"/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</row>
    <row r="684" spans="1:26" ht="12.75" customHeight="1">
      <c r="A684" s="198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</row>
    <row r="685" spans="1:26" ht="12.75" customHeight="1">
      <c r="A685" s="198"/>
      <c r="B685" s="198"/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</row>
    <row r="686" spans="1:26" ht="12.75" customHeight="1">
      <c r="A686" s="198"/>
      <c r="B686" s="198"/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</row>
    <row r="687" spans="1:26" ht="12.75" customHeight="1">
      <c r="A687" s="198"/>
      <c r="B687" s="198"/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</row>
    <row r="688" spans="1:26" ht="12.75" customHeight="1">
      <c r="A688" s="198"/>
      <c r="B688" s="198"/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</row>
    <row r="689" spans="1:26" ht="12.75" customHeight="1">
      <c r="A689" s="198"/>
      <c r="B689" s="198"/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</row>
    <row r="690" spans="1:26" ht="12.75" customHeight="1">
      <c r="A690" s="198"/>
      <c r="B690" s="198"/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</row>
    <row r="691" spans="1:26" ht="12.75" customHeight="1">
      <c r="A691" s="198"/>
      <c r="B691" s="198"/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</row>
    <row r="692" spans="1:26" ht="12.75" customHeight="1">
      <c r="A692" s="198"/>
      <c r="B692" s="198"/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</row>
    <row r="693" spans="1:26" ht="12.75" customHeight="1">
      <c r="A693" s="198"/>
      <c r="B693" s="198"/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</row>
    <row r="694" spans="1:26" ht="12.75" customHeight="1">
      <c r="A694" s="198"/>
      <c r="B694" s="198"/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</row>
    <row r="695" spans="1:26" ht="12.75" customHeight="1">
      <c r="A695" s="198"/>
      <c r="B695" s="198"/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</row>
    <row r="696" spans="1:26" ht="12.75" customHeight="1">
      <c r="A696" s="198"/>
      <c r="B696" s="198"/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  <c r="X696" s="198"/>
      <c r="Y696" s="198"/>
      <c r="Z696" s="198"/>
    </row>
    <row r="697" spans="1:26" ht="12.75" customHeight="1">
      <c r="A697" s="198"/>
      <c r="B697" s="198"/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  <c r="X697" s="198"/>
      <c r="Y697" s="198"/>
      <c r="Z697" s="198"/>
    </row>
    <row r="698" spans="1:26" ht="12.75" customHeight="1">
      <c r="A698" s="198"/>
      <c r="B698" s="198"/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  <c r="X698" s="198"/>
      <c r="Y698" s="198"/>
      <c r="Z698" s="198"/>
    </row>
    <row r="699" spans="1:26" ht="12.75" customHeight="1">
      <c r="A699" s="198"/>
      <c r="B699" s="198"/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  <c r="X699" s="198"/>
      <c r="Y699" s="198"/>
      <c r="Z699" s="198"/>
    </row>
    <row r="700" spans="1:26" ht="12.75" customHeight="1">
      <c r="A700" s="198"/>
      <c r="B700" s="198"/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  <c r="X700" s="198"/>
      <c r="Y700" s="198"/>
      <c r="Z700" s="198"/>
    </row>
    <row r="701" spans="1:26" ht="12.75" customHeight="1">
      <c r="A701" s="198"/>
      <c r="B701" s="198"/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  <c r="X701" s="198"/>
      <c r="Y701" s="198"/>
      <c r="Z701" s="198"/>
    </row>
    <row r="702" spans="1:26" ht="12.75" customHeight="1">
      <c r="A702" s="198"/>
      <c r="B702" s="198"/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  <c r="X702" s="198"/>
      <c r="Y702" s="198"/>
      <c r="Z702" s="198"/>
    </row>
    <row r="703" spans="1:26" ht="12.75" customHeight="1">
      <c r="A703" s="198"/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  <c r="Y703" s="198"/>
      <c r="Z703" s="198"/>
    </row>
    <row r="704" spans="1:26" ht="12.75" customHeight="1">
      <c r="A704" s="198"/>
      <c r="B704" s="198"/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  <c r="X704" s="198"/>
      <c r="Y704" s="198"/>
      <c r="Z704" s="198"/>
    </row>
    <row r="705" spans="1:26" ht="12.75" customHeight="1">
      <c r="A705" s="198"/>
      <c r="B705" s="198"/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  <c r="X705" s="198"/>
      <c r="Y705" s="198"/>
      <c r="Z705" s="198"/>
    </row>
    <row r="706" spans="1:26" ht="12.75" customHeight="1">
      <c r="A706" s="198"/>
      <c r="B706" s="198"/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  <c r="X706" s="198"/>
      <c r="Y706" s="198"/>
      <c r="Z706" s="198"/>
    </row>
    <row r="707" spans="1:26" ht="12.75" customHeight="1">
      <c r="A707" s="198"/>
      <c r="B707" s="198"/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  <c r="X707" s="198"/>
      <c r="Y707" s="198"/>
      <c r="Z707" s="198"/>
    </row>
    <row r="708" spans="1:26" ht="12.75" customHeight="1">
      <c r="A708" s="198"/>
      <c r="B708" s="198"/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  <c r="X708" s="198"/>
      <c r="Y708" s="198"/>
      <c r="Z708" s="198"/>
    </row>
    <row r="709" spans="1:26" ht="12.75" customHeight="1">
      <c r="A709" s="198"/>
      <c r="B709" s="198"/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  <c r="X709" s="198"/>
      <c r="Y709" s="198"/>
      <c r="Z709" s="198"/>
    </row>
    <row r="710" spans="1:26" ht="12.75" customHeight="1">
      <c r="A710" s="198"/>
      <c r="B710" s="198"/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  <c r="X710" s="198"/>
      <c r="Y710" s="198"/>
      <c r="Z710" s="198"/>
    </row>
    <row r="711" spans="1:26" ht="12.75" customHeight="1">
      <c r="A711" s="198"/>
      <c r="B711" s="198"/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  <c r="X711" s="198"/>
      <c r="Y711" s="198"/>
      <c r="Z711" s="198"/>
    </row>
    <row r="712" spans="1:26" ht="12.75" customHeight="1">
      <c r="A712" s="198"/>
      <c r="B712" s="198"/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  <c r="X712" s="198"/>
      <c r="Y712" s="198"/>
      <c r="Z712" s="198"/>
    </row>
    <row r="713" spans="1:26" ht="12.75" customHeight="1">
      <c r="A713" s="198"/>
      <c r="B713" s="198"/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  <c r="X713" s="198"/>
      <c r="Y713" s="198"/>
      <c r="Z713" s="198"/>
    </row>
    <row r="714" spans="1:26" ht="12.75" customHeight="1">
      <c r="A714" s="198"/>
      <c r="B714" s="198"/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  <c r="X714" s="198"/>
      <c r="Y714" s="198"/>
      <c r="Z714" s="198"/>
    </row>
    <row r="715" spans="1:26" ht="12.75" customHeight="1">
      <c r="A715" s="198"/>
      <c r="B715" s="198"/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  <c r="X715" s="198"/>
      <c r="Y715" s="198"/>
      <c r="Z715" s="198"/>
    </row>
    <row r="716" spans="1:26" ht="12.75" customHeight="1">
      <c r="A716" s="198"/>
      <c r="B716" s="198"/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  <c r="X716" s="198"/>
      <c r="Y716" s="198"/>
      <c r="Z716" s="198"/>
    </row>
    <row r="717" spans="1:26" ht="12.75" customHeight="1">
      <c r="A717" s="198"/>
      <c r="B717" s="198"/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  <c r="X717" s="198"/>
      <c r="Y717" s="198"/>
      <c r="Z717" s="198"/>
    </row>
    <row r="718" spans="1:26" ht="12.75" customHeight="1">
      <c r="A718" s="198"/>
      <c r="B718" s="198"/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  <c r="X718" s="198"/>
      <c r="Y718" s="198"/>
      <c r="Z718" s="198"/>
    </row>
    <row r="719" spans="1:26" ht="12.75" customHeight="1">
      <c r="A719" s="198"/>
      <c r="B719" s="198"/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  <c r="X719" s="198"/>
      <c r="Y719" s="198"/>
      <c r="Z719" s="198"/>
    </row>
    <row r="720" spans="1:26" ht="12.75" customHeight="1">
      <c r="A720" s="198"/>
      <c r="B720" s="198"/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  <c r="X720" s="198"/>
      <c r="Y720" s="198"/>
      <c r="Z720" s="198"/>
    </row>
    <row r="721" spans="1:26" ht="12.75" customHeight="1">
      <c r="A721" s="198"/>
      <c r="B721" s="198"/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  <c r="X721" s="198"/>
      <c r="Y721" s="198"/>
      <c r="Z721" s="198"/>
    </row>
    <row r="722" spans="1:26" ht="12.75" customHeight="1">
      <c r="A722" s="198"/>
      <c r="B722" s="198"/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  <c r="X722" s="198"/>
      <c r="Y722" s="198"/>
      <c r="Z722" s="198"/>
    </row>
    <row r="723" spans="1:26" ht="12.75" customHeight="1">
      <c r="A723" s="198"/>
      <c r="B723" s="198"/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  <c r="X723" s="198"/>
      <c r="Y723" s="198"/>
      <c r="Z723" s="198"/>
    </row>
    <row r="724" spans="1:26" ht="12.75" customHeight="1">
      <c r="A724" s="198"/>
      <c r="B724" s="198"/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  <c r="X724" s="198"/>
      <c r="Y724" s="198"/>
      <c r="Z724" s="198"/>
    </row>
    <row r="725" spans="1:26" ht="12.75" customHeight="1">
      <c r="A725" s="198"/>
      <c r="B725" s="198"/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  <c r="X725" s="198"/>
      <c r="Y725" s="198"/>
      <c r="Z725" s="198"/>
    </row>
    <row r="726" spans="1:26" ht="12.75" customHeight="1">
      <c r="A726" s="198"/>
      <c r="B726" s="198"/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  <c r="X726" s="198"/>
      <c r="Y726" s="198"/>
      <c r="Z726" s="198"/>
    </row>
    <row r="727" spans="1:26" ht="12.75" customHeight="1">
      <c r="A727" s="198"/>
      <c r="B727" s="198"/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  <c r="X727" s="198"/>
      <c r="Y727" s="198"/>
      <c r="Z727" s="198"/>
    </row>
    <row r="728" spans="1:26" ht="12.75" customHeight="1">
      <c r="A728" s="198"/>
      <c r="B728" s="198"/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  <c r="X728" s="198"/>
      <c r="Y728" s="198"/>
      <c r="Z728" s="198"/>
    </row>
    <row r="729" spans="1:26" ht="12.75" customHeight="1">
      <c r="A729" s="198"/>
      <c r="B729" s="198"/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  <c r="X729" s="198"/>
      <c r="Y729" s="198"/>
      <c r="Z729" s="198"/>
    </row>
    <row r="730" spans="1:26" ht="12.75" customHeight="1">
      <c r="A730" s="198"/>
      <c r="B730" s="198"/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  <c r="X730" s="198"/>
      <c r="Y730" s="198"/>
      <c r="Z730" s="198"/>
    </row>
    <row r="731" spans="1:26" ht="12.75" customHeight="1">
      <c r="A731" s="198"/>
      <c r="B731" s="198"/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  <c r="X731" s="198"/>
      <c r="Y731" s="198"/>
      <c r="Z731" s="198"/>
    </row>
    <row r="732" spans="1:26" ht="12.75" customHeight="1">
      <c r="A732" s="198"/>
      <c r="B732" s="198"/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  <c r="X732" s="198"/>
      <c r="Y732" s="198"/>
      <c r="Z732" s="198"/>
    </row>
    <row r="733" spans="1:26" ht="12.75" customHeight="1">
      <c r="A733" s="198"/>
      <c r="B733" s="198"/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  <c r="X733" s="198"/>
      <c r="Y733" s="198"/>
      <c r="Z733" s="198"/>
    </row>
    <row r="734" spans="1:26" ht="12.75" customHeight="1">
      <c r="A734" s="198"/>
      <c r="B734" s="198"/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  <c r="X734" s="198"/>
      <c r="Y734" s="198"/>
      <c r="Z734" s="198"/>
    </row>
    <row r="735" spans="1:26" ht="12.75" customHeight="1">
      <c r="A735" s="198"/>
      <c r="B735" s="198"/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  <c r="X735" s="198"/>
      <c r="Y735" s="198"/>
      <c r="Z735" s="198"/>
    </row>
    <row r="736" spans="1:26" ht="12.75" customHeight="1">
      <c r="A736" s="198"/>
      <c r="B736" s="198"/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  <c r="X736" s="198"/>
      <c r="Y736" s="198"/>
      <c r="Z736" s="198"/>
    </row>
    <row r="737" spans="1:26" ht="12.75" customHeight="1">
      <c r="A737" s="198"/>
      <c r="B737" s="198"/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  <c r="X737" s="198"/>
      <c r="Y737" s="198"/>
      <c r="Z737" s="198"/>
    </row>
    <row r="738" spans="1:26" ht="12.75" customHeight="1">
      <c r="A738" s="198"/>
      <c r="B738" s="198"/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  <c r="X738" s="198"/>
      <c r="Y738" s="198"/>
      <c r="Z738" s="198"/>
    </row>
    <row r="739" spans="1:26" ht="12.75" customHeight="1">
      <c r="A739" s="198"/>
      <c r="B739" s="198"/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  <c r="X739" s="198"/>
      <c r="Y739" s="198"/>
      <c r="Z739" s="198"/>
    </row>
    <row r="740" spans="1:26" ht="12.75" customHeight="1">
      <c r="A740" s="198"/>
      <c r="B740" s="198"/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  <c r="X740" s="198"/>
      <c r="Y740" s="198"/>
      <c r="Z740" s="198"/>
    </row>
    <row r="741" spans="1:26" ht="12.75" customHeight="1">
      <c r="A741" s="198"/>
      <c r="B741" s="198"/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  <c r="X741" s="198"/>
      <c r="Y741" s="198"/>
      <c r="Z741" s="198"/>
    </row>
    <row r="742" spans="1:26" ht="12.75" customHeight="1">
      <c r="A742" s="198"/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  <c r="Y742" s="198"/>
      <c r="Z742" s="198"/>
    </row>
    <row r="743" spans="1:26" ht="12.75" customHeight="1">
      <c r="A743" s="198"/>
      <c r="B743" s="198"/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  <c r="X743" s="198"/>
      <c r="Y743" s="198"/>
      <c r="Z743" s="198"/>
    </row>
    <row r="744" spans="1:26" ht="12.75" customHeight="1">
      <c r="A744" s="198"/>
      <c r="B744" s="198"/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  <c r="X744" s="198"/>
      <c r="Y744" s="198"/>
      <c r="Z744" s="198"/>
    </row>
    <row r="745" spans="1:26" ht="12.75" customHeight="1">
      <c r="A745" s="198"/>
      <c r="B745" s="198"/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  <c r="X745" s="198"/>
      <c r="Y745" s="198"/>
      <c r="Z745" s="198"/>
    </row>
    <row r="746" spans="1:26" ht="12.75" customHeight="1">
      <c r="A746" s="198"/>
      <c r="B746" s="198"/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  <c r="X746" s="198"/>
      <c r="Y746" s="198"/>
      <c r="Z746" s="198"/>
    </row>
    <row r="747" spans="1:26" ht="12.75" customHeight="1">
      <c r="A747" s="198"/>
      <c r="B747" s="198"/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  <c r="X747" s="198"/>
      <c r="Y747" s="198"/>
      <c r="Z747" s="198"/>
    </row>
    <row r="748" spans="1:26" ht="12.75" customHeight="1">
      <c r="A748" s="198"/>
      <c r="B748" s="198"/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  <c r="X748" s="198"/>
      <c r="Y748" s="198"/>
      <c r="Z748" s="198"/>
    </row>
    <row r="749" spans="1:26" ht="12.75" customHeight="1">
      <c r="A749" s="198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  <c r="X749" s="198"/>
      <c r="Y749" s="198"/>
      <c r="Z749" s="198"/>
    </row>
    <row r="750" spans="1:26" ht="12.75" customHeight="1">
      <c r="A750" s="198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  <c r="X750" s="198"/>
      <c r="Y750" s="198"/>
      <c r="Z750" s="198"/>
    </row>
    <row r="751" spans="1:26" ht="12.75" customHeight="1">
      <c r="A751" s="198"/>
      <c r="B751" s="198"/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  <c r="X751" s="198"/>
      <c r="Y751" s="198"/>
      <c r="Z751" s="198"/>
    </row>
    <row r="752" spans="1:26" ht="12.75" customHeight="1">
      <c r="A752" s="198"/>
      <c r="B752" s="198"/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  <c r="X752" s="198"/>
      <c r="Y752" s="198"/>
      <c r="Z752" s="198"/>
    </row>
    <row r="753" spans="1:26" ht="12.75" customHeight="1">
      <c r="A753" s="198"/>
      <c r="B753" s="198"/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  <c r="X753" s="198"/>
      <c r="Y753" s="198"/>
      <c r="Z753" s="198"/>
    </row>
    <row r="754" spans="1:26" ht="12.75" customHeight="1">
      <c r="A754" s="198"/>
      <c r="B754" s="198"/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  <c r="X754" s="198"/>
      <c r="Y754" s="198"/>
      <c r="Z754" s="198"/>
    </row>
    <row r="755" spans="1:26" ht="12.75" customHeight="1">
      <c r="A755" s="198"/>
      <c r="B755" s="198"/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</row>
    <row r="756" spans="1:26" ht="12.75" customHeight="1">
      <c r="A756" s="198"/>
      <c r="B756" s="198"/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  <c r="X756" s="198"/>
      <c r="Y756" s="198"/>
      <c r="Z756" s="198"/>
    </row>
    <row r="757" spans="1:26" ht="12.75" customHeight="1">
      <c r="A757" s="198"/>
      <c r="B757" s="198"/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</row>
    <row r="758" spans="1:26" ht="12.75" customHeight="1">
      <c r="A758" s="198"/>
      <c r="B758" s="198"/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  <c r="X758" s="198"/>
      <c r="Y758" s="198"/>
      <c r="Z758" s="198"/>
    </row>
    <row r="759" spans="1:26" ht="12.75" customHeight="1">
      <c r="A759" s="198"/>
      <c r="B759" s="198"/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  <c r="X759" s="198"/>
      <c r="Y759" s="198"/>
      <c r="Z759" s="198"/>
    </row>
    <row r="760" spans="1:26" ht="12.75" customHeight="1">
      <c r="A760" s="198"/>
      <c r="B760" s="198"/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  <c r="X760" s="198"/>
      <c r="Y760" s="198"/>
      <c r="Z760" s="198"/>
    </row>
    <row r="761" spans="1:26" ht="12.75" customHeight="1">
      <c r="A761" s="198"/>
      <c r="B761" s="198"/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  <c r="X761" s="198"/>
      <c r="Y761" s="198"/>
      <c r="Z761" s="198"/>
    </row>
    <row r="762" spans="1:26" ht="12.75" customHeight="1">
      <c r="A762" s="198"/>
      <c r="B762" s="198"/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  <c r="X762" s="198"/>
      <c r="Y762" s="198"/>
      <c r="Z762" s="198"/>
    </row>
    <row r="763" spans="1:26" ht="12.75" customHeight="1">
      <c r="A763" s="198"/>
      <c r="B763" s="198"/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  <c r="X763" s="198"/>
      <c r="Y763" s="198"/>
      <c r="Z763" s="198"/>
    </row>
    <row r="764" spans="1:26" ht="12.75" customHeight="1">
      <c r="A764" s="198"/>
      <c r="B764" s="198"/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  <c r="X764" s="198"/>
      <c r="Y764" s="198"/>
      <c r="Z764" s="198"/>
    </row>
    <row r="765" spans="1:26" ht="12.75" customHeight="1">
      <c r="A765" s="198"/>
      <c r="B765" s="198"/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  <c r="X765" s="198"/>
      <c r="Y765" s="198"/>
      <c r="Z765" s="198"/>
    </row>
    <row r="766" spans="1:26" ht="12.75" customHeight="1">
      <c r="A766" s="198"/>
      <c r="B766" s="198"/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  <c r="X766" s="198"/>
      <c r="Y766" s="198"/>
      <c r="Z766" s="198"/>
    </row>
    <row r="767" spans="1:26" ht="12.75" customHeight="1">
      <c r="A767" s="198"/>
      <c r="B767" s="198"/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  <c r="X767" s="198"/>
      <c r="Y767" s="198"/>
      <c r="Z767" s="198"/>
    </row>
    <row r="768" spans="1:26" ht="12.75" customHeight="1">
      <c r="A768" s="198"/>
      <c r="B768" s="198"/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  <c r="X768" s="198"/>
      <c r="Y768" s="198"/>
      <c r="Z768" s="198"/>
    </row>
    <row r="769" spans="1:26" ht="12.75" customHeight="1">
      <c r="A769" s="198"/>
      <c r="B769" s="198"/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  <c r="X769" s="198"/>
      <c r="Y769" s="198"/>
      <c r="Z769" s="198"/>
    </row>
    <row r="770" spans="1:26" ht="12.75" customHeight="1">
      <c r="A770" s="198"/>
      <c r="B770" s="198"/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  <c r="X770" s="198"/>
      <c r="Y770" s="198"/>
      <c r="Z770" s="198"/>
    </row>
    <row r="771" spans="1:26" ht="12.75" customHeight="1">
      <c r="A771" s="198"/>
      <c r="B771" s="198"/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  <c r="X771" s="198"/>
      <c r="Y771" s="198"/>
      <c r="Z771" s="198"/>
    </row>
    <row r="772" spans="1:26" ht="12.75" customHeight="1">
      <c r="A772" s="198"/>
      <c r="B772" s="198"/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  <c r="X772" s="198"/>
      <c r="Y772" s="198"/>
      <c r="Z772" s="198"/>
    </row>
    <row r="773" spans="1:26" ht="12.75" customHeight="1">
      <c r="A773" s="198"/>
      <c r="B773" s="198"/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  <c r="X773" s="198"/>
      <c r="Y773" s="198"/>
      <c r="Z773" s="198"/>
    </row>
    <row r="774" spans="1:26" ht="12.75" customHeight="1">
      <c r="A774" s="198"/>
      <c r="B774" s="198"/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  <c r="X774" s="198"/>
      <c r="Y774" s="198"/>
      <c r="Z774" s="198"/>
    </row>
    <row r="775" spans="1:26" ht="12.75" customHeight="1">
      <c r="A775" s="198"/>
      <c r="B775" s="198"/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  <c r="X775" s="198"/>
      <c r="Y775" s="198"/>
      <c r="Z775" s="198"/>
    </row>
    <row r="776" spans="1:26" ht="12.75" customHeight="1">
      <c r="A776" s="198"/>
      <c r="B776" s="198"/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  <c r="X776" s="198"/>
      <c r="Y776" s="198"/>
      <c r="Z776" s="198"/>
    </row>
    <row r="777" spans="1:26" ht="12.75" customHeight="1">
      <c r="A777" s="198"/>
      <c r="B777" s="198"/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  <c r="X777" s="198"/>
      <c r="Y777" s="198"/>
      <c r="Z777" s="198"/>
    </row>
    <row r="778" spans="1:26" ht="12.75" customHeight="1">
      <c r="A778" s="198"/>
      <c r="B778" s="198"/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  <c r="X778" s="198"/>
      <c r="Y778" s="198"/>
      <c r="Z778" s="198"/>
    </row>
    <row r="779" spans="1:26" ht="12.75" customHeight="1">
      <c r="A779" s="198"/>
      <c r="B779" s="198"/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  <c r="X779" s="198"/>
      <c r="Y779" s="198"/>
      <c r="Z779" s="198"/>
    </row>
    <row r="780" spans="1:26" ht="12.75" customHeight="1">
      <c r="A780" s="198"/>
      <c r="B780" s="198"/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  <c r="X780" s="198"/>
      <c r="Y780" s="198"/>
      <c r="Z780" s="198"/>
    </row>
    <row r="781" spans="1:26" ht="12.75" customHeight="1">
      <c r="A781" s="198"/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  <c r="Y781" s="198"/>
      <c r="Z781" s="198"/>
    </row>
    <row r="782" spans="1:26" ht="12.75" customHeight="1">
      <c r="A782" s="198"/>
      <c r="B782" s="198"/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  <c r="X782" s="198"/>
      <c r="Y782" s="198"/>
      <c r="Z782" s="198"/>
    </row>
    <row r="783" spans="1:26" ht="12.75" customHeight="1">
      <c r="A783" s="198"/>
      <c r="B783" s="198"/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  <c r="X783" s="198"/>
      <c r="Y783" s="198"/>
      <c r="Z783" s="198"/>
    </row>
    <row r="784" spans="1:26" ht="12.75" customHeight="1">
      <c r="A784" s="198"/>
      <c r="B784" s="198"/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  <c r="X784" s="198"/>
      <c r="Y784" s="198"/>
      <c r="Z784" s="198"/>
    </row>
    <row r="785" spans="1:26" ht="12.75" customHeight="1">
      <c r="A785" s="198"/>
      <c r="B785" s="198"/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  <c r="X785" s="198"/>
      <c r="Y785" s="198"/>
      <c r="Z785" s="198"/>
    </row>
    <row r="786" spans="1:26" ht="12.75" customHeight="1">
      <c r="A786" s="198"/>
      <c r="B786" s="198"/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  <c r="X786" s="198"/>
      <c r="Y786" s="198"/>
      <c r="Z786" s="198"/>
    </row>
    <row r="787" spans="1:26" ht="12.75" customHeight="1">
      <c r="A787" s="198"/>
      <c r="B787" s="198"/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  <c r="X787" s="198"/>
      <c r="Y787" s="198"/>
      <c r="Z787" s="198"/>
    </row>
    <row r="788" spans="1:26" ht="12.75" customHeight="1">
      <c r="A788" s="198"/>
      <c r="B788" s="198"/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  <c r="X788" s="198"/>
      <c r="Y788" s="198"/>
      <c r="Z788" s="198"/>
    </row>
    <row r="789" spans="1:26" ht="12.75" customHeight="1">
      <c r="A789" s="198"/>
      <c r="B789" s="198"/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  <c r="X789" s="198"/>
      <c r="Y789" s="198"/>
      <c r="Z789" s="198"/>
    </row>
    <row r="790" spans="1:26" ht="12.75" customHeight="1">
      <c r="A790" s="198"/>
      <c r="B790" s="198"/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  <c r="X790" s="198"/>
      <c r="Y790" s="198"/>
      <c r="Z790" s="198"/>
    </row>
    <row r="791" spans="1:26" ht="12.75" customHeight="1">
      <c r="A791" s="198"/>
      <c r="B791" s="198"/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  <c r="X791" s="198"/>
      <c r="Y791" s="198"/>
      <c r="Z791" s="198"/>
    </row>
    <row r="792" spans="1:26" ht="12.75" customHeight="1">
      <c r="A792" s="198"/>
      <c r="B792" s="198"/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  <c r="X792" s="198"/>
      <c r="Y792" s="198"/>
      <c r="Z792" s="198"/>
    </row>
    <row r="793" spans="1:26" ht="12.75" customHeight="1">
      <c r="A793" s="198"/>
      <c r="B793" s="198"/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  <c r="X793" s="198"/>
      <c r="Y793" s="198"/>
      <c r="Z793" s="198"/>
    </row>
    <row r="794" spans="1:26" ht="12.75" customHeight="1">
      <c r="A794" s="198"/>
      <c r="B794" s="198"/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  <c r="X794" s="198"/>
      <c r="Y794" s="198"/>
      <c r="Z794" s="198"/>
    </row>
    <row r="795" spans="1:26" ht="12.75" customHeight="1">
      <c r="A795" s="198"/>
      <c r="B795" s="198"/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  <c r="X795" s="198"/>
      <c r="Y795" s="198"/>
      <c r="Z795" s="198"/>
    </row>
    <row r="796" spans="1:26" ht="12.75" customHeight="1">
      <c r="A796" s="198"/>
      <c r="B796" s="198"/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</row>
    <row r="797" spans="1:26" ht="12.75" customHeight="1">
      <c r="A797" s="198"/>
      <c r="B797" s="198"/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</row>
    <row r="798" spans="1:26" ht="12.75" customHeight="1">
      <c r="A798" s="198"/>
      <c r="B798" s="198"/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  <c r="X798" s="198"/>
      <c r="Y798" s="198"/>
      <c r="Z798" s="198"/>
    </row>
    <row r="799" spans="1:26" ht="12.75" customHeight="1">
      <c r="A799" s="198"/>
      <c r="B799" s="198"/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  <c r="X799" s="198"/>
      <c r="Y799" s="198"/>
      <c r="Z799" s="198"/>
    </row>
    <row r="800" spans="1:26" ht="12.75" customHeight="1">
      <c r="A800" s="198"/>
      <c r="B800" s="198"/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  <c r="X800" s="198"/>
      <c r="Y800" s="198"/>
      <c r="Z800" s="198"/>
    </row>
    <row r="801" spans="1:26" ht="12.75" customHeight="1">
      <c r="A801" s="198"/>
      <c r="B801" s="198"/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  <c r="X801" s="198"/>
      <c r="Y801" s="198"/>
      <c r="Z801" s="198"/>
    </row>
    <row r="802" spans="1:26" ht="12.75" customHeight="1">
      <c r="A802" s="198"/>
      <c r="B802" s="198"/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  <c r="X802" s="198"/>
      <c r="Y802" s="198"/>
      <c r="Z802" s="198"/>
    </row>
    <row r="803" spans="1:26" ht="12.75" customHeight="1">
      <c r="A803" s="198"/>
      <c r="B803" s="198"/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  <c r="X803" s="198"/>
      <c r="Y803" s="198"/>
      <c r="Z803" s="198"/>
    </row>
    <row r="804" spans="1:26" ht="12.75" customHeight="1">
      <c r="A804" s="198"/>
      <c r="B804" s="198"/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  <c r="X804" s="198"/>
      <c r="Y804" s="198"/>
      <c r="Z804" s="198"/>
    </row>
    <row r="805" spans="1:26" ht="12.75" customHeight="1">
      <c r="A805" s="198"/>
      <c r="B805" s="198"/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  <c r="X805" s="198"/>
      <c r="Y805" s="198"/>
      <c r="Z805" s="198"/>
    </row>
    <row r="806" spans="1:26" ht="12.75" customHeight="1">
      <c r="A806" s="198"/>
      <c r="B806" s="198"/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  <c r="X806" s="198"/>
      <c r="Y806" s="198"/>
      <c r="Z806" s="198"/>
    </row>
    <row r="807" spans="1:26" ht="12.75" customHeight="1">
      <c r="A807" s="198"/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  <c r="X807" s="198"/>
      <c r="Y807" s="198"/>
      <c r="Z807" s="198"/>
    </row>
    <row r="808" spans="1:26" ht="12.75" customHeight="1">
      <c r="A808" s="198"/>
      <c r="B808" s="198"/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  <c r="X808" s="198"/>
      <c r="Y808" s="198"/>
      <c r="Z808" s="198"/>
    </row>
    <row r="809" spans="1:26" ht="12.75" customHeight="1">
      <c r="A809" s="198"/>
      <c r="B809" s="198"/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  <c r="X809" s="198"/>
      <c r="Y809" s="198"/>
      <c r="Z809" s="198"/>
    </row>
    <row r="810" spans="1:26" ht="12.75" customHeight="1">
      <c r="A810" s="198"/>
      <c r="B810" s="198"/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  <c r="X810" s="198"/>
      <c r="Y810" s="198"/>
      <c r="Z810" s="198"/>
    </row>
    <row r="811" spans="1:26" ht="12.75" customHeight="1">
      <c r="A811" s="198"/>
      <c r="B811" s="198"/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  <c r="X811" s="198"/>
      <c r="Y811" s="198"/>
      <c r="Z811" s="198"/>
    </row>
    <row r="812" spans="1:26" ht="12.75" customHeight="1">
      <c r="A812" s="198"/>
      <c r="B812" s="198"/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  <c r="X812" s="198"/>
      <c r="Y812" s="198"/>
      <c r="Z812" s="198"/>
    </row>
    <row r="813" spans="1:26" ht="12.75" customHeight="1">
      <c r="A813" s="198"/>
      <c r="B813" s="198"/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  <c r="X813" s="198"/>
      <c r="Y813" s="198"/>
      <c r="Z813" s="198"/>
    </row>
    <row r="814" spans="1:26" ht="12.75" customHeight="1">
      <c r="A814" s="198"/>
      <c r="B814" s="198"/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  <c r="X814" s="198"/>
      <c r="Y814" s="198"/>
      <c r="Z814" s="198"/>
    </row>
    <row r="815" spans="1:26" ht="12.75" customHeight="1">
      <c r="A815" s="198"/>
      <c r="B815" s="198"/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  <c r="X815" s="198"/>
      <c r="Y815" s="198"/>
      <c r="Z815" s="198"/>
    </row>
    <row r="816" spans="1:26" ht="12.75" customHeight="1">
      <c r="A816" s="198"/>
      <c r="B816" s="198"/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  <c r="X816" s="198"/>
      <c r="Y816" s="198"/>
      <c r="Z816" s="198"/>
    </row>
    <row r="817" spans="1:26" ht="12.75" customHeight="1">
      <c r="A817" s="198"/>
      <c r="B817" s="198"/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  <c r="X817" s="198"/>
      <c r="Y817" s="198"/>
      <c r="Z817" s="198"/>
    </row>
    <row r="818" spans="1:26" ht="12.75" customHeight="1">
      <c r="A818" s="198"/>
      <c r="B818" s="198"/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  <c r="X818" s="198"/>
      <c r="Y818" s="198"/>
      <c r="Z818" s="198"/>
    </row>
    <row r="819" spans="1:26" ht="12.75" customHeight="1">
      <c r="A819" s="198"/>
      <c r="B819" s="198"/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  <c r="X819" s="198"/>
      <c r="Y819" s="198"/>
      <c r="Z819" s="198"/>
    </row>
    <row r="820" spans="1:26" ht="12.75" customHeight="1">
      <c r="A820" s="198"/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  <c r="Y820" s="198"/>
      <c r="Z820" s="198"/>
    </row>
    <row r="821" spans="1:26" ht="12.75" customHeight="1">
      <c r="A821" s="198"/>
      <c r="B821" s="198"/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  <c r="X821" s="198"/>
      <c r="Y821" s="198"/>
      <c r="Z821" s="198"/>
    </row>
    <row r="822" spans="1:26" ht="12.75" customHeight="1">
      <c r="A822" s="198"/>
      <c r="B822" s="198"/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  <c r="X822" s="198"/>
      <c r="Y822" s="198"/>
      <c r="Z822" s="198"/>
    </row>
    <row r="823" spans="1:26" ht="12.75" customHeight="1">
      <c r="A823" s="198"/>
      <c r="B823" s="198"/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  <c r="X823" s="198"/>
      <c r="Y823" s="198"/>
      <c r="Z823" s="198"/>
    </row>
    <row r="824" spans="1:26" ht="12.75" customHeight="1">
      <c r="A824" s="198"/>
      <c r="B824" s="198"/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  <c r="X824" s="198"/>
      <c r="Y824" s="198"/>
      <c r="Z824" s="198"/>
    </row>
    <row r="825" spans="1:26" ht="12.75" customHeight="1">
      <c r="A825" s="198"/>
      <c r="B825" s="198"/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  <c r="X825" s="198"/>
      <c r="Y825" s="198"/>
      <c r="Z825" s="198"/>
    </row>
    <row r="826" spans="1:26" ht="12.75" customHeight="1">
      <c r="A826" s="198"/>
      <c r="B826" s="198"/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  <c r="X826" s="198"/>
      <c r="Y826" s="198"/>
      <c r="Z826" s="198"/>
    </row>
    <row r="827" spans="1:26" ht="12.75" customHeight="1">
      <c r="A827" s="198"/>
      <c r="B827" s="198"/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</row>
    <row r="828" spans="1:26" ht="12.75" customHeight="1">
      <c r="A828" s="198"/>
      <c r="B828" s="198"/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</row>
    <row r="829" spans="1:26" ht="12.75" customHeight="1">
      <c r="A829" s="198"/>
      <c r="B829" s="198"/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  <c r="X829" s="198"/>
      <c r="Y829" s="198"/>
      <c r="Z829" s="198"/>
    </row>
    <row r="830" spans="1:26" ht="12.75" customHeight="1">
      <c r="A830" s="198"/>
      <c r="B830" s="198"/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  <c r="X830" s="198"/>
      <c r="Y830" s="198"/>
      <c r="Z830" s="198"/>
    </row>
    <row r="831" spans="1:26" ht="12.75" customHeight="1">
      <c r="A831" s="198"/>
      <c r="B831" s="198"/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  <c r="X831" s="198"/>
      <c r="Y831" s="198"/>
      <c r="Z831" s="198"/>
    </row>
    <row r="832" spans="1:26" ht="12.75" customHeight="1">
      <c r="A832" s="198"/>
      <c r="B832" s="198"/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  <c r="X832" s="198"/>
      <c r="Y832" s="198"/>
      <c r="Z832" s="198"/>
    </row>
    <row r="833" spans="1:26" ht="12.75" customHeight="1">
      <c r="A833" s="198"/>
      <c r="B833" s="198"/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  <c r="X833" s="198"/>
      <c r="Y833" s="198"/>
      <c r="Z833" s="198"/>
    </row>
    <row r="834" spans="1:26" ht="12.75" customHeight="1">
      <c r="A834" s="198"/>
      <c r="B834" s="198"/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  <c r="X834" s="198"/>
      <c r="Y834" s="198"/>
      <c r="Z834" s="198"/>
    </row>
    <row r="835" spans="1:26" ht="12.75" customHeight="1">
      <c r="A835" s="198"/>
      <c r="B835" s="198"/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  <c r="X835" s="198"/>
      <c r="Y835" s="198"/>
      <c r="Z835" s="198"/>
    </row>
    <row r="836" spans="1:26" ht="12.75" customHeight="1">
      <c r="A836" s="198"/>
      <c r="B836" s="198"/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  <c r="X836" s="198"/>
      <c r="Y836" s="198"/>
      <c r="Z836" s="198"/>
    </row>
    <row r="837" spans="1:26" ht="12.75" customHeight="1">
      <c r="A837" s="198"/>
      <c r="B837" s="198"/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  <c r="X837" s="198"/>
      <c r="Y837" s="198"/>
      <c r="Z837" s="198"/>
    </row>
    <row r="838" spans="1:26" ht="12.75" customHeight="1">
      <c r="A838" s="198"/>
      <c r="B838" s="198"/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  <c r="X838" s="198"/>
      <c r="Y838" s="198"/>
      <c r="Z838" s="198"/>
    </row>
    <row r="839" spans="1:26" ht="12.75" customHeight="1">
      <c r="A839" s="198"/>
      <c r="B839" s="198"/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  <c r="X839" s="198"/>
      <c r="Y839" s="198"/>
      <c r="Z839" s="198"/>
    </row>
    <row r="840" spans="1:26" ht="12.75" customHeight="1">
      <c r="A840" s="198"/>
      <c r="B840" s="198"/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  <c r="X840" s="198"/>
      <c r="Y840" s="198"/>
      <c r="Z840" s="198"/>
    </row>
    <row r="841" spans="1:26" ht="12.75" customHeight="1">
      <c r="A841" s="198"/>
      <c r="B841" s="198"/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  <c r="X841" s="198"/>
      <c r="Y841" s="198"/>
      <c r="Z841" s="198"/>
    </row>
    <row r="842" spans="1:26" ht="12.75" customHeight="1">
      <c r="A842" s="198"/>
      <c r="B842" s="198"/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  <c r="X842" s="198"/>
      <c r="Y842" s="198"/>
      <c r="Z842" s="198"/>
    </row>
    <row r="843" spans="1:26" ht="12.75" customHeight="1">
      <c r="A843" s="198"/>
      <c r="B843" s="198"/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  <c r="X843" s="198"/>
      <c r="Y843" s="198"/>
      <c r="Z843" s="198"/>
    </row>
    <row r="844" spans="1:26" ht="12.75" customHeight="1">
      <c r="A844" s="198"/>
      <c r="B844" s="198"/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  <c r="X844" s="198"/>
      <c r="Y844" s="198"/>
      <c r="Z844" s="198"/>
    </row>
    <row r="845" spans="1:26" ht="12.75" customHeight="1">
      <c r="A845" s="198"/>
      <c r="B845" s="198"/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  <c r="X845" s="198"/>
      <c r="Y845" s="198"/>
      <c r="Z845" s="198"/>
    </row>
    <row r="846" spans="1:26" ht="12.75" customHeight="1">
      <c r="A846" s="198"/>
      <c r="B846" s="198"/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  <c r="X846" s="198"/>
      <c r="Y846" s="198"/>
      <c r="Z846" s="198"/>
    </row>
    <row r="847" spans="1:26" ht="12.75" customHeight="1">
      <c r="A847" s="198"/>
      <c r="B847" s="198"/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  <c r="X847" s="198"/>
      <c r="Y847" s="198"/>
      <c r="Z847" s="198"/>
    </row>
    <row r="848" spans="1:26" ht="12.75" customHeight="1">
      <c r="A848" s="198"/>
      <c r="B848" s="198"/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  <c r="X848" s="198"/>
      <c r="Y848" s="198"/>
      <c r="Z848" s="198"/>
    </row>
    <row r="849" spans="1:26" ht="12.75" customHeight="1">
      <c r="A849" s="198"/>
      <c r="B849" s="198"/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  <c r="X849" s="198"/>
      <c r="Y849" s="198"/>
      <c r="Z849" s="198"/>
    </row>
    <row r="850" spans="1:26" ht="12.75" customHeight="1">
      <c r="A850" s="198"/>
      <c r="B850" s="198"/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  <c r="X850" s="198"/>
      <c r="Y850" s="198"/>
      <c r="Z850" s="198"/>
    </row>
    <row r="851" spans="1:26" ht="12.75" customHeight="1">
      <c r="A851" s="198"/>
      <c r="B851" s="198"/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  <c r="X851" s="198"/>
      <c r="Y851" s="198"/>
      <c r="Z851" s="198"/>
    </row>
    <row r="852" spans="1:26" ht="12.75" customHeight="1">
      <c r="A852" s="198"/>
      <c r="B852" s="198"/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  <c r="X852" s="198"/>
      <c r="Y852" s="198"/>
      <c r="Z852" s="198"/>
    </row>
    <row r="853" spans="1:26" ht="12.75" customHeight="1">
      <c r="A853" s="198"/>
      <c r="B853" s="198"/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  <c r="X853" s="198"/>
      <c r="Y853" s="198"/>
      <c r="Z853" s="198"/>
    </row>
    <row r="854" spans="1:26" ht="12.75" customHeight="1">
      <c r="A854" s="198"/>
      <c r="B854" s="198"/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  <c r="X854" s="198"/>
      <c r="Y854" s="198"/>
      <c r="Z854" s="198"/>
    </row>
    <row r="855" spans="1:26" ht="12.75" customHeight="1">
      <c r="A855" s="198"/>
      <c r="B855" s="198"/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  <c r="X855" s="198"/>
      <c r="Y855" s="198"/>
      <c r="Z855" s="198"/>
    </row>
    <row r="856" spans="1:26" ht="12.75" customHeight="1">
      <c r="A856" s="198"/>
      <c r="B856" s="198"/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  <c r="X856" s="198"/>
      <c r="Y856" s="198"/>
      <c r="Z856" s="198"/>
    </row>
    <row r="857" spans="1:26" ht="12.75" customHeight="1">
      <c r="A857" s="198"/>
      <c r="B857" s="198"/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</row>
    <row r="858" spans="1:26" ht="12.75" customHeight="1">
      <c r="A858" s="198"/>
      <c r="B858" s="198"/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</row>
    <row r="859" spans="1:26" ht="12.75" customHeight="1">
      <c r="A859" s="198"/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  <c r="Y859" s="198"/>
      <c r="Z859" s="198"/>
    </row>
    <row r="860" spans="1:26" ht="12.75" customHeight="1">
      <c r="A860" s="198"/>
      <c r="B860" s="198"/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  <c r="X860" s="198"/>
      <c r="Y860" s="198"/>
      <c r="Z860" s="198"/>
    </row>
    <row r="861" spans="1:26" ht="12.75" customHeight="1">
      <c r="A861" s="198"/>
      <c r="B861" s="198"/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  <c r="X861" s="198"/>
      <c r="Y861" s="198"/>
      <c r="Z861" s="198"/>
    </row>
    <row r="862" spans="1:26" ht="12.75" customHeight="1">
      <c r="A862" s="198"/>
      <c r="B862" s="198"/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  <c r="X862" s="198"/>
      <c r="Y862" s="198"/>
      <c r="Z862" s="198"/>
    </row>
    <row r="863" spans="1:26" ht="12.75" customHeight="1">
      <c r="A863" s="198"/>
      <c r="B863" s="198"/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  <c r="X863" s="198"/>
      <c r="Y863" s="198"/>
      <c r="Z863" s="198"/>
    </row>
    <row r="864" spans="1:26" ht="12.75" customHeight="1">
      <c r="A864" s="198"/>
      <c r="B864" s="198"/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  <c r="X864" s="198"/>
      <c r="Y864" s="198"/>
      <c r="Z864" s="198"/>
    </row>
    <row r="865" spans="1:26" ht="12.75" customHeight="1">
      <c r="A865" s="198"/>
      <c r="B865" s="198"/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  <c r="X865" s="198"/>
      <c r="Y865" s="198"/>
      <c r="Z865" s="198"/>
    </row>
    <row r="866" spans="1:26" ht="12.75" customHeight="1">
      <c r="A866" s="198"/>
      <c r="B866" s="198"/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  <c r="X866" s="198"/>
      <c r="Y866" s="198"/>
      <c r="Z866" s="198"/>
    </row>
    <row r="867" spans="1:26" ht="12.75" customHeight="1">
      <c r="A867" s="198"/>
      <c r="B867" s="198"/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  <c r="X867" s="198"/>
      <c r="Y867" s="198"/>
      <c r="Z867" s="198"/>
    </row>
    <row r="868" spans="1:26" ht="12.75" customHeight="1">
      <c r="A868" s="198"/>
      <c r="B868" s="198"/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  <c r="X868" s="198"/>
      <c r="Y868" s="198"/>
      <c r="Z868" s="198"/>
    </row>
    <row r="869" spans="1:26" ht="12.75" customHeight="1">
      <c r="A869" s="198"/>
      <c r="B869" s="198"/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  <c r="X869" s="198"/>
      <c r="Y869" s="198"/>
      <c r="Z869" s="198"/>
    </row>
    <row r="870" spans="1:26" ht="12.75" customHeight="1">
      <c r="A870" s="198"/>
      <c r="B870" s="198"/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  <c r="X870" s="198"/>
      <c r="Y870" s="198"/>
      <c r="Z870" s="198"/>
    </row>
    <row r="871" spans="1:26" ht="12.75" customHeight="1">
      <c r="A871" s="198"/>
      <c r="B871" s="198"/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  <c r="X871" s="198"/>
      <c r="Y871" s="198"/>
      <c r="Z871" s="198"/>
    </row>
    <row r="872" spans="1:26" ht="12.75" customHeight="1">
      <c r="A872" s="198"/>
      <c r="B872" s="198"/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  <c r="X872" s="198"/>
      <c r="Y872" s="198"/>
      <c r="Z872" s="198"/>
    </row>
    <row r="873" spans="1:26" ht="12.75" customHeight="1">
      <c r="A873" s="198"/>
      <c r="B873" s="198"/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  <c r="X873" s="198"/>
      <c r="Y873" s="198"/>
      <c r="Z873" s="198"/>
    </row>
    <row r="874" spans="1:26" ht="12.75" customHeight="1">
      <c r="A874" s="198"/>
      <c r="B874" s="198"/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  <c r="X874" s="198"/>
      <c r="Y874" s="198"/>
      <c r="Z874" s="198"/>
    </row>
    <row r="875" spans="1:26" ht="12.75" customHeight="1">
      <c r="A875" s="198"/>
      <c r="B875" s="198"/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  <c r="X875" s="198"/>
      <c r="Y875" s="198"/>
      <c r="Z875" s="198"/>
    </row>
    <row r="876" spans="1:26" ht="12.75" customHeight="1">
      <c r="A876" s="198"/>
      <c r="B876" s="198"/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  <c r="X876" s="198"/>
      <c r="Y876" s="198"/>
      <c r="Z876" s="198"/>
    </row>
    <row r="877" spans="1:26" ht="12.75" customHeight="1">
      <c r="A877" s="198"/>
      <c r="B877" s="198"/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  <c r="X877" s="198"/>
      <c r="Y877" s="198"/>
      <c r="Z877" s="198"/>
    </row>
    <row r="878" spans="1:26" ht="12.75" customHeight="1">
      <c r="A878" s="198"/>
      <c r="B878" s="198"/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  <c r="X878" s="198"/>
      <c r="Y878" s="198"/>
      <c r="Z878" s="198"/>
    </row>
    <row r="879" spans="1:26" ht="12.75" customHeight="1">
      <c r="A879" s="198"/>
      <c r="B879" s="198"/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  <c r="X879" s="198"/>
      <c r="Y879" s="198"/>
      <c r="Z879" s="198"/>
    </row>
    <row r="880" spans="1:26" ht="12.75" customHeight="1">
      <c r="A880" s="198"/>
      <c r="B880" s="198"/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  <c r="X880" s="198"/>
      <c r="Y880" s="198"/>
      <c r="Z880" s="198"/>
    </row>
    <row r="881" spans="1:26" ht="12.75" customHeight="1">
      <c r="A881" s="198"/>
      <c r="B881" s="198"/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  <c r="X881" s="198"/>
      <c r="Y881" s="198"/>
      <c r="Z881" s="198"/>
    </row>
    <row r="882" spans="1:26" ht="12.75" customHeight="1">
      <c r="A882" s="198"/>
      <c r="B882" s="198"/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  <c r="X882" s="198"/>
      <c r="Y882" s="198"/>
      <c r="Z882" s="198"/>
    </row>
    <row r="883" spans="1:26" ht="12.75" customHeight="1">
      <c r="A883" s="198"/>
      <c r="B883" s="198"/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  <c r="X883" s="198"/>
      <c r="Y883" s="198"/>
      <c r="Z883" s="198"/>
    </row>
    <row r="884" spans="1:26" ht="12.75" customHeight="1">
      <c r="A884" s="198"/>
      <c r="B884" s="198"/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  <c r="X884" s="198"/>
      <c r="Y884" s="198"/>
      <c r="Z884" s="198"/>
    </row>
    <row r="885" spans="1:26" ht="12.75" customHeight="1">
      <c r="A885" s="198"/>
      <c r="B885" s="198"/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  <c r="X885" s="198"/>
      <c r="Y885" s="198"/>
      <c r="Z885" s="198"/>
    </row>
    <row r="886" spans="1:26" ht="12.75" customHeight="1">
      <c r="A886" s="198"/>
      <c r="B886" s="198"/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  <c r="X886" s="198"/>
      <c r="Y886" s="198"/>
      <c r="Z886" s="198"/>
    </row>
    <row r="887" spans="1:26" ht="12.75" customHeight="1">
      <c r="A887" s="198"/>
      <c r="B887" s="198"/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  <c r="X887" s="198"/>
      <c r="Y887" s="198"/>
      <c r="Z887" s="198"/>
    </row>
    <row r="888" spans="1:26" ht="12.75" customHeight="1">
      <c r="A888" s="198"/>
      <c r="B888" s="198"/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  <c r="X888" s="198"/>
      <c r="Y888" s="198"/>
      <c r="Z888" s="198"/>
    </row>
    <row r="889" spans="1:26" ht="12.75" customHeight="1">
      <c r="A889" s="198"/>
      <c r="B889" s="198"/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  <c r="X889" s="198"/>
      <c r="Y889" s="198"/>
      <c r="Z889" s="198"/>
    </row>
    <row r="890" spans="1:26" ht="12.75" customHeight="1">
      <c r="A890" s="198"/>
      <c r="B890" s="198"/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  <c r="X890" s="198"/>
      <c r="Y890" s="198"/>
      <c r="Z890" s="198"/>
    </row>
    <row r="891" spans="1:26" ht="12.75" customHeight="1">
      <c r="A891" s="198"/>
      <c r="B891" s="198"/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  <c r="X891" s="198"/>
      <c r="Y891" s="198"/>
      <c r="Z891" s="198"/>
    </row>
    <row r="892" spans="1:26" ht="12.75" customHeight="1">
      <c r="A892" s="198"/>
      <c r="B892" s="198"/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  <c r="X892" s="198"/>
      <c r="Y892" s="198"/>
      <c r="Z892" s="198"/>
    </row>
    <row r="893" spans="1:26" ht="12.75" customHeight="1">
      <c r="A893" s="198"/>
      <c r="B893" s="198"/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</row>
    <row r="894" spans="1:26" ht="12.75" customHeight="1">
      <c r="A894" s="198"/>
      <c r="B894" s="198"/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</row>
    <row r="895" spans="1:26" ht="12.75" customHeight="1">
      <c r="A895" s="198"/>
      <c r="B895" s="198"/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  <c r="X895" s="198"/>
      <c r="Y895" s="198"/>
      <c r="Z895" s="198"/>
    </row>
    <row r="896" spans="1:26" ht="12.75" customHeight="1">
      <c r="A896" s="198"/>
      <c r="B896" s="198"/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  <c r="X896" s="198"/>
      <c r="Y896" s="198"/>
      <c r="Z896" s="198"/>
    </row>
    <row r="897" spans="1:26" ht="12.75" customHeight="1">
      <c r="A897" s="198"/>
      <c r="B897" s="198"/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  <c r="X897" s="198"/>
      <c r="Y897" s="198"/>
      <c r="Z897" s="198"/>
    </row>
    <row r="898" spans="1:26" ht="12.75" customHeight="1">
      <c r="A898" s="198"/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  <c r="Y898" s="198"/>
      <c r="Z898" s="198"/>
    </row>
    <row r="899" spans="1:26" ht="12.75" customHeight="1">
      <c r="A899" s="198"/>
      <c r="B899" s="198"/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  <c r="X899" s="198"/>
      <c r="Y899" s="198"/>
      <c r="Z899" s="198"/>
    </row>
    <row r="900" spans="1:26" ht="12.75" customHeight="1">
      <c r="A900" s="198"/>
      <c r="B900" s="198"/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  <c r="X900" s="198"/>
      <c r="Y900" s="198"/>
      <c r="Z900" s="198"/>
    </row>
    <row r="901" spans="1:26" ht="12.75" customHeight="1">
      <c r="A901" s="198"/>
      <c r="B901" s="198"/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  <c r="X901" s="198"/>
      <c r="Y901" s="198"/>
      <c r="Z901" s="198"/>
    </row>
    <row r="902" spans="1:26" ht="12.75" customHeight="1">
      <c r="A902" s="198"/>
      <c r="B902" s="198"/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  <c r="X902" s="198"/>
      <c r="Y902" s="198"/>
      <c r="Z902" s="198"/>
    </row>
    <row r="903" spans="1:26" ht="12.75" customHeight="1">
      <c r="A903" s="198"/>
      <c r="B903" s="198"/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  <c r="X903" s="198"/>
      <c r="Y903" s="198"/>
      <c r="Z903" s="198"/>
    </row>
    <row r="904" spans="1:26" ht="12.75" customHeight="1">
      <c r="A904" s="198"/>
      <c r="B904" s="198"/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  <c r="X904" s="198"/>
      <c r="Y904" s="198"/>
      <c r="Z904" s="198"/>
    </row>
    <row r="905" spans="1:26" ht="12.75" customHeight="1">
      <c r="A905" s="198"/>
      <c r="B905" s="198"/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  <c r="X905" s="198"/>
      <c r="Y905" s="198"/>
      <c r="Z905" s="198"/>
    </row>
    <row r="906" spans="1:26" ht="12.75" customHeight="1">
      <c r="A906" s="198"/>
      <c r="B906" s="198"/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  <c r="X906" s="198"/>
      <c r="Y906" s="198"/>
      <c r="Z906" s="198"/>
    </row>
    <row r="907" spans="1:26" ht="12.75" customHeight="1">
      <c r="A907" s="198"/>
      <c r="B907" s="198"/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  <c r="X907" s="198"/>
      <c r="Y907" s="198"/>
      <c r="Z907" s="198"/>
    </row>
    <row r="908" spans="1:26" ht="12.75" customHeight="1">
      <c r="A908" s="198"/>
      <c r="B908" s="198"/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  <c r="X908" s="198"/>
      <c r="Y908" s="198"/>
      <c r="Z908" s="198"/>
    </row>
    <row r="909" spans="1:26" ht="12.75" customHeight="1">
      <c r="A909" s="198"/>
      <c r="B909" s="198"/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  <c r="X909" s="198"/>
      <c r="Y909" s="198"/>
      <c r="Z909" s="198"/>
    </row>
    <row r="910" spans="1:26" ht="12.75" customHeight="1">
      <c r="A910" s="198"/>
      <c r="B910" s="198"/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  <c r="X910" s="198"/>
      <c r="Y910" s="198"/>
      <c r="Z910" s="198"/>
    </row>
    <row r="911" spans="1:26" ht="12.75" customHeight="1">
      <c r="A911" s="198"/>
      <c r="B911" s="198"/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  <c r="X911" s="198"/>
      <c r="Y911" s="198"/>
      <c r="Z911" s="198"/>
    </row>
    <row r="912" spans="1:26" ht="12.75" customHeight="1">
      <c r="A912" s="198"/>
      <c r="B912" s="198"/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  <c r="X912" s="198"/>
      <c r="Y912" s="198"/>
      <c r="Z912" s="198"/>
    </row>
    <row r="913" spans="1:26" ht="12.75" customHeight="1">
      <c r="A913" s="198"/>
      <c r="B913" s="198"/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  <c r="X913" s="198"/>
      <c r="Y913" s="198"/>
      <c r="Z913" s="198"/>
    </row>
    <row r="914" spans="1:26" ht="12.75" customHeight="1">
      <c r="A914" s="198"/>
      <c r="B914" s="198"/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  <c r="X914" s="198"/>
      <c r="Y914" s="198"/>
      <c r="Z914" s="198"/>
    </row>
    <row r="915" spans="1:26" ht="12.75" customHeight="1">
      <c r="A915" s="198"/>
      <c r="B915" s="198"/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  <c r="X915" s="198"/>
      <c r="Y915" s="198"/>
      <c r="Z915" s="198"/>
    </row>
    <row r="916" spans="1:26" ht="12.75" customHeight="1">
      <c r="A916" s="198"/>
      <c r="B916" s="198"/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  <c r="X916" s="198"/>
      <c r="Y916" s="198"/>
      <c r="Z916" s="198"/>
    </row>
    <row r="917" spans="1:26" ht="12.75" customHeight="1">
      <c r="A917" s="198"/>
      <c r="B917" s="198"/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  <c r="X917" s="198"/>
      <c r="Y917" s="198"/>
      <c r="Z917" s="198"/>
    </row>
    <row r="918" spans="1:26" ht="12.75" customHeight="1">
      <c r="A918" s="198"/>
      <c r="B918" s="198"/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  <c r="X918" s="198"/>
      <c r="Y918" s="198"/>
      <c r="Z918" s="198"/>
    </row>
    <row r="919" spans="1:26" ht="12.75" customHeight="1">
      <c r="A919" s="198"/>
      <c r="B919" s="198"/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  <c r="X919" s="198"/>
      <c r="Y919" s="198"/>
      <c r="Z919" s="198"/>
    </row>
    <row r="920" spans="1:26" ht="12.75" customHeight="1">
      <c r="A920" s="198"/>
      <c r="B920" s="198"/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  <c r="X920" s="198"/>
      <c r="Y920" s="198"/>
      <c r="Z920" s="198"/>
    </row>
    <row r="921" spans="1:26" ht="12.75" customHeight="1">
      <c r="A921" s="198"/>
      <c r="B921" s="198"/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  <c r="X921" s="198"/>
      <c r="Y921" s="198"/>
      <c r="Z921" s="198"/>
    </row>
    <row r="922" spans="1:26" ht="12.75" customHeight="1">
      <c r="A922" s="198"/>
      <c r="B922" s="198"/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  <c r="X922" s="198"/>
      <c r="Y922" s="198"/>
      <c r="Z922" s="198"/>
    </row>
    <row r="923" spans="1:26" ht="12.75" customHeight="1">
      <c r="A923" s="198"/>
      <c r="B923" s="198"/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  <c r="X923" s="198"/>
      <c r="Y923" s="198"/>
      <c r="Z923" s="198"/>
    </row>
    <row r="924" spans="1:26" ht="12.75" customHeight="1">
      <c r="A924" s="198"/>
      <c r="B924" s="198"/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  <c r="X924" s="198"/>
      <c r="Y924" s="198"/>
      <c r="Z924" s="198"/>
    </row>
    <row r="925" spans="1:26" ht="12.75" customHeight="1">
      <c r="A925" s="198"/>
      <c r="B925" s="198"/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  <c r="X925" s="198"/>
      <c r="Y925" s="198"/>
      <c r="Z925" s="198"/>
    </row>
    <row r="926" spans="1:26" ht="12.75" customHeight="1">
      <c r="A926" s="198"/>
      <c r="B926" s="198"/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  <c r="X926" s="198"/>
      <c r="Y926" s="198"/>
      <c r="Z926" s="198"/>
    </row>
    <row r="927" spans="1:26" ht="12.75" customHeight="1">
      <c r="A927" s="198"/>
      <c r="B927" s="198"/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  <c r="X927" s="198"/>
      <c r="Y927" s="198"/>
      <c r="Z927" s="198"/>
    </row>
    <row r="928" spans="1:26" ht="12.75" customHeight="1">
      <c r="A928" s="198"/>
      <c r="B928" s="198"/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  <c r="X928" s="198"/>
      <c r="Y928" s="198"/>
      <c r="Z928" s="198"/>
    </row>
    <row r="929" spans="1:26" ht="12.75" customHeight="1">
      <c r="A929" s="198"/>
      <c r="B929" s="198"/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  <c r="X929" s="198"/>
      <c r="Y929" s="198"/>
      <c r="Z929" s="198"/>
    </row>
    <row r="930" spans="1:26" ht="12.75" customHeight="1">
      <c r="A930" s="198"/>
      <c r="B930" s="198"/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  <c r="X930" s="198"/>
      <c r="Y930" s="198"/>
      <c r="Z930" s="198"/>
    </row>
    <row r="931" spans="1:26" ht="12.75" customHeight="1">
      <c r="A931" s="198"/>
      <c r="B931" s="198"/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  <c r="X931" s="198"/>
      <c r="Y931" s="198"/>
      <c r="Z931" s="198"/>
    </row>
    <row r="932" spans="1:26" ht="12.75" customHeight="1">
      <c r="A932" s="198"/>
      <c r="B932" s="198"/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  <c r="X932" s="198"/>
      <c r="Y932" s="198"/>
      <c r="Z932" s="198"/>
    </row>
    <row r="933" spans="1:26" ht="12.75" customHeight="1">
      <c r="A933" s="198"/>
      <c r="B933" s="198"/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  <c r="X933" s="198"/>
      <c r="Y933" s="198"/>
      <c r="Z933" s="198"/>
    </row>
    <row r="934" spans="1:26" ht="12.75" customHeight="1">
      <c r="A934" s="198"/>
      <c r="B934" s="198"/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  <c r="X934" s="198"/>
      <c r="Y934" s="198"/>
      <c r="Z934" s="198"/>
    </row>
    <row r="935" spans="1:26" ht="12.75" customHeight="1">
      <c r="A935" s="198"/>
      <c r="B935" s="198"/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  <c r="X935" s="198"/>
      <c r="Y935" s="198"/>
      <c r="Z935" s="198"/>
    </row>
    <row r="936" spans="1:26" ht="12.75" customHeight="1">
      <c r="A936" s="198"/>
      <c r="B936" s="198"/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  <c r="X936" s="198"/>
      <c r="Y936" s="198"/>
      <c r="Z936" s="198"/>
    </row>
    <row r="937" spans="1:26" ht="12.75" customHeight="1">
      <c r="A937" s="198"/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  <c r="Y937" s="198"/>
      <c r="Z937" s="198"/>
    </row>
    <row r="938" spans="1:26" ht="12.75" customHeight="1">
      <c r="A938" s="198"/>
      <c r="B938" s="198"/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  <c r="X938" s="198"/>
      <c r="Y938" s="198"/>
      <c r="Z938" s="198"/>
    </row>
    <row r="939" spans="1:26" ht="12.75" customHeight="1">
      <c r="A939" s="198"/>
      <c r="B939" s="198"/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  <c r="X939" s="198"/>
      <c r="Y939" s="198"/>
      <c r="Z939" s="198"/>
    </row>
    <row r="940" spans="1:26" ht="12.75" customHeight="1">
      <c r="A940" s="198"/>
      <c r="B940" s="198"/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  <c r="X940" s="198"/>
      <c r="Y940" s="198"/>
      <c r="Z940" s="198"/>
    </row>
    <row r="941" spans="1:26" ht="12.75" customHeight="1">
      <c r="A941" s="198"/>
      <c r="B941" s="198"/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  <c r="X941" s="198"/>
      <c r="Y941" s="198"/>
      <c r="Z941" s="198"/>
    </row>
    <row r="942" spans="1:26" ht="12.75" customHeight="1">
      <c r="A942" s="198"/>
      <c r="B942" s="198"/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  <c r="X942" s="198"/>
      <c r="Y942" s="198"/>
      <c r="Z942" s="198"/>
    </row>
    <row r="943" spans="1:26" ht="12.75" customHeight="1">
      <c r="A943" s="198"/>
      <c r="B943" s="198"/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  <c r="X943" s="198"/>
      <c r="Y943" s="198"/>
      <c r="Z943" s="198"/>
    </row>
    <row r="944" spans="1:26" ht="12.75" customHeight="1">
      <c r="A944" s="198"/>
      <c r="B944" s="198"/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  <c r="X944" s="198"/>
      <c r="Y944" s="198"/>
      <c r="Z944" s="198"/>
    </row>
    <row r="945" spans="1:26" ht="12.75" customHeight="1">
      <c r="A945" s="198"/>
      <c r="B945" s="198"/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  <c r="X945" s="198"/>
      <c r="Y945" s="198"/>
      <c r="Z945" s="198"/>
    </row>
    <row r="946" spans="1:26" ht="12.75" customHeight="1">
      <c r="A946" s="198"/>
      <c r="B946" s="198"/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  <c r="X946" s="198"/>
      <c r="Y946" s="198"/>
      <c r="Z946" s="198"/>
    </row>
    <row r="947" spans="1:26" ht="12.75" customHeight="1">
      <c r="A947" s="198"/>
      <c r="B947" s="198"/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  <c r="X947" s="198"/>
      <c r="Y947" s="198"/>
      <c r="Z947" s="198"/>
    </row>
    <row r="948" spans="1:26" ht="12.75" customHeight="1">
      <c r="A948" s="198"/>
      <c r="B948" s="198"/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  <c r="X948" s="198"/>
      <c r="Y948" s="198"/>
      <c r="Z948" s="198"/>
    </row>
    <row r="949" spans="1:26" ht="12.75" customHeight="1">
      <c r="A949" s="198"/>
      <c r="B949" s="198"/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  <c r="X949" s="198"/>
      <c r="Y949" s="198"/>
      <c r="Z949" s="198"/>
    </row>
    <row r="950" spans="1:26" ht="12.75" customHeight="1">
      <c r="A950" s="198"/>
      <c r="B950" s="198"/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  <c r="X950" s="198"/>
      <c r="Y950" s="198"/>
      <c r="Z950" s="198"/>
    </row>
    <row r="951" spans="1:26" ht="12.75" customHeight="1">
      <c r="A951" s="198"/>
      <c r="B951" s="198"/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  <c r="X951" s="198"/>
      <c r="Y951" s="198"/>
      <c r="Z951" s="198"/>
    </row>
    <row r="952" spans="1:26" ht="12.75" customHeight="1">
      <c r="A952" s="198"/>
      <c r="B952" s="198"/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  <c r="X952" s="198"/>
      <c r="Y952" s="198"/>
      <c r="Z952" s="198"/>
    </row>
    <row r="953" spans="1:26" ht="12.75" customHeight="1">
      <c r="A953" s="198"/>
      <c r="B953" s="198"/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  <c r="X953" s="198"/>
      <c r="Y953" s="198"/>
      <c r="Z953" s="198"/>
    </row>
    <row r="954" spans="1:26" ht="12.75" customHeight="1">
      <c r="A954" s="198"/>
      <c r="B954" s="198"/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  <c r="X954" s="198"/>
      <c r="Y954" s="198"/>
      <c r="Z954" s="198"/>
    </row>
    <row r="955" spans="1:26" ht="12.75" customHeight="1">
      <c r="A955" s="198"/>
      <c r="B955" s="198"/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  <c r="X955" s="198"/>
      <c r="Y955" s="198"/>
      <c r="Z955" s="198"/>
    </row>
    <row r="956" spans="1:26" ht="12.75" customHeight="1">
      <c r="A956" s="198"/>
      <c r="B956" s="198"/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  <c r="X956" s="198"/>
      <c r="Y956" s="198"/>
      <c r="Z956" s="198"/>
    </row>
    <row r="957" spans="1:26" ht="12.75" customHeight="1">
      <c r="A957" s="198"/>
      <c r="B957" s="198"/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  <c r="X957" s="198"/>
      <c r="Y957" s="198"/>
      <c r="Z957" s="198"/>
    </row>
    <row r="958" spans="1:26" ht="12.75" customHeight="1">
      <c r="A958" s="198"/>
      <c r="B958" s="198"/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  <c r="X958" s="198"/>
      <c r="Y958" s="198"/>
      <c r="Z958" s="198"/>
    </row>
    <row r="959" spans="1:26" ht="12.75" customHeight="1">
      <c r="A959" s="198"/>
      <c r="B959" s="198"/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  <c r="X959" s="198"/>
      <c r="Y959" s="198"/>
      <c r="Z959" s="198"/>
    </row>
    <row r="960" spans="1:26" ht="12.75" customHeight="1">
      <c r="A960" s="198"/>
      <c r="B960" s="198"/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  <c r="X960" s="198"/>
      <c r="Y960" s="198"/>
      <c r="Z960" s="198"/>
    </row>
    <row r="961" spans="1:26" ht="12.75" customHeight="1">
      <c r="A961" s="198"/>
      <c r="B961" s="198"/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  <c r="X961" s="198"/>
      <c r="Y961" s="198"/>
      <c r="Z961" s="198"/>
    </row>
    <row r="962" spans="1:26" ht="12.75" customHeight="1">
      <c r="A962" s="198"/>
      <c r="B962" s="198"/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  <c r="X962" s="198"/>
      <c r="Y962" s="198"/>
      <c r="Z962" s="198"/>
    </row>
    <row r="963" spans="1:26" ht="12.75" customHeight="1">
      <c r="A963" s="198"/>
      <c r="B963" s="198"/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  <c r="X963" s="198"/>
      <c r="Y963" s="198"/>
      <c r="Z963" s="198"/>
    </row>
    <row r="964" spans="1:26" ht="12.75" customHeight="1">
      <c r="A964" s="198"/>
      <c r="B964" s="198"/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  <c r="X964" s="198"/>
      <c r="Y964" s="198"/>
      <c r="Z964" s="198"/>
    </row>
    <row r="965" spans="1:26" ht="12.75" customHeight="1">
      <c r="A965" s="198"/>
      <c r="B965" s="198"/>
      <c r="C965" s="198"/>
      <c r="D965" s="198"/>
      <c r="E965" s="198"/>
      <c r="F965" s="198"/>
      <c r="G965" s="198"/>
      <c r="H965" s="198"/>
      <c r="I965" s="198"/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  <c r="T965" s="198"/>
      <c r="U965" s="198"/>
      <c r="V965" s="198"/>
      <c r="W965" s="198"/>
      <c r="X965" s="198"/>
      <c r="Y965" s="198"/>
      <c r="Z965" s="198"/>
    </row>
    <row r="966" spans="1:26" ht="12.75" customHeight="1">
      <c r="A966" s="198"/>
      <c r="B966" s="198"/>
      <c r="C966" s="198"/>
      <c r="D966" s="198"/>
      <c r="E966" s="198"/>
      <c r="F966" s="198"/>
      <c r="G966" s="198"/>
      <c r="H966" s="198"/>
      <c r="I966" s="198"/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  <c r="T966" s="198"/>
      <c r="U966" s="198"/>
      <c r="V966" s="198"/>
      <c r="W966" s="198"/>
      <c r="X966" s="198"/>
      <c r="Y966" s="198"/>
      <c r="Z966" s="198"/>
    </row>
    <row r="967" spans="1:26" ht="12.75" customHeight="1">
      <c r="A967" s="198"/>
      <c r="B967" s="198"/>
      <c r="C967" s="198"/>
      <c r="D967" s="198"/>
      <c r="E967" s="198"/>
      <c r="F967" s="198"/>
      <c r="G967" s="198"/>
      <c r="H967" s="198"/>
      <c r="I967" s="19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  <c r="T967" s="198"/>
      <c r="U967" s="198"/>
      <c r="V967" s="198"/>
      <c r="W967" s="198"/>
      <c r="X967" s="198"/>
      <c r="Y967" s="198"/>
      <c r="Z967" s="198"/>
    </row>
    <row r="968" spans="1:26" ht="12.75" customHeight="1">
      <c r="A968" s="198"/>
      <c r="B968" s="198"/>
      <c r="C968" s="198"/>
      <c r="D968" s="198"/>
      <c r="E968" s="198"/>
      <c r="F968" s="198"/>
      <c r="G968" s="198"/>
      <c r="H968" s="198"/>
      <c r="I968" s="198"/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  <c r="T968" s="198"/>
      <c r="U968" s="198"/>
      <c r="V968" s="198"/>
      <c r="W968" s="198"/>
      <c r="X968" s="198"/>
      <c r="Y968" s="198"/>
      <c r="Z968" s="198"/>
    </row>
    <row r="969" spans="1:26" ht="12.75" customHeight="1">
      <c r="A969" s="198"/>
      <c r="B969" s="198"/>
      <c r="C969" s="198"/>
      <c r="D969" s="198"/>
      <c r="E969" s="198"/>
      <c r="F969" s="198"/>
      <c r="G969" s="198"/>
      <c r="H969" s="198"/>
      <c r="I969" s="198"/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  <c r="T969" s="198"/>
      <c r="U969" s="198"/>
      <c r="V969" s="198"/>
      <c r="W969" s="198"/>
      <c r="X969" s="198"/>
      <c r="Y969" s="198"/>
      <c r="Z969" s="198"/>
    </row>
    <row r="970" spans="1:26" ht="12.75" customHeight="1">
      <c r="A970" s="198"/>
      <c r="B970" s="198"/>
      <c r="C970" s="198"/>
      <c r="D970" s="198"/>
      <c r="E970" s="198"/>
      <c r="F970" s="198"/>
      <c r="G970" s="198"/>
      <c r="H970" s="198"/>
      <c r="I970" s="19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  <c r="T970" s="198"/>
      <c r="U970" s="198"/>
      <c r="V970" s="198"/>
      <c r="W970" s="198"/>
      <c r="X970" s="198"/>
      <c r="Y970" s="198"/>
      <c r="Z970" s="198"/>
    </row>
    <row r="971" spans="1:26" ht="12.75" customHeight="1">
      <c r="A971" s="198"/>
      <c r="B971" s="198"/>
      <c r="C971" s="198"/>
      <c r="D971" s="198"/>
      <c r="E971" s="198"/>
      <c r="F971" s="198"/>
      <c r="G971" s="198"/>
      <c r="H971" s="198"/>
      <c r="I971" s="198"/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  <c r="T971" s="198"/>
      <c r="U971" s="198"/>
      <c r="V971" s="198"/>
      <c r="W971" s="198"/>
      <c r="X971" s="198"/>
      <c r="Y971" s="198"/>
      <c r="Z971" s="198"/>
    </row>
    <row r="972" spans="1:26" ht="12.75" customHeight="1">
      <c r="A972" s="198"/>
      <c r="B972" s="198"/>
      <c r="C972" s="198"/>
      <c r="D972" s="198"/>
      <c r="E972" s="198"/>
      <c r="F972" s="198"/>
      <c r="G972" s="198"/>
      <c r="H972" s="198"/>
      <c r="I972" s="198"/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  <c r="T972" s="198"/>
      <c r="U972" s="198"/>
      <c r="V972" s="198"/>
      <c r="W972" s="198"/>
      <c r="X972" s="198"/>
      <c r="Y972" s="198"/>
      <c r="Z972" s="198"/>
    </row>
    <row r="973" spans="1:26" ht="12.75" customHeight="1">
      <c r="A973" s="198"/>
      <c r="B973" s="198"/>
      <c r="C973" s="198"/>
      <c r="D973" s="198"/>
      <c r="E973" s="198"/>
      <c r="F973" s="198"/>
      <c r="G973" s="198"/>
      <c r="H973" s="198"/>
      <c r="I973" s="19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  <c r="T973" s="198"/>
      <c r="U973" s="198"/>
      <c r="V973" s="198"/>
      <c r="W973" s="198"/>
      <c r="X973" s="198"/>
      <c r="Y973" s="198"/>
      <c r="Z973" s="198"/>
    </row>
    <row r="974" spans="1:26" ht="12.75" customHeight="1">
      <c r="A974" s="198"/>
      <c r="B974" s="198"/>
      <c r="C974" s="198"/>
      <c r="D974" s="198"/>
      <c r="E974" s="198"/>
      <c r="F974" s="198"/>
      <c r="G974" s="198"/>
      <c r="H974" s="198"/>
      <c r="I974" s="198"/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  <c r="T974" s="198"/>
      <c r="U974" s="198"/>
      <c r="V974" s="198"/>
      <c r="W974" s="198"/>
      <c r="X974" s="198"/>
      <c r="Y974" s="198"/>
      <c r="Z974" s="198"/>
    </row>
    <row r="975" spans="1:26" ht="12.75" customHeight="1">
      <c r="A975" s="198"/>
      <c r="B975" s="198"/>
      <c r="C975" s="198"/>
      <c r="D975" s="198"/>
      <c r="E975" s="198"/>
      <c r="F975" s="198"/>
      <c r="G975" s="198"/>
      <c r="H975" s="198"/>
      <c r="I975" s="198"/>
      <c r="J975" s="198"/>
      <c r="K975" s="198"/>
      <c r="L975" s="198"/>
      <c r="M975" s="198"/>
      <c r="N975" s="198"/>
      <c r="O975" s="198"/>
      <c r="P975" s="198"/>
      <c r="Q975" s="198"/>
      <c r="R975" s="198"/>
      <c r="S975" s="198"/>
      <c r="T975" s="198"/>
      <c r="U975" s="198"/>
      <c r="V975" s="198"/>
      <c r="W975" s="198"/>
      <c r="X975" s="198"/>
      <c r="Y975" s="198"/>
      <c r="Z975" s="198"/>
    </row>
    <row r="976" spans="1:26" ht="12.75" customHeight="1">
      <c r="A976" s="198"/>
      <c r="B976" s="198"/>
      <c r="C976" s="198"/>
      <c r="D976" s="198"/>
      <c r="E976" s="198"/>
      <c r="F976" s="198"/>
      <c r="G976" s="198"/>
      <c r="H976" s="198"/>
      <c r="I976" s="198"/>
      <c r="J976" s="198"/>
      <c r="K976" s="198"/>
      <c r="L976" s="198"/>
      <c r="M976" s="198"/>
      <c r="N976" s="198"/>
      <c r="O976" s="198"/>
      <c r="P976" s="198"/>
      <c r="Q976" s="198"/>
      <c r="R976" s="198"/>
      <c r="S976" s="198"/>
      <c r="T976" s="198"/>
      <c r="U976" s="198"/>
      <c r="V976" s="198"/>
      <c r="W976" s="198"/>
      <c r="X976" s="198"/>
      <c r="Y976" s="198"/>
      <c r="Z976" s="198"/>
    </row>
    <row r="977" spans="1:26" ht="12.75" customHeight="1">
      <c r="A977" s="198"/>
      <c r="B977" s="198"/>
      <c r="C977" s="198"/>
      <c r="D977" s="198"/>
      <c r="E977" s="198"/>
      <c r="F977" s="198"/>
      <c r="G977" s="198"/>
      <c r="H977" s="198"/>
      <c r="I977" s="198"/>
      <c r="J977" s="198"/>
      <c r="K977" s="198"/>
      <c r="L977" s="198"/>
      <c r="M977" s="198"/>
      <c r="N977" s="198"/>
      <c r="O977" s="198"/>
      <c r="P977" s="198"/>
      <c r="Q977" s="198"/>
      <c r="R977" s="198"/>
      <c r="S977" s="198"/>
      <c r="T977" s="198"/>
      <c r="U977" s="198"/>
      <c r="V977" s="198"/>
      <c r="W977" s="198"/>
      <c r="X977" s="198"/>
      <c r="Y977" s="198"/>
      <c r="Z977" s="198"/>
    </row>
    <row r="978" spans="1:26" ht="12.75" customHeight="1">
      <c r="A978" s="198"/>
      <c r="B978" s="198"/>
      <c r="C978" s="198"/>
      <c r="D978" s="198"/>
      <c r="E978" s="198"/>
      <c r="F978" s="198"/>
      <c r="G978" s="198"/>
      <c r="H978" s="198"/>
      <c r="I978" s="198"/>
      <c r="J978" s="198"/>
      <c r="K978" s="198"/>
      <c r="L978" s="198"/>
      <c r="M978" s="198"/>
      <c r="N978" s="198"/>
      <c r="O978" s="198"/>
      <c r="P978" s="198"/>
      <c r="Q978" s="198"/>
      <c r="R978" s="198"/>
      <c r="S978" s="198"/>
      <c r="T978" s="198"/>
      <c r="U978" s="198"/>
      <c r="V978" s="198"/>
      <c r="W978" s="198"/>
      <c r="X978" s="198"/>
      <c r="Y978" s="198"/>
      <c r="Z978" s="198"/>
    </row>
    <row r="979" spans="1:26" ht="12.75" customHeight="1">
      <c r="A979" s="198"/>
      <c r="B979" s="198"/>
      <c r="C979" s="198"/>
      <c r="D979" s="198"/>
      <c r="E979" s="198"/>
      <c r="F979" s="198"/>
      <c r="G979" s="198"/>
      <c r="H979" s="198"/>
      <c r="I979" s="198"/>
      <c r="J979" s="198"/>
      <c r="K979" s="198"/>
      <c r="L979" s="198"/>
      <c r="M979" s="198"/>
      <c r="N979" s="198"/>
      <c r="O979" s="198"/>
      <c r="P979" s="198"/>
      <c r="Q979" s="198"/>
      <c r="R979" s="198"/>
      <c r="S979" s="198"/>
      <c r="T979" s="198"/>
      <c r="U979" s="198"/>
      <c r="V979" s="198"/>
      <c r="W979" s="198"/>
      <c r="X979" s="198"/>
      <c r="Y979" s="198"/>
      <c r="Z979" s="198"/>
    </row>
    <row r="980" spans="1:26" ht="12.75" customHeight="1">
      <c r="A980" s="198"/>
      <c r="B980" s="198"/>
      <c r="C980" s="198"/>
      <c r="D980" s="198"/>
      <c r="E980" s="198"/>
      <c r="F980" s="198"/>
      <c r="G980" s="198"/>
      <c r="H980" s="198"/>
      <c r="I980" s="198"/>
      <c r="J980" s="198"/>
      <c r="K980" s="198"/>
      <c r="L980" s="198"/>
      <c r="M980" s="198"/>
      <c r="N980" s="198"/>
      <c r="O980" s="198"/>
      <c r="P980" s="198"/>
      <c r="Q980" s="198"/>
      <c r="R980" s="198"/>
      <c r="S980" s="198"/>
      <c r="T980" s="198"/>
      <c r="U980" s="198"/>
      <c r="V980" s="198"/>
      <c r="W980" s="198"/>
      <c r="X980" s="198"/>
      <c r="Y980" s="198"/>
      <c r="Z980" s="198"/>
    </row>
    <row r="981" spans="1:26" ht="12.75" customHeight="1">
      <c r="A981" s="198"/>
      <c r="B981" s="198"/>
      <c r="C981" s="198"/>
      <c r="D981" s="198"/>
      <c r="E981" s="198"/>
      <c r="F981" s="198"/>
      <c r="G981" s="198"/>
      <c r="H981" s="198"/>
      <c r="I981" s="198"/>
      <c r="J981" s="198"/>
      <c r="K981" s="198"/>
      <c r="L981" s="198"/>
      <c r="M981" s="198"/>
      <c r="N981" s="198"/>
      <c r="O981" s="198"/>
      <c r="P981" s="198"/>
      <c r="Q981" s="198"/>
      <c r="R981" s="198"/>
      <c r="S981" s="198"/>
      <c r="T981" s="198"/>
      <c r="U981" s="198"/>
      <c r="V981" s="198"/>
      <c r="W981" s="198"/>
      <c r="X981" s="198"/>
      <c r="Y981" s="198"/>
      <c r="Z981" s="198"/>
    </row>
    <row r="982" spans="1:26" ht="12.75" customHeight="1">
      <c r="A982" s="198"/>
      <c r="B982" s="198"/>
      <c r="C982" s="198"/>
      <c r="D982" s="198"/>
      <c r="E982" s="198"/>
      <c r="F982" s="198"/>
      <c r="G982" s="198"/>
      <c r="H982" s="198"/>
      <c r="I982" s="198"/>
      <c r="J982" s="198"/>
      <c r="K982" s="198"/>
      <c r="L982" s="198"/>
      <c r="M982" s="198"/>
      <c r="N982" s="198"/>
      <c r="O982" s="198"/>
      <c r="P982" s="198"/>
      <c r="Q982" s="198"/>
      <c r="R982" s="198"/>
      <c r="S982" s="198"/>
      <c r="T982" s="198"/>
      <c r="U982" s="198"/>
      <c r="V982" s="198"/>
      <c r="W982" s="198"/>
      <c r="X982" s="198"/>
      <c r="Y982" s="198"/>
      <c r="Z982" s="198"/>
    </row>
    <row r="983" spans="1:26" ht="12.75" customHeight="1">
      <c r="A983" s="198"/>
      <c r="B983" s="198"/>
      <c r="C983" s="198"/>
      <c r="D983" s="198"/>
      <c r="E983" s="198"/>
      <c r="F983" s="198"/>
      <c r="G983" s="198"/>
      <c r="H983" s="198"/>
      <c r="I983" s="198"/>
      <c r="J983" s="198"/>
      <c r="K983" s="198"/>
      <c r="L983" s="198"/>
      <c r="M983" s="198"/>
      <c r="N983" s="198"/>
      <c r="O983" s="198"/>
      <c r="P983" s="198"/>
      <c r="Q983" s="198"/>
      <c r="R983" s="198"/>
      <c r="S983" s="198"/>
      <c r="T983" s="198"/>
      <c r="U983" s="198"/>
      <c r="V983" s="198"/>
      <c r="W983" s="198"/>
      <c r="X983" s="198"/>
      <c r="Y983" s="198"/>
      <c r="Z983" s="198"/>
    </row>
    <row r="984" spans="1:26" ht="12.75" customHeight="1">
      <c r="A984" s="198"/>
      <c r="B984" s="198"/>
      <c r="C984" s="198"/>
      <c r="D984" s="198"/>
      <c r="E984" s="198"/>
      <c r="F984" s="198"/>
      <c r="G984" s="198"/>
      <c r="H984" s="198"/>
      <c r="I984" s="198"/>
      <c r="J984" s="198"/>
      <c r="K984" s="198"/>
      <c r="L984" s="198"/>
      <c r="M984" s="198"/>
      <c r="N984" s="198"/>
      <c r="O984" s="198"/>
      <c r="P984" s="198"/>
      <c r="Q984" s="198"/>
      <c r="R984" s="198"/>
      <c r="S984" s="198"/>
      <c r="T984" s="198"/>
      <c r="U984" s="198"/>
      <c r="V984" s="198"/>
      <c r="W984" s="198"/>
      <c r="X984" s="198"/>
      <c r="Y984" s="198"/>
      <c r="Z984" s="198"/>
    </row>
    <row r="985" spans="1:26" ht="12.75" customHeight="1">
      <c r="A985" s="198"/>
      <c r="B985" s="198"/>
      <c r="C985" s="198"/>
      <c r="D985" s="198"/>
      <c r="E985" s="198"/>
      <c r="F985" s="198"/>
      <c r="G985" s="198"/>
      <c r="H985" s="198"/>
      <c r="I985" s="198"/>
      <c r="J985" s="198"/>
      <c r="K985" s="198"/>
      <c r="L985" s="198"/>
      <c r="M985" s="198"/>
      <c r="N985" s="198"/>
      <c r="O985" s="198"/>
      <c r="P985" s="198"/>
      <c r="Q985" s="198"/>
      <c r="R985" s="198"/>
      <c r="S985" s="198"/>
      <c r="T985" s="198"/>
      <c r="U985" s="198"/>
      <c r="V985" s="198"/>
      <c r="W985" s="198"/>
      <c r="X985" s="198"/>
      <c r="Y985" s="198"/>
      <c r="Z985" s="198"/>
    </row>
    <row r="986" spans="1:26" ht="12.75" customHeight="1">
      <c r="A986" s="198"/>
      <c r="B986" s="198"/>
      <c r="C986" s="198"/>
      <c r="D986" s="198"/>
      <c r="E986" s="198"/>
      <c r="F986" s="198"/>
      <c r="G986" s="198"/>
      <c r="H986" s="198"/>
      <c r="I986" s="198"/>
      <c r="J986" s="198"/>
      <c r="K986" s="198"/>
      <c r="L986" s="198"/>
      <c r="M986" s="198"/>
      <c r="N986" s="198"/>
      <c r="O986" s="198"/>
      <c r="P986" s="198"/>
      <c r="Q986" s="198"/>
      <c r="R986" s="198"/>
      <c r="S986" s="198"/>
      <c r="T986" s="198"/>
      <c r="U986" s="198"/>
      <c r="V986" s="198"/>
      <c r="W986" s="198"/>
      <c r="X986" s="198"/>
      <c r="Y986" s="198"/>
      <c r="Z986" s="198"/>
    </row>
    <row r="987" spans="1:26" ht="12.75" customHeight="1">
      <c r="A987" s="198"/>
      <c r="B987" s="198"/>
      <c r="C987" s="198"/>
      <c r="D987" s="198"/>
      <c r="E987" s="198"/>
      <c r="F987" s="198"/>
      <c r="G987" s="198"/>
      <c r="H987" s="198"/>
      <c r="I987" s="198"/>
      <c r="J987" s="198"/>
      <c r="K987" s="198"/>
      <c r="L987" s="198"/>
      <c r="M987" s="198"/>
      <c r="N987" s="198"/>
      <c r="O987" s="198"/>
      <c r="P987" s="198"/>
      <c r="Q987" s="198"/>
      <c r="R987" s="198"/>
      <c r="S987" s="198"/>
      <c r="T987" s="198"/>
      <c r="U987" s="198"/>
      <c r="V987" s="198"/>
      <c r="W987" s="198"/>
      <c r="X987" s="198"/>
      <c r="Y987" s="198"/>
      <c r="Z987" s="198"/>
    </row>
    <row r="988" spans="1:26" ht="12.75" customHeight="1">
      <c r="A988" s="198"/>
      <c r="B988" s="198"/>
      <c r="C988" s="198"/>
      <c r="D988" s="198"/>
      <c r="E988" s="198"/>
      <c r="F988" s="198"/>
      <c r="G988" s="198"/>
      <c r="H988" s="198"/>
      <c r="I988" s="198"/>
      <c r="J988" s="198"/>
      <c r="K988" s="198"/>
      <c r="L988" s="198"/>
      <c r="M988" s="198"/>
      <c r="N988" s="198"/>
      <c r="O988" s="198"/>
      <c r="P988" s="198"/>
      <c r="Q988" s="198"/>
      <c r="R988" s="198"/>
      <c r="S988" s="198"/>
      <c r="T988" s="198"/>
      <c r="U988" s="198"/>
      <c r="V988" s="198"/>
      <c r="W988" s="198"/>
      <c r="X988" s="198"/>
      <c r="Y988" s="198"/>
      <c r="Z988" s="198"/>
    </row>
    <row r="989" spans="1:26" ht="12.75" customHeight="1">
      <c r="A989" s="198"/>
      <c r="B989" s="198"/>
      <c r="C989" s="198"/>
      <c r="D989" s="198"/>
      <c r="E989" s="198"/>
      <c r="F989" s="198"/>
      <c r="G989" s="198"/>
      <c r="H989" s="198"/>
      <c r="I989" s="198"/>
      <c r="J989" s="198"/>
      <c r="K989" s="198"/>
      <c r="L989" s="198"/>
      <c r="M989" s="198"/>
      <c r="N989" s="198"/>
      <c r="O989" s="198"/>
      <c r="P989" s="198"/>
      <c r="Q989" s="198"/>
      <c r="R989" s="198"/>
      <c r="S989" s="198"/>
      <c r="T989" s="198"/>
      <c r="U989" s="198"/>
      <c r="V989" s="198"/>
      <c r="W989" s="198"/>
      <c r="X989" s="198"/>
      <c r="Y989" s="198"/>
      <c r="Z989" s="198"/>
    </row>
    <row r="990" spans="1:26" ht="12.75" customHeight="1">
      <c r="A990" s="198"/>
      <c r="B990" s="198"/>
      <c r="C990" s="198"/>
      <c r="D990" s="198"/>
      <c r="E990" s="198"/>
      <c r="F990" s="198"/>
      <c r="G990" s="198"/>
      <c r="H990" s="198"/>
      <c r="I990" s="198"/>
      <c r="J990" s="198"/>
      <c r="K990" s="198"/>
      <c r="L990" s="198"/>
      <c r="M990" s="198"/>
      <c r="N990" s="198"/>
      <c r="O990" s="198"/>
      <c r="P990" s="198"/>
      <c r="Q990" s="198"/>
      <c r="R990" s="198"/>
      <c r="S990" s="198"/>
      <c r="T990" s="198"/>
      <c r="U990" s="198"/>
      <c r="V990" s="198"/>
      <c r="W990" s="198"/>
      <c r="X990" s="198"/>
      <c r="Y990" s="198"/>
      <c r="Z990" s="198"/>
    </row>
    <row r="991" spans="1:26" ht="12.75" customHeight="1">
      <c r="A991" s="198"/>
      <c r="B991" s="198"/>
      <c r="C991" s="198"/>
      <c r="D991" s="198"/>
      <c r="E991" s="198"/>
      <c r="F991" s="198"/>
      <c r="G991" s="198"/>
      <c r="H991" s="198"/>
      <c r="I991" s="198"/>
      <c r="J991" s="198"/>
      <c r="K991" s="198"/>
      <c r="L991" s="198"/>
      <c r="M991" s="198"/>
      <c r="N991" s="198"/>
      <c r="O991" s="198"/>
      <c r="P991" s="198"/>
      <c r="Q991" s="198"/>
      <c r="R991" s="198"/>
      <c r="S991" s="198"/>
      <c r="T991" s="198"/>
      <c r="U991" s="198"/>
      <c r="V991" s="198"/>
      <c r="W991" s="198"/>
      <c r="X991" s="198"/>
      <c r="Y991" s="198"/>
      <c r="Z991" s="198"/>
    </row>
    <row r="992" spans="1:26" ht="12.75" customHeight="1">
      <c r="A992" s="198"/>
      <c r="B992" s="198"/>
      <c r="C992" s="198"/>
      <c r="D992" s="198"/>
      <c r="E992" s="198"/>
      <c r="F992" s="198"/>
      <c r="G992" s="198"/>
      <c r="H992" s="198"/>
      <c r="I992" s="198"/>
      <c r="J992" s="198"/>
      <c r="K992" s="198"/>
      <c r="L992" s="198"/>
      <c r="M992" s="198"/>
      <c r="N992" s="198"/>
      <c r="O992" s="198"/>
      <c r="P992" s="198"/>
      <c r="Q992" s="198"/>
      <c r="R992" s="198"/>
      <c r="S992" s="198"/>
      <c r="T992" s="198"/>
      <c r="U992" s="198"/>
      <c r="V992" s="198"/>
      <c r="W992" s="198"/>
      <c r="X992" s="198"/>
      <c r="Y992" s="198"/>
      <c r="Z992" s="198"/>
    </row>
    <row r="993" spans="1:26" ht="12.75" customHeight="1">
      <c r="A993" s="198"/>
      <c r="B993" s="198"/>
      <c r="C993" s="198"/>
      <c r="D993" s="198"/>
      <c r="E993" s="198"/>
      <c r="F993" s="198"/>
      <c r="G993" s="198"/>
      <c r="H993" s="198"/>
      <c r="I993" s="198"/>
      <c r="J993" s="198"/>
      <c r="K993" s="198"/>
      <c r="L993" s="198"/>
      <c r="M993" s="198"/>
      <c r="N993" s="198"/>
      <c r="O993" s="198"/>
      <c r="P993" s="198"/>
      <c r="Q993" s="198"/>
      <c r="R993" s="198"/>
      <c r="S993" s="198"/>
      <c r="T993" s="198"/>
      <c r="U993" s="198"/>
      <c r="V993" s="198"/>
      <c r="W993" s="198"/>
      <c r="X993" s="198"/>
      <c r="Y993" s="198"/>
      <c r="Z993" s="198"/>
    </row>
    <row r="994" spans="1:26" ht="12.75" customHeight="1">
      <c r="A994" s="198"/>
      <c r="B994" s="198"/>
      <c r="C994" s="198"/>
      <c r="D994" s="198"/>
      <c r="E994" s="198"/>
      <c r="F994" s="198"/>
      <c r="G994" s="198"/>
      <c r="H994" s="198"/>
      <c r="I994" s="198"/>
      <c r="J994" s="198"/>
      <c r="K994" s="198"/>
      <c r="L994" s="198"/>
      <c r="M994" s="198"/>
      <c r="N994" s="198"/>
      <c r="O994" s="198"/>
      <c r="P994" s="198"/>
      <c r="Q994" s="198"/>
      <c r="R994" s="198"/>
      <c r="S994" s="198"/>
      <c r="T994" s="198"/>
      <c r="U994" s="198"/>
      <c r="V994" s="198"/>
      <c r="W994" s="198"/>
      <c r="X994" s="198"/>
      <c r="Y994" s="198"/>
      <c r="Z994" s="198"/>
    </row>
    <row r="995" spans="1:26" ht="12.75" customHeight="1">
      <c r="A995" s="198"/>
      <c r="B995" s="198"/>
      <c r="C995" s="198"/>
      <c r="D995" s="198"/>
      <c r="E995" s="198"/>
      <c r="F995" s="198"/>
      <c r="G995" s="198"/>
      <c r="H995" s="198"/>
      <c r="I995" s="198"/>
      <c r="J995" s="198"/>
      <c r="K995" s="198"/>
      <c r="L995" s="198"/>
      <c r="M995" s="198"/>
      <c r="N995" s="198"/>
      <c r="O995" s="198"/>
      <c r="P995" s="198"/>
      <c r="Q995" s="198"/>
      <c r="R995" s="198"/>
      <c r="S995" s="198"/>
      <c r="T995" s="198"/>
      <c r="U995" s="198"/>
      <c r="V995" s="198"/>
      <c r="W995" s="198"/>
      <c r="X995" s="198"/>
      <c r="Y995" s="198"/>
      <c r="Z995" s="198"/>
    </row>
    <row r="996" spans="1:26" ht="12.75" customHeight="1">
      <c r="A996" s="198"/>
      <c r="B996" s="198"/>
      <c r="C996" s="198"/>
      <c r="D996" s="198"/>
      <c r="E996" s="198"/>
      <c r="F996" s="198"/>
      <c r="G996" s="198"/>
      <c r="H996" s="198"/>
      <c r="I996" s="198"/>
      <c r="J996" s="198"/>
      <c r="K996" s="198"/>
      <c r="L996" s="198"/>
      <c r="M996" s="198"/>
      <c r="N996" s="198"/>
      <c r="O996" s="198"/>
      <c r="P996" s="198"/>
      <c r="Q996" s="198"/>
      <c r="R996" s="198"/>
      <c r="S996" s="198"/>
      <c r="T996" s="198"/>
      <c r="U996" s="198"/>
      <c r="V996" s="198"/>
      <c r="W996" s="198"/>
      <c r="X996" s="198"/>
      <c r="Y996" s="198"/>
      <c r="Z996" s="198"/>
    </row>
    <row r="997" spans="1:26" ht="12.75" customHeight="1">
      <c r="A997" s="198"/>
      <c r="B997" s="198"/>
      <c r="C997" s="198"/>
      <c r="D997" s="198"/>
      <c r="E997" s="198"/>
      <c r="F997" s="198"/>
      <c r="G997" s="198"/>
      <c r="H997" s="198"/>
      <c r="I997" s="198"/>
      <c r="J997" s="198"/>
      <c r="K997" s="198"/>
      <c r="L997" s="198"/>
      <c r="M997" s="198"/>
      <c r="N997" s="198"/>
      <c r="O997" s="198"/>
      <c r="P997" s="198"/>
      <c r="Q997" s="198"/>
      <c r="R997" s="198"/>
      <c r="S997" s="198"/>
      <c r="T997" s="198"/>
      <c r="U997" s="198"/>
      <c r="V997" s="198"/>
      <c r="W997" s="198"/>
      <c r="X997" s="198"/>
      <c r="Y997" s="198"/>
      <c r="Z997" s="198"/>
    </row>
    <row r="998" spans="1:26" ht="12.75" customHeight="1">
      <c r="A998" s="198"/>
      <c r="B998" s="198"/>
      <c r="C998" s="198"/>
      <c r="D998" s="198"/>
      <c r="E998" s="198"/>
      <c r="F998" s="198"/>
      <c r="G998" s="198"/>
      <c r="H998" s="198"/>
      <c r="I998" s="198"/>
      <c r="J998" s="198"/>
      <c r="K998" s="198"/>
      <c r="L998" s="198"/>
      <c r="M998" s="198"/>
      <c r="N998" s="198"/>
      <c r="O998" s="198"/>
      <c r="P998" s="198"/>
      <c r="Q998" s="198"/>
      <c r="R998" s="198"/>
      <c r="S998" s="198"/>
      <c r="T998" s="198"/>
      <c r="U998" s="198"/>
      <c r="V998" s="198"/>
      <c r="W998" s="198"/>
      <c r="X998" s="198"/>
      <c r="Y998" s="198"/>
      <c r="Z998" s="198"/>
    </row>
    <row r="999" spans="1:26" ht="12.75" customHeight="1">
      <c r="A999" s="198"/>
      <c r="B999" s="198"/>
      <c r="C999" s="198"/>
      <c r="D999" s="198"/>
      <c r="E999" s="198"/>
      <c r="F999" s="198"/>
      <c r="G999" s="198"/>
      <c r="H999" s="198"/>
      <c r="I999" s="198"/>
      <c r="J999" s="198"/>
      <c r="K999" s="198"/>
      <c r="L999" s="198"/>
      <c r="M999" s="198"/>
      <c r="N999" s="198"/>
      <c r="O999" s="198"/>
      <c r="P999" s="198"/>
      <c r="Q999" s="198"/>
      <c r="R999" s="198"/>
      <c r="S999" s="198"/>
      <c r="T999" s="198"/>
      <c r="U999" s="198"/>
      <c r="V999" s="198"/>
      <c r="W999" s="198"/>
      <c r="X999" s="198"/>
      <c r="Y999" s="198"/>
      <c r="Z999" s="198"/>
    </row>
    <row r="1000" spans="1:26" ht="12.75" customHeight="1">
      <c r="A1000" s="198"/>
      <c r="B1000" s="198"/>
      <c r="C1000" s="198"/>
      <c r="D1000" s="198"/>
      <c r="E1000" s="198"/>
      <c r="F1000" s="198"/>
      <c r="G1000" s="198"/>
      <c r="H1000" s="198"/>
      <c r="I1000" s="198"/>
      <c r="J1000" s="198"/>
      <c r="K1000" s="198"/>
      <c r="L1000" s="198"/>
      <c r="M1000" s="198"/>
      <c r="N1000" s="198"/>
      <c r="O1000" s="198"/>
      <c r="P1000" s="198"/>
      <c r="Q1000" s="198"/>
      <c r="R1000" s="198"/>
      <c r="S1000" s="198"/>
      <c r="T1000" s="198"/>
      <c r="U1000" s="198"/>
      <c r="V1000" s="198"/>
      <c r="W1000" s="198"/>
      <c r="X1000" s="198"/>
      <c r="Y1000" s="198"/>
      <c r="Z1000" s="198"/>
    </row>
  </sheetData>
  <mergeCells count="12">
    <mergeCell ref="A8:H8"/>
    <mergeCell ref="A9:H9"/>
    <mergeCell ref="B10:D10"/>
    <mergeCell ref="B12:D12"/>
    <mergeCell ref="B14:D14"/>
    <mergeCell ref="A6:H6"/>
    <mergeCell ref="A7:H7"/>
    <mergeCell ref="A1:H1"/>
    <mergeCell ref="A2:H2"/>
    <mergeCell ref="A3:H3"/>
    <mergeCell ref="A4:H4"/>
    <mergeCell ref="A5:H5"/>
  </mergeCells>
  <hyperlinks>
    <hyperlink ref="A8" location="null!A1" display="Table Of Contents" xr:uid="{00000000-0004-0000-0900-000000000000}"/>
  </hyperlink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selection sqref="A1:F1"/>
    </sheetView>
  </sheetViews>
  <sheetFormatPr defaultColWidth="12.6328125" defaultRowHeight="15" customHeight="1"/>
  <cols>
    <col min="1" max="1" width="3" customWidth="1"/>
    <col min="2" max="2" width="67" customWidth="1"/>
    <col min="3" max="3" width="4.26953125" customWidth="1"/>
    <col min="4" max="4" width="15" customWidth="1"/>
    <col min="5" max="5" width="8.90625" customWidth="1"/>
    <col min="6" max="6" width="15" customWidth="1"/>
    <col min="7" max="7" width="5.26953125" customWidth="1"/>
    <col min="8" max="8" width="15" customWidth="1"/>
    <col min="9" max="9" width="4.90625" customWidth="1"/>
    <col min="10" max="10" width="14.90625" customWidth="1"/>
    <col min="11" max="11" width="4" customWidth="1"/>
    <col min="12" max="12" width="14.6328125" customWidth="1"/>
    <col min="13" max="26" width="8.6328125" customWidth="1"/>
  </cols>
  <sheetData>
    <row r="1" spans="1:26" ht="12.75" customHeight="1">
      <c r="A1" s="257" t="s">
        <v>415</v>
      </c>
      <c r="B1" s="241"/>
      <c r="C1" s="241"/>
      <c r="D1" s="241"/>
      <c r="E1" s="241"/>
      <c r="F1" s="241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</row>
    <row r="2" spans="1:26" ht="12.75" customHeight="1">
      <c r="A2" s="257" t="s">
        <v>416</v>
      </c>
      <c r="B2" s="241"/>
      <c r="C2" s="241"/>
      <c r="D2" s="241"/>
      <c r="E2" s="241"/>
      <c r="F2" s="241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</row>
    <row r="3" spans="1:26" ht="12.75" customHeight="1">
      <c r="A3" s="257" t="s">
        <v>417</v>
      </c>
      <c r="B3" s="241"/>
      <c r="C3" s="241"/>
      <c r="D3" s="241"/>
      <c r="E3" s="241"/>
      <c r="F3" s="241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spans="1:26" ht="12.75" customHeight="1">
      <c r="A4" s="257" t="s">
        <v>440</v>
      </c>
      <c r="B4" s="241"/>
      <c r="C4" s="241"/>
      <c r="D4" s="241"/>
      <c r="E4" s="241"/>
      <c r="F4" s="241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</row>
    <row r="5" spans="1:26" ht="12.75" customHeight="1">
      <c r="A5" s="257" t="s">
        <v>419</v>
      </c>
      <c r="B5" s="241"/>
      <c r="C5" s="241"/>
      <c r="D5" s="241"/>
      <c r="E5" s="241"/>
      <c r="F5" s="241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</row>
    <row r="6" spans="1:26" ht="12.75" customHeight="1">
      <c r="A6" s="257" t="s">
        <v>420</v>
      </c>
      <c r="B6" s="241"/>
      <c r="C6" s="241"/>
      <c r="D6" s="241"/>
      <c r="E6" s="241"/>
      <c r="F6" s="241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</row>
    <row r="7" spans="1:26" ht="12.75" customHeight="1">
      <c r="A7" s="257" t="s">
        <v>421</v>
      </c>
      <c r="B7" s="241"/>
      <c r="C7" s="241"/>
      <c r="D7" s="241"/>
      <c r="E7" s="241"/>
      <c r="F7" s="241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spans="1:26" ht="12.75" customHeight="1">
      <c r="A8" s="258" t="s">
        <v>422</v>
      </c>
      <c r="B8" s="241"/>
      <c r="C8" s="241"/>
      <c r="D8" s="241"/>
      <c r="E8" s="241"/>
      <c r="F8" s="241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</row>
    <row r="9" spans="1:26" ht="12.75" customHeight="1">
      <c r="A9" s="257" t="s">
        <v>416</v>
      </c>
      <c r="B9" s="241"/>
      <c r="C9" s="241"/>
      <c r="D9" s="241"/>
      <c r="E9" s="241"/>
      <c r="F9" s="241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</row>
    <row r="10" spans="1:26" ht="12.75" customHeight="1">
      <c r="A10" s="198"/>
      <c r="B10" s="198" t="s">
        <v>423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</row>
    <row r="11" spans="1:26" ht="12.75" customHeight="1">
      <c r="A11" s="198"/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</row>
    <row r="12" spans="1:26" ht="12.75" customHeight="1">
      <c r="A12" s="198"/>
      <c r="B12" s="198" t="s">
        <v>441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</row>
    <row r="13" spans="1:26" ht="12.75" customHeight="1">
      <c r="A13" s="198"/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 spans="1:26" ht="12.75" customHeight="1">
      <c r="A14" s="198"/>
      <c r="B14" s="198" t="s">
        <v>442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 spans="1:26" ht="12.75" customHeight="1">
      <c r="A15" s="198"/>
      <c r="B15" s="198"/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</row>
    <row r="16" spans="1:26" ht="12.75" customHeight="1">
      <c r="A16" s="198"/>
      <c r="B16" s="198" t="s">
        <v>416</v>
      </c>
      <c r="C16" s="198"/>
      <c r="D16" s="198" t="s">
        <v>427</v>
      </c>
      <c r="E16" s="198"/>
      <c r="F16" s="198" t="s">
        <v>428</v>
      </c>
      <c r="G16" s="198"/>
      <c r="H16" s="198" t="s">
        <v>429</v>
      </c>
      <c r="I16" s="198"/>
      <c r="J16" s="198" t="s">
        <v>430</v>
      </c>
      <c r="K16" s="198"/>
      <c r="L16" s="198" t="s">
        <v>431</v>
      </c>
      <c r="M16" s="198"/>
      <c r="N16" s="219" t="s">
        <v>443</v>
      </c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</row>
    <row r="17" spans="1:26" ht="12.75" customHeight="1">
      <c r="A17" s="198"/>
      <c r="B17" s="198" t="s">
        <v>416</v>
      </c>
      <c r="C17" s="198"/>
      <c r="D17" s="198">
        <v>2025</v>
      </c>
      <c r="E17" s="198"/>
      <c r="F17" s="198">
        <v>2024</v>
      </c>
      <c r="G17" s="198"/>
      <c r="H17" s="198">
        <v>2023</v>
      </c>
      <c r="I17" s="198"/>
      <c r="J17" s="198">
        <v>2022</v>
      </c>
      <c r="K17" s="198"/>
      <c r="L17" s="198">
        <v>2021</v>
      </c>
      <c r="M17" s="198"/>
      <c r="N17" s="219">
        <v>2020</v>
      </c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</row>
    <row r="18" spans="1:26" ht="12.75" customHeight="1">
      <c r="A18" s="198"/>
      <c r="B18" s="198" t="s">
        <v>62</v>
      </c>
      <c r="C18" s="198"/>
      <c r="D18" s="198"/>
      <c r="E18" s="198"/>
      <c r="F18" s="198"/>
      <c r="G18" s="198"/>
      <c r="H18" s="198"/>
      <c r="I18" s="198"/>
      <c r="J18" s="200"/>
      <c r="K18" s="200"/>
      <c r="L18" s="200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</row>
    <row r="19" spans="1:26" ht="12.75" customHeight="1">
      <c r="A19" s="198"/>
      <c r="B19" s="198" t="s">
        <v>63</v>
      </c>
      <c r="C19" s="198"/>
      <c r="D19" s="198"/>
      <c r="E19" s="198"/>
      <c r="F19" s="198"/>
      <c r="G19" s="198"/>
      <c r="H19" s="198"/>
      <c r="I19" s="198"/>
      <c r="J19" s="200"/>
      <c r="K19" s="200"/>
      <c r="L19" s="200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</row>
    <row r="20" spans="1:26" ht="12.75" customHeight="1">
      <c r="A20" s="198"/>
      <c r="B20" s="198" t="s">
        <v>64</v>
      </c>
      <c r="C20" s="198"/>
      <c r="D20" s="201">
        <v>14161</v>
      </c>
      <c r="E20" s="201"/>
      <c r="F20" s="201">
        <v>9906</v>
      </c>
      <c r="G20" s="201"/>
      <c r="H20" s="201">
        <v>13700</v>
      </c>
      <c r="I20" s="201"/>
      <c r="J20" s="201">
        <v>10203</v>
      </c>
      <c r="K20" s="201"/>
      <c r="L20" s="201">
        <v>11258</v>
      </c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</row>
    <row r="21" spans="1:26" ht="12.75" customHeight="1">
      <c r="A21" s="198"/>
      <c r="B21" s="198" t="s">
        <v>66</v>
      </c>
      <c r="C21" s="198"/>
      <c r="D21" s="199">
        <v>1123</v>
      </c>
      <c r="E21" s="199"/>
      <c r="F21" s="199">
        <v>1238</v>
      </c>
      <c r="G21" s="199"/>
      <c r="H21" s="199">
        <v>1534</v>
      </c>
      <c r="I21" s="199"/>
      <c r="J21" s="199">
        <v>846</v>
      </c>
      <c r="K21" s="199"/>
      <c r="L21" s="199">
        <v>917</v>
      </c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</row>
    <row r="22" spans="1:26" ht="12.75" customHeight="1">
      <c r="A22" s="198"/>
      <c r="B22" s="198" t="s">
        <v>68</v>
      </c>
      <c r="C22" s="198"/>
      <c r="D22" s="199">
        <v>3203</v>
      </c>
      <c r="E22" s="199"/>
      <c r="F22" s="199">
        <v>2721</v>
      </c>
      <c r="G22" s="199"/>
      <c r="H22" s="199">
        <v>2285</v>
      </c>
      <c r="I22" s="199"/>
      <c r="J22" s="199">
        <v>2241</v>
      </c>
      <c r="K22" s="199"/>
      <c r="L22" s="199">
        <v>1803</v>
      </c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</row>
    <row r="23" spans="1:26" ht="12.75" customHeight="1">
      <c r="A23" s="198"/>
      <c r="B23" s="198" t="s">
        <v>70</v>
      </c>
      <c r="C23" s="198"/>
      <c r="D23" s="199">
        <v>18116</v>
      </c>
      <c r="E23" s="199"/>
      <c r="F23" s="199">
        <v>18647</v>
      </c>
      <c r="G23" s="199"/>
      <c r="H23" s="199">
        <v>16651</v>
      </c>
      <c r="I23" s="199"/>
      <c r="J23" s="199">
        <v>17907</v>
      </c>
      <c r="K23" s="199"/>
      <c r="L23" s="199">
        <v>14215</v>
      </c>
      <c r="M23" s="198"/>
      <c r="N23" s="198">
        <v>12242</v>
      </c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</row>
    <row r="24" spans="1:26" ht="12.75" customHeight="1">
      <c r="A24" s="198"/>
      <c r="B24" s="198" t="s">
        <v>71</v>
      </c>
      <c r="C24" s="198"/>
      <c r="D24" s="199">
        <v>1777</v>
      </c>
      <c r="E24" s="199"/>
      <c r="F24" s="199">
        <v>1734</v>
      </c>
      <c r="G24" s="199"/>
      <c r="H24" s="199">
        <v>1709</v>
      </c>
      <c r="I24" s="199"/>
      <c r="J24" s="199">
        <v>1499</v>
      </c>
      <c r="K24" s="199"/>
      <c r="L24" s="199">
        <v>1312</v>
      </c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</row>
    <row r="25" spans="1:26" ht="12.75" customHeight="1">
      <c r="A25" s="198"/>
      <c r="B25" s="198" t="s">
        <v>72</v>
      </c>
      <c r="C25" s="198"/>
      <c r="D25" s="199">
        <v>38380</v>
      </c>
      <c r="E25" s="199"/>
      <c r="F25" s="199">
        <v>34246</v>
      </c>
      <c r="G25" s="199"/>
      <c r="H25" s="199">
        <v>35879</v>
      </c>
      <c r="I25" s="199"/>
      <c r="J25" s="199">
        <v>32696</v>
      </c>
      <c r="K25" s="199"/>
      <c r="L25" s="199">
        <v>29505</v>
      </c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</row>
    <row r="26" spans="1:26" ht="12.75" customHeight="1">
      <c r="A26" s="198"/>
      <c r="B26" s="198" t="s">
        <v>73</v>
      </c>
      <c r="C26" s="198"/>
      <c r="D26" s="198"/>
      <c r="E26" s="198"/>
      <c r="F26" s="198"/>
      <c r="G26" s="198"/>
      <c r="H26" s="200"/>
      <c r="I26" s="200"/>
      <c r="J26" s="200"/>
      <c r="K26" s="200"/>
      <c r="L26" s="200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</row>
    <row r="27" spans="1:26" ht="12.75" customHeight="1">
      <c r="A27" s="198"/>
      <c r="B27" s="198" t="s">
        <v>74</v>
      </c>
      <c r="C27" s="198"/>
      <c r="D27" s="199">
        <v>31909</v>
      </c>
      <c r="E27" s="199"/>
      <c r="F27" s="199">
        <v>29032</v>
      </c>
      <c r="G27" s="199"/>
      <c r="H27" s="199">
        <v>26684</v>
      </c>
      <c r="I27" s="199"/>
      <c r="J27" s="199">
        <v>24646</v>
      </c>
      <c r="K27" s="199"/>
      <c r="L27" s="199">
        <v>23492</v>
      </c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</row>
    <row r="28" spans="1:26" ht="12.75" customHeight="1">
      <c r="A28" s="198"/>
      <c r="B28" s="198" t="s">
        <v>76</v>
      </c>
      <c r="C28" s="198"/>
      <c r="D28" s="199">
        <v>2725</v>
      </c>
      <c r="E28" s="199"/>
      <c r="F28" s="199">
        <v>2617</v>
      </c>
      <c r="G28" s="199"/>
      <c r="H28" s="199">
        <v>2713</v>
      </c>
      <c r="I28" s="199"/>
      <c r="J28" s="199">
        <v>2774</v>
      </c>
      <c r="K28" s="199"/>
      <c r="L28" s="199">
        <v>2890</v>
      </c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</row>
    <row r="29" spans="1:26" ht="12.75" customHeight="1">
      <c r="A29" s="198"/>
      <c r="B29" s="198" t="s">
        <v>78</v>
      </c>
      <c r="C29" s="198"/>
      <c r="D29" s="199">
        <v>4085</v>
      </c>
      <c r="E29" s="199"/>
      <c r="F29" s="199">
        <v>3936</v>
      </c>
      <c r="G29" s="199"/>
      <c r="H29" s="199">
        <v>3718</v>
      </c>
      <c r="I29" s="199"/>
      <c r="J29" s="199">
        <v>4050</v>
      </c>
      <c r="K29" s="199"/>
      <c r="L29" s="199">
        <v>3381</v>
      </c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</row>
    <row r="30" spans="1:26" ht="12.75" customHeight="1">
      <c r="A30" s="198"/>
      <c r="B30" s="198" t="s">
        <v>79</v>
      </c>
      <c r="C30" s="198"/>
      <c r="D30" s="201">
        <v>77099</v>
      </c>
      <c r="E30" s="201"/>
      <c r="F30" s="201">
        <v>69831</v>
      </c>
      <c r="G30" s="201"/>
      <c r="H30" s="201">
        <v>68994</v>
      </c>
      <c r="I30" s="201"/>
      <c r="J30" s="201">
        <v>64166</v>
      </c>
      <c r="K30" s="201"/>
      <c r="L30" s="201">
        <v>59268</v>
      </c>
      <c r="M30" s="198"/>
      <c r="N30" s="198">
        <v>55556</v>
      </c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</row>
    <row r="31" spans="1:26" ht="12.75" customHeight="1">
      <c r="A31" s="198"/>
      <c r="B31" s="198" t="s">
        <v>80</v>
      </c>
      <c r="C31" s="198"/>
      <c r="D31" s="198"/>
      <c r="E31" s="198"/>
      <c r="F31" s="198"/>
      <c r="G31" s="198"/>
      <c r="H31" s="200"/>
      <c r="I31" s="200"/>
      <c r="J31" s="200"/>
      <c r="K31" s="200"/>
      <c r="L31" s="200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 spans="1:26" ht="12.75" customHeight="1">
      <c r="A32" s="198"/>
      <c r="B32" s="198" t="s">
        <v>81</v>
      </c>
      <c r="C32" s="198"/>
      <c r="D32" s="198"/>
      <c r="E32" s="198"/>
      <c r="F32" s="198"/>
      <c r="G32" s="198"/>
      <c r="H32" s="200"/>
      <c r="I32" s="200"/>
      <c r="J32" s="200"/>
      <c r="K32" s="200"/>
      <c r="L32" s="200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</row>
    <row r="33" spans="1:26" ht="12.75" customHeight="1">
      <c r="A33" s="198"/>
      <c r="B33" s="198" t="s">
        <v>82</v>
      </c>
      <c r="C33" s="198"/>
      <c r="D33" s="201">
        <v>19783</v>
      </c>
      <c r="E33" s="201"/>
      <c r="F33" s="201">
        <v>19421</v>
      </c>
      <c r="G33" s="201"/>
      <c r="H33" s="201">
        <v>17483</v>
      </c>
      <c r="I33" s="201"/>
      <c r="J33" s="201">
        <v>17848</v>
      </c>
      <c r="K33" s="201"/>
      <c r="L33" s="201">
        <v>16278</v>
      </c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</row>
    <row r="34" spans="1:26" ht="12.75" customHeight="1">
      <c r="A34" s="198"/>
      <c r="B34" s="198" t="s">
        <v>83</v>
      </c>
      <c r="C34" s="198"/>
      <c r="D34" s="199">
        <v>5205</v>
      </c>
      <c r="E34" s="199"/>
      <c r="F34" s="199">
        <v>4794</v>
      </c>
      <c r="G34" s="199"/>
      <c r="H34" s="199">
        <v>4278</v>
      </c>
      <c r="I34" s="199"/>
      <c r="J34" s="199">
        <v>4381</v>
      </c>
      <c r="K34" s="199"/>
      <c r="L34" s="199">
        <v>4090</v>
      </c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</row>
    <row r="35" spans="1:26" ht="12.75" customHeight="1">
      <c r="A35" s="198"/>
      <c r="B35" s="198" t="s">
        <v>85</v>
      </c>
      <c r="C35" s="198"/>
      <c r="D35" s="199">
        <v>2677</v>
      </c>
      <c r="E35" s="199"/>
      <c r="F35" s="199">
        <v>2435</v>
      </c>
      <c r="G35" s="199"/>
      <c r="H35" s="199">
        <v>2150</v>
      </c>
      <c r="I35" s="199"/>
      <c r="J35" s="199">
        <v>1911</v>
      </c>
      <c r="K35" s="199"/>
      <c r="L35" s="199">
        <v>1671</v>
      </c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</row>
    <row r="36" spans="1:26" ht="12.75" customHeight="1">
      <c r="A36" s="198"/>
      <c r="B36" s="198" t="s">
        <v>87</v>
      </c>
      <c r="C36" s="198"/>
      <c r="D36" s="199">
        <v>2854</v>
      </c>
      <c r="E36" s="199"/>
      <c r="F36" s="199">
        <v>2501</v>
      </c>
      <c r="G36" s="199"/>
      <c r="H36" s="199">
        <v>2337</v>
      </c>
      <c r="I36" s="199"/>
      <c r="J36" s="199">
        <v>2174</v>
      </c>
      <c r="K36" s="199"/>
      <c r="L36" s="199">
        <v>2042</v>
      </c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 spans="1:26" ht="12.75" customHeight="1">
      <c r="A37" s="198"/>
      <c r="B37" s="198"/>
      <c r="C37" s="198"/>
      <c r="D37" s="198"/>
      <c r="E37" s="198"/>
      <c r="F37" s="198"/>
      <c r="G37" s="198"/>
      <c r="H37" s="199">
        <v>1081</v>
      </c>
      <c r="I37" s="199"/>
      <c r="J37" s="199">
        <v>73</v>
      </c>
      <c r="K37" s="199"/>
      <c r="L37" s="199">
        <v>799</v>
      </c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</row>
    <row r="38" spans="1:26" ht="12.75" customHeight="1">
      <c r="A38" s="198"/>
      <c r="B38" s="198" t="s">
        <v>88</v>
      </c>
      <c r="C38" s="198"/>
      <c r="D38" s="199">
        <v>6589</v>
      </c>
      <c r="E38" s="199"/>
      <c r="F38" s="199">
        <v>6313</v>
      </c>
      <c r="G38" s="199"/>
      <c r="H38" s="199">
        <v>6254</v>
      </c>
      <c r="I38" s="199"/>
      <c r="J38" s="199">
        <v>5611</v>
      </c>
      <c r="K38" s="199"/>
      <c r="L38" s="199">
        <v>4561</v>
      </c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</row>
    <row r="39" spans="1:26" ht="12.75" customHeight="1">
      <c r="A39" s="198"/>
      <c r="B39" s="198" t="s">
        <v>89</v>
      </c>
      <c r="C39" s="198"/>
      <c r="D39" s="199">
        <v>37108</v>
      </c>
      <c r="E39" s="199"/>
      <c r="F39" s="199">
        <v>35464</v>
      </c>
      <c r="G39" s="199"/>
      <c r="H39" s="199">
        <v>33583</v>
      </c>
      <c r="I39" s="199"/>
      <c r="J39" s="199">
        <v>31998</v>
      </c>
      <c r="K39" s="199"/>
      <c r="L39" s="199">
        <v>29441</v>
      </c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</row>
    <row r="40" spans="1:26" ht="12.75" customHeight="1">
      <c r="A40" s="198"/>
      <c r="B40" s="198" t="s">
        <v>90</v>
      </c>
      <c r="C40" s="198"/>
      <c r="D40" s="198"/>
      <c r="E40" s="198"/>
      <c r="F40" s="198"/>
      <c r="G40" s="198"/>
      <c r="H40" s="200"/>
      <c r="I40" s="200"/>
      <c r="J40" s="200"/>
      <c r="K40" s="200"/>
      <c r="L40" s="200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</row>
    <row r="41" spans="1:26" ht="12.75" customHeight="1">
      <c r="A41" s="198"/>
      <c r="B41" s="198" t="s">
        <v>91</v>
      </c>
      <c r="C41" s="198"/>
      <c r="D41" s="199">
        <v>5713</v>
      </c>
      <c r="E41" s="199"/>
      <c r="F41" s="199">
        <v>5794</v>
      </c>
      <c r="G41" s="199"/>
      <c r="H41" s="199">
        <v>5377</v>
      </c>
      <c r="I41" s="199"/>
      <c r="J41" s="199">
        <v>6484</v>
      </c>
      <c r="K41" s="199"/>
      <c r="L41" s="199">
        <v>6692</v>
      </c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</row>
    <row r="42" spans="1:26" ht="12.75" customHeight="1">
      <c r="A42" s="198"/>
      <c r="B42" s="198" t="s">
        <v>93</v>
      </c>
      <c r="C42" s="198"/>
      <c r="D42" s="199">
        <v>2460</v>
      </c>
      <c r="E42" s="199"/>
      <c r="F42" s="199">
        <v>2375</v>
      </c>
      <c r="G42" s="199"/>
      <c r="H42" s="199">
        <v>2426</v>
      </c>
      <c r="I42" s="199"/>
      <c r="J42" s="199">
        <v>2482</v>
      </c>
      <c r="K42" s="199"/>
      <c r="L42" s="199">
        <v>2642</v>
      </c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</row>
    <row r="43" spans="1:26" ht="12.75" customHeight="1">
      <c r="A43" s="198"/>
      <c r="B43" s="198" t="s">
        <v>94</v>
      </c>
      <c r="C43" s="198"/>
      <c r="D43" s="199">
        <v>2654</v>
      </c>
      <c r="E43" s="199"/>
      <c r="F43" s="199">
        <v>2576</v>
      </c>
      <c r="G43" s="199"/>
      <c r="H43" s="199">
        <v>2550</v>
      </c>
      <c r="I43" s="199"/>
      <c r="J43" s="199">
        <v>2555</v>
      </c>
      <c r="K43" s="199"/>
      <c r="L43" s="199">
        <v>2415</v>
      </c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</row>
    <row r="44" spans="1:26" ht="12.75" customHeight="1">
      <c r="A44" s="198"/>
      <c r="B44" s="198" t="s">
        <v>95</v>
      </c>
      <c r="C44" s="198"/>
      <c r="D44" s="199">
        <v>47935</v>
      </c>
      <c r="E44" s="199"/>
      <c r="F44" s="199">
        <v>46209</v>
      </c>
      <c r="G44" s="199"/>
      <c r="H44" s="199">
        <v>43936</v>
      </c>
      <c r="I44" s="199"/>
      <c r="J44" s="199">
        <v>43519</v>
      </c>
      <c r="K44" s="199"/>
      <c r="L44" s="199">
        <v>41190</v>
      </c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</row>
    <row r="45" spans="1:26" ht="12.75" customHeight="1">
      <c r="A45" s="198"/>
      <c r="B45" s="198" t="s">
        <v>96</v>
      </c>
      <c r="C45" s="198"/>
      <c r="D45" s="198"/>
      <c r="E45" s="198"/>
      <c r="F45" s="198"/>
      <c r="G45" s="198"/>
      <c r="H45" s="200"/>
      <c r="I45" s="200"/>
      <c r="J45" s="200"/>
      <c r="K45" s="200"/>
      <c r="L45" s="200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</row>
    <row r="46" spans="1:26" ht="12.75" customHeight="1">
      <c r="A46" s="198"/>
      <c r="B46" s="198" t="s">
        <v>97</v>
      </c>
      <c r="C46" s="198"/>
      <c r="D46" s="198"/>
      <c r="E46" s="198"/>
      <c r="F46" s="198"/>
      <c r="G46" s="198"/>
      <c r="H46" s="200"/>
      <c r="I46" s="200"/>
      <c r="J46" s="200"/>
      <c r="K46" s="200"/>
      <c r="L46" s="200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</row>
    <row r="47" spans="1:26" ht="12.75" customHeight="1">
      <c r="A47" s="198"/>
      <c r="B47" s="198" t="s">
        <v>98</v>
      </c>
      <c r="C47" s="198"/>
      <c r="D47" s="198"/>
      <c r="E47" s="198"/>
      <c r="F47" s="198"/>
      <c r="G47" s="198"/>
      <c r="H47" s="200"/>
      <c r="I47" s="200"/>
      <c r="J47" s="200"/>
      <c r="K47" s="200"/>
      <c r="L47" s="200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</row>
    <row r="48" spans="1:26" ht="12.75" customHeight="1">
      <c r="A48" s="198"/>
      <c r="B48" s="198" t="s">
        <v>99</v>
      </c>
      <c r="C48" s="198"/>
      <c r="D48" s="218">
        <v>0</v>
      </c>
      <c r="E48" s="218"/>
      <c r="F48" s="218">
        <v>0</v>
      </c>
      <c r="G48" s="218"/>
      <c r="H48" s="218">
        <v>0</v>
      </c>
      <c r="I48" s="218"/>
      <c r="J48" s="218">
        <v>0</v>
      </c>
      <c r="K48" s="218"/>
      <c r="L48" s="218">
        <v>0</v>
      </c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</row>
    <row r="49" spans="1:26" ht="12.75" customHeight="1">
      <c r="A49" s="198"/>
      <c r="B49" s="198" t="s">
        <v>100</v>
      </c>
      <c r="C49" s="198"/>
      <c r="D49" s="198"/>
      <c r="E49" s="198"/>
      <c r="F49" s="198"/>
      <c r="G49" s="198"/>
      <c r="H49" s="200"/>
      <c r="I49" s="200"/>
      <c r="J49" s="200"/>
      <c r="K49" s="200"/>
      <c r="L49" s="200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</row>
    <row r="50" spans="1:26" ht="12.75" customHeight="1">
      <c r="A50" s="198"/>
      <c r="B50" s="198" t="s">
        <v>101</v>
      </c>
      <c r="C50" s="198"/>
      <c r="D50" s="198"/>
      <c r="E50" s="198"/>
      <c r="F50" s="198"/>
      <c r="G50" s="198"/>
      <c r="H50" s="200"/>
      <c r="I50" s="200"/>
      <c r="J50" s="200"/>
      <c r="K50" s="200"/>
      <c r="L50" s="200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</row>
    <row r="51" spans="1:26" ht="12.75" customHeight="1">
      <c r="A51" s="198"/>
      <c r="B51" s="198" t="s">
        <v>102</v>
      </c>
      <c r="C51" s="198"/>
      <c r="D51" s="199">
        <v>2</v>
      </c>
      <c r="E51" s="199"/>
      <c r="F51" s="199">
        <v>2</v>
      </c>
      <c r="G51" s="199"/>
      <c r="H51" s="199">
        <v>2</v>
      </c>
      <c r="I51" s="199"/>
      <c r="J51" s="199">
        <v>2</v>
      </c>
      <c r="K51" s="199"/>
      <c r="L51" s="199">
        <v>4</v>
      </c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</row>
    <row r="52" spans="1:26" ht="12.75" customHeight="1">
      <c r="A52" s="198"/>
      <c r="B52" s="198" t="s">
        <v>103</v>
      </c>
      <c r="C52" s="198"/>
      <c r="D52" s="199">
        <v>8282</v>
      </c>
      <c r="E52" s="199"/>
      <c r="F52" s="199">
        <v>7829</v>
      </c>
      <c r="G52" s="199"/>
      <c r="H52" s="199">
        <v>7340</v>
      </c>
      <c r="I52" s="199"/>
      <c r="J52" s="199">
        <v>6884</v>
      </c>
      <c r="K52" s="199"/>
      <c r="L52" s="199">
        <v>7031</v>
      </c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</row>
    <row r="53" spans="1:26" ht="12.75" customHeight="1">
      <c r="A53" s="198"/>
      <c r="B53" s="198" t="s">
        <v>104</v>
      </c>
      <c r="C53" s="198"/>
      <c r="D53" s="199">
        <v>-1770</v>
      </c>
      <c r="E53" s="199"/>
      <c r="F53" s="199">
        <v>-1828</v>
      </c>
      <c r="G53" s="199"/>
      <c r="H53" s="199">
        <v>-1805</v>
      </c>
      <c r="I53" s="199"/>
      <c r="J53" s="199">
        <v>-1829</v>
      </c>
      <c r="K53" s="199"/>
      <c r="L53" s="199">
        <v>-1137</v>
      </c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</row>
    <row r="54" spans="1:26" ht="12.75" customHeight="1">
      <c r="A54" s="198"/>
      <c r="B54" s="198" t="s">
        <v>105</v>
      </c>
      <c r="C54" s="198"/>
      <c r="D54" s="199">
        <v>22650</v>
      </c>
      <c r="E54" s="199"/>
      <c r="F54" s="199">
        <v>17619</v>
      </c>
      <c r="G54" s="199"/>
      <c r="H54" s="199">
        <v>19521</v>
      </c>
      <c r="I54" s="199"/>
      <c r="J54" s="199">
        <v>15585</v>
      </c>
      <c r="K54" s="199"/>
      <c r="L54" s="199">
        <v>11666</v>
      </c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</row>
    <row r="55" spans="1:26" ht="12.75" customHeight="1">
      <c r="A55" s="198"/>
      <c r="B55" s="198"/>
      <c r="C55" s="198"/>
      <c r="D55" s="198"/>
      <c r="E55" s="198"/>
      <c r="F55" s="198"/>
      <c r="G55" s="198"/>
      <c r="H55" s="200"/>
      <c r="I55" s="200"/>
      <c r="J55" s="199"/>
      <c r="K55" s="199"/>
      <c r="L55" s="199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</row>
    <row r="56" spans="1:26" ht="12.75" customHeight="1">
      <c r="A56" s="198"/>
      <c r="B56" s="198" t="s">
        <v>107</v>
      </c>
      <c r="C56" s="198"/>
      <c r="D56" s="199">
        <v>29164</v>
      </c>
      <c r="E56" s="199"/>
      <c r="F56" s="199">
        <v>23622</v>
      </c>
      <c r="G56" s="199"/>
      <c r="H56" s="199">
        <v>25058</v>
      </c>
      <c r="I56" s="199"/>
      <c r="J56" s="199">
        <v>20647</v>
      </c>
      <c r="K56" s="199"/>
      <c r="L56" s="199">
        <v>18078</v>
      </c>
      <c r="M56" s="198"/>
      <c r="N56" s="198">
        <v>18705</v>
      </c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</row>
    <row r="57" spans="1:26" ht="12.75" customHeight="1">
      <c r="A57" s="198"/>
      <c r="B57" s="198" t="s">
        <v>108</v>
      </c>
      <c r="C57" s="198"/>
      <c r="D57" s="201">
        <v>77099</v>
      </c>
      <c r="E57" s="201"/>
      <c r="F57" s="201">
        <v>69831</v>
      </c>
      <c r="G57" s="201"/>
      <c r="H57" s="201">
        <v>68994</v>
      </c>
      <c r="I57" s="201"/>
      <c r="J57" s="201">
        <v>64166</v>
      </c>
      <c r="K57" s="201"/>
      <c r="L57" s="201">
        <v>59268</v>
      </c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</row>
    <row r="58" spans="1:26" ht="12.75" customHeight="1">
      <c r="A58" s="198"/>
      <c r="B58" s="198"/>
      <c r="C58" s="198"/>
      <c r="D58" s="198"/>
      <c r="E58" s="198"/>
      <c r="F58" s="198"/>
      <c r="G58" s="198"/>
      <c r="H58" s="198"/>
      <c r="I58" s="198"/>
      <c r="J58" s="201"/>
      <c r="K58" s="201"/>
      <c r="L58" s="201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</row>
    <row r="59" spans="1:26" ht="12.75" customHeight="1">
      <c r="A59" s="205"/>
      <c r="B59" s="220" t="s">
        <v>444</v>
      </c>
      <c r="C59" s="205"/>
      <c r="D59" s="221">
        <f>D30-D21-D20</f>
        <v>61815</v>
      </c>
      <c r="E59" s="221"/>
      <c r="F59" s="221">
        <f>F30-F21-F20</f>
        <v>58687</v>
      </c>
      <c r="G59" s="221"/>
      <c r="H59" s="221">
        <f>H30-H21-H20</f>
        <v>53760</v>
      </c>
      <c r="I59" s="221"/>
      <c r="J59" s="221">
        <f>J30-J21-J20</f>
        <v>53117</v>
      </c>
      <c r="K59" s="221"/>
      <c r="L59" s="221">
        <f>L30-L21-L20</f>
        <v>47093</v>
      </c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</row>
    <row r="60" spans="1:26" ht="12.75" customHeight="1">
      <c r="A60" s="205"/>
      <c r="B60" s="220" t="s">
        <v>445</v>
      </c>
      <c r="C60" s="205"/>
      <c r="D60" s="208">
        <f>D44-D41-D42</f>
        <v>39762</v>
      </c>
      <c r="E60" s="208"/>
      <c r="F60" s="208">
        <f>F44-F41-F42</f>
        <v>38040</v>
      </c>
      <c r="G60" s="208"/>
      <c r="H60" s="208">
        <f>H44-H41-H42</f>
        <v>36133</v>
      </c>
      <c r="I60" s="208"/>
      <c r="J60" s="208">
        <f>J44-J41-J42</f>
        <v>34553</v>
      </c>
      <c r="K60" s="208"/>
      <c r="L60" s="208">
        <f>L44-L41-L42</f>
        <v>31856</v>
      </c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</row>
    <row r="61" spans="1:26" ht="12.75" customHeight="1">
      <c r="A61" s="205"/>
      <c r="B61" s="220" t="s">
        <v>263</v>
      </c>
      <c r="C61" s="205"/>
      <c r="D61" s="221">
        <f>D59-D60</f>
        <v>22053</v>
      </c>
      <c r="E61" s="205"/>
      <c r="F61" s="221">
        <f>F59-F60</f>
        <v>20647</v>
      </c>
      <c r="G61" s="205"/>
      <c r="H61" s="221">
        <f>H59-H60</f>
        <v>17627</v>
      </c>
      <c r="I61" s="205"/>
      <c r="J61" s="221">
        <f>J59-J60</f>
        <v>18564</v>
      </c>
      <c r="K61" s="205"/>
      <c r="L61" s="221">
        <f>L59-L60</f>
        <v>15237</v>
      </c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</row>
    <row r="62" spans="1:26" ht="12.75" customHeight="1">
      <c r="A62" s="198"/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</row>
    <row r="63" spans="1:26" ht="12.75" customHeight="1">
      <c r="A63" s="198"/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</row>
    <row r="64" spans="1:26" ht="12.75" customHeight="1">
      <c r="A64" s="198"/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</row>
    <row r="65" spans="1:26" ht="12.75" customHeight="1">
      <c r="A65" s="198"/>
      <c r="B65" s="198"/>
      <c r="C65" s="198"/>
      <c r="D65" s="198"/>
      <c r="E65" s="198"/>
      <c r="F65" s="198"/>
      <c r="G65" s="198">
        <v>2025</v>
      </c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</row>
    <row r="66" spans="1:26" ht="12.75" customHeight="1">
      <c r="A66" s="198"/>
      <c r="B66" s="92" t="s">
        <v>408</v>
      </c>
      <c r="G66" s="92">
        <f>Forecast!J33/(Forecast!J7/365)</f>
        <v>4.3313931948190518</v>
      </c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</row>
    <row r="67" spans="1:26" ht="12.75" customHeight="1">
      <c r="A67" s="198"/>
      <c r="B67" s="92" t="s">
        <v>446</v>
      </c>
      <c r="G67" s="92">
        <f>Forecast!J44/(Forecast!J12/365)</f>
        <v>30.10094378162961</v>
      </c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</row>
    <row r="68" spans="1:26" ht="12.75" customHeight="1">
      <c r="A68" s="198"/>
      <c r="B68" s="92" t="s">
        <v>447</v>
      </c>
      <c r="G68" s="92">
        <f>Forecast!J34/(Forecast!J12/365)</f>
        <v>27.564509808825861</v>
      </c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</row>
    <row r="69" spans="1:26" ht="12.75" customHeight="1">
      <c r="A69" s="198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</row>
    <row r="70" spans="1:26" ht="12.75" customHeight="1">
      <c r="A70" s="198"/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</row>
    <row r="71" spans="1:26" ht="12.75" customHeight="1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</row>
    <row r="72" spans="1:26" ht="12.75" customHeight="1">
      <c r="A72" s="198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</row>
    <row r="73" spans="1:26" ht="12.75" customHeight="1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</row>
    <row r="74" spans="1:26" ht="12.75" customHeight="1">
      <c r="A74" s="198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</row>
    <row r="75" spans="1:26" ht="12.75" customHeight="1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</row>
    <row r="76" spans="1:26" ht="12.75" customHeight="1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</row>
    <row r="77" spans="1:26" ht="12.75" customHeight="1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</row>
    <row r="78" spans="1:26" ht="12.75" customHeight="1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</row>
    <row r="79" spans="1:26" ht="12.75" customHeight="1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</row>
    <row r="80" spans="1:26" ht="12.75" customHeight="1">
      <c r="A80" s="198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</row>
    <row r="81" spans="1:26" ht="12.75" customHeight="1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</row>
    <row r="82" spans="1:26" ht="12.75" customHeight="1">
      <c r="A82" s="198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</row>
    <row r="83" spans="1:26" ht="12.75" customHeight="1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</row>
    <row r="84" spans="1:26" ht="12.75" customHeight="1">
      <c r="A84" s="198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</row>
    <row r="85" spans="1:26" ht="12.75" customHeight="1">
      <c r="A85" s="198"/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</row>
    <row r="86" spans="1:26" ht="12.75" customHeight="1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</row>
    <row r="87" spans="1:26" ht="12.75" customHeight="1">
      <c r="A87" s="198"/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</row>
    <row r="88" spans="1:26" ht="12.75" customHeight="1">
      <c r="A88" s="198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</row>
    <row r="89" spans="1:26" ht="12.75" customHeight="1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</row>
    <row r="90" spans="1:26" ht="12.75" customHeight="1">
      <c r="A90" s="198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</row>
    <row r="91" spans="1:26" ht="12.75" customHeight="1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</row>
    <row r="92" spans="1:26" ht="12.75" customHeight="1">
      <c r="A92" s="198"/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</row>
    <row r="93" spans="1:26" ht="12.75" customHeight="1">
      <c r="A93" s="198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</row>
    <row r="94" spans="1:26" ht="12.75" customHeight="1">
      <c r="A94" s="198"/>
      <c r="B94" s="198"/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</row>
    <row r="95" spans="1:26" ht="12.75" customHeight="1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</row>
    <row r="96" spans="1:26" ht="12.75" customHeight="1">
      <c r="A96" s="198"/>
      <c r="B96" s="198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</row>
    <row r="97" spans="1:26" ht="12.75" customHeight="1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</row>
    <row r="98" spans="1:26" ht="12.75" customHeight="1">
      <c r="A98" s="198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</row>
    <row r="99" spans="1:26" ht="12.75" customHeight="1">
      <c r="A99" s="198"/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</row>
    <row r="100" spans="1:26" ht="12.75" customHeight="1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</row>
    <row r="101" spans="1:26" ht="12.75" customHeight="1">
      <c r="A101" s="198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</row>
    <row r="102" spans="1:26" ht="12.75" customHeight="1">
      <c r="A102" s="198"/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</row>
    <row r="103" spans="1:26" ht="12.75" customHeight="1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</row>
    <row r="104" spans="1:26" ht="12.75" customHeight="1">
      <c r="A104" s="198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</row>
    <row r="105" spans="1:26" ht="12.75" customHeight="1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</row>
    <row r="106" spans="1:26" ht="12.75" customHeight="1">
      <c r="A106" s="198"/>
      <c r="B106" s="198"/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</row>
    <row r="107" spans="1:26" ht="12.75" customHeight="1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</row>
    <row r="108" spans="1:26" ht="12.75" customHeight="1">
      <c r="A108" s="198"/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</row>
    <row r="109" spans="1:26" ht="12.75" customHeight="1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</row>
    <row r="110" spans="1:26" ht="12.75" customHeight="1">
      <c r="A110" s="198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</row>
    <row r="111" spans="1:26" ht="12.75" customHeight="1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</row>
    <row r="112" spans="1:26" ht="12.75" customHeight="1">
      <c r="A112" s="198"/>
      <c r="B112" s="198"/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</row>
    <row r="113" spans="1:26" ht="12.75" customHeight="1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</row>
    <row r="114" spans="1:26" ht="12.75" customHeight="1">
      <c r="A114" s="198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</row>
    <row r="115" spans="1:26" ht="12.75" customHeight="1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</row>
    <row r="116" spans="1:26" ht="12.75" customHeight="1">
      <c r="A116" s="198"/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</row>
    <row r="117" spans="1:26" ht="12.75" customHeight="1">
      <c r="A117" s="198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</row>
    <row r="118" spans="1:26" ht="12.75" customHeight="1">
      <c r="A118" s="198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</row>
    <row r="119" spans="1:26" ht="12.75" customHeight="1">
      <c r="A119" s="198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</row>
    <row r="120" spans="1:26" ht="12.75" customHeight="1">
      <c r="A120" s="198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</row>
    <row r="121" spans="1:26" ht="12.75" customHeight="1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</row>
    <row r="122" spans="1:26" ht="12.75" customHeight="1">
      <c r="A122" s="198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</row>
    <row r="123" spans="1:26" ht="12.75" customHeight="1">
      <c r="A123" s="198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</row>
    <row r="124" spans="1:26" ht="12.75" customHeight="1">
      <c r="A124" s="198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</row>
    <row r="125" spans="1:26" ht="12.75" customHeight="1">
      <c r="A125" s="198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</row>
    <row r="126" spans="1:26" ht="12.75" customHeight="1">
      <c r="A126" s="198"/>
      <c r="B126" s="198"/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</row>
    <row r="127" spans="1:26" ht="12.75" customHeight="1">
      <c r="A127" s="198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</row>
    <row r="128" spans="1:26" ht="12.75" customHeight="1">
      <c r="A128" s="198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</row>
    <row r="129" spans="1:26" ht="12.75" customHeight="1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</row>
    <row r="130" spans="1:26" ht="12.75" customHeight="1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</row>
    <row r="131" spans="1:26" ht="12.75" customHeight="1">
      <c r="A131" s="198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</row>
    <row r="132" spans="1:26" ht="12.75" customHeight="1">
      <c r="A132" s="198"/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</row>
    <row r="133" spans="1:26" ht="12.75" customHeight="1">
      <c r="A133" s="198"/>
      <c r="B133" s="198"/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</row>
    <row r="134" spans="1:26" ht="12.75" customHeight="1">
      <c r="A134" s="198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</row>
    <row r="135" spans="1:26" ht="12.75" customHeight="1">
      <c r="A135" s="198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</row>
    <row r="136" spans="1:26" ht="12.75" customHeight="1">
      <c r="A136" s="198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</row>
    <row r="137" spans="1:26" ht="12.75" customHeight="1">
      <c r="A137" s="198"/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</row>
    <row r="138" spans="1:26" ht="12.75" customHeight="1">
      <c r="A138" s="198"/>
      <c r="B138" s="198"/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</row>
    <row r="139" spans="1:26" ht="12.75" customHeight="1">
      <c r="A139" s="198"/>
      <c r="B139" s="198"/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</row>
    <row r="140" spans="1:26" ht="12.75" customHeight="1">
      <c r="A140" s="198"/>
      <c r="B140" s="198"/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</row>
    <row r="141" spans="1:26" ht="12.75" customHeight="1">
      <c r="A141" s="198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</row>
    <row r="142" spans="1:26" ht="12.75" customHeight="1">
      <c r="A142" s="198"/>
      <c r="B142" s="198"/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</row>
    <row r="143" spans="1:26" ht="12.75" customHeight="1">
      <c r="A143" s="198"/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</row>
    <row r="144" spans="1:26" ht="12.75" customHeight="1">
      <c r="A144" s="198"/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</row>
    <row r="145" spans="1:26" ht="12.75" customHeight="1">
      <c r="A145" s="198"/>
      <c r="B145" s="198"/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</row>
    <row r="146" spans="1:26" ht="12.75" customHeight="1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</row>
    <row r="147" spans="1:26" ht="12.75" customHeight="1">
      <c r="A147" s="198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</row>
    <row r="148" spans="1:26" ht="12.75" customHeight="1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</row>
    <row r="149" spans="1:26" ht="12.75" customHeight="1">
      <c r="A149" s="198"/>
      <c r="B149" s="198"/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</row>
    <row r="150" spans="1:26" ht="12.75" customHeight="1">
      <c r="A150" s="198"/>
      <c r="B150" s="198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</row>
    <row r="151" spans="1:26" ht="12.75" customHeight="1">
      <c r="A151" s="198"/>
      <c r="B151" s="198"/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</row>
    <row r="152" spans="1:26" ht="12.75" customHeight="1">
      <c r="A152" s="198"/>
      <c r="B152" s="198"/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</row>
    <row r="153" spans="1:26" ht="12.75" customHeight="1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</row>
    <row r="154" spans="1:26" ht="12.75" customHeight="1">
      <c r="A154" s="198"/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</row>
    <row r="155" spans="1:26" ht="12.75" customHeight="1">
      <c r="A155" s="198"/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</row>
    <row r="156" spans="1:26" ht="12.75" customHeight="1">
      <c r="A156" s="198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</row>
    <row r="157" spans="1:26" ht="12.75" customHeight="1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</row>
    <row r="158" spans="1:26" ht="12.75" customHeight="1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</row>
    <row r="159" spans="1:26" ht="12.75" customHeight="1">
      <c r="A159" s="198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</row>
    <row r="160" spans="1:26" ht="12.75" customHeight="1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</row>
    <row r="161" spans="1:26" ht="12.75" customHeight="1">
      <c r="A161" s="198"/>
      <c r="B161" s="198"/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</row>
    <row r="162" spans="1:26" ht="12.75" customHeight="1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</row>
    <row r="163" spans="1:26" ht="12.75" customHeight="1">
      <c r="A163" s="198"/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</row>
    <row r="164" spans="1:26" ht="12.75" customHeight="1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</row>
    <row r="165" spans="1:26" ht="12.75" customHeight="1">
      <c r="A165" s="198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</row>
    <row r="166" spans="1:26" ht="12.75" customHeight="1">
      <c r="A166" s="198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</row>
    <row r="167" spans="1:26" ht="12.75" customHeight="1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</row>
    <row r="168" spans="1:26" ht="12.75" customHeight="1">
      <c r="A168" s="198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</row>
    <row r="169" spans="1:26" ht="12.75" customHeight="1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</row>
    <row r="170" spans="1:26" ht="12.75" customHeight="1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</row>
    <row r="171" spans="1:26" ht="12.75" customHeight="1">
      <c r="A171" s="198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</row>
    <row r="172" spans="1:26" ht="12.75" customHeight="1">
      <c r="A172" s="198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</row>
    <row r="173" spans="1:26" ht="12.75" customHeight="1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</row>
    <row r="174" spans="1:26" ht="12.75" customHeight="1">
      <c r="A174" s="198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</row>
    <row r="175" spans="1:26" ht="12.75" customHeight="1">
      <c r="A175" s="198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</row>
    <row r="176" spans="1:26" ht="12.75" customHeight="1">
      <c r="A176" s="198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</row>
    <row r="177" spans="1:26" ht="12.75" customHeight="1">
      <c r="A177" s="198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</row>
    <row r="178" spans="1:26" ht="12.75" customHeight="1">
      <c r="A178" s="198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</row>
    <row r="179" spans="1:26" ht="12.75" customHeight="1">
      <c r="A179" s="198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</row>
    <row r="180" spans="1:26" ht="12.75" customHeight="1">
      <c r="A180" s="198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</row>
    <row r="181" spans="1:26" ht="12.75" customHeight="1">
      <c r="A181" s="198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</row>
    <row r="182" spans="1:26" ht="12.75" customHeight="1">
      <c r="A182" s="198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</row>
    <row r="183" spans="1:26" ht="12.75" customHeight="1">
      <c r="A183" s="198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</row>
    <row r="184" spans="1:26" ht="12.75" customHeight="1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</row>
    <row r="185" spans="1:26" ht="12.75" customHeight="1">
      <c r="A185" s="198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</row>
    <row r="186" spans="1:26" ht="12.75" customHeight="1">
      <c r="A186" s="198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</row>
    <row r="187" spans="1:26" ht="12.75" customHeight="1">
      <c r="A187" s="198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</row>
    <row r="188" spans="1:26" ht="12.75" customHeight="1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</row>
    <row r="189" spans="1:26" ht="12.75" customHeight="1">
      <c r="A189" s="198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</row>
    <row r="190" spans="1:26" ht="12.75" customHeight="1">
      <c r="A190" s="198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</row>
    <row r="191" spans="1:26" ht="12.75" customHeight="1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</row>
    <row r="192" spans="1:26" ht="12.75" customHeight="1">
      <c r="A192" s="198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</row>
    <row r="193" spans="1:26" ht="12.75" customHeight="1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</row>
    <row r="194" spans="1:26" ht="12.75" customHeight="1">
      <c r="A194" s="198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</row>
    <row r="195" spans="1:26" ht="12.75" customHeight="1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</row>
    <row r="196" spans="1:26" ht="12.75" customHeight="1">
      <c r="A196" s="198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</row>
    <row r="197" spans="1:26" ht="12.75" customHeight="1">
      <c r="A197" s="198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</row>
    <row r="198" spans="1:26" ht="12.75" customHeight="1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</row>
    <row r="199" spans="1:26" ht="12.75" customHeight="1">
      <c r="A199" s="198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</row>
    <row r="200" spans="1:26" ht="12.75" customHeight="1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</row>
    <row r="201" spans="1:26" ht="12.75" customHeight="1">
      <c r="A201" s="198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</row>
    <row r="202" spans="1:26" ht="12.75" customHeight="1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</row>
    <row r="203" spans="1:26" ht="12.75" customHeight="1">
      <c r="A203" s="198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</row>
    <row r="204" spans="1:26" ht="12.75" customHeight="1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</row>
    <row r="205" spans="1:26" ht="12.75" customHeight="1">
      <c r="A205" s="198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</row>
    <row r="206" spans="1:26" ht="12.75" customHeight="1">
      <c r="A206" s="198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</row>
    <row r="207" spans="1:26" ht="12.75" customHeight="1">
      <c r="A207" s="198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</row>
    <row r="208" spans="1:26" ht="12.75" customHeight="1">
      <c r="A208" s="198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</row>
    <row r="209" spans="1:26" ht="12.75" customHeight="1">
      <c r="A209" s="198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</row>
    <row r="210" spans="1:26" ht="12.75" customHeight="1">
      <c r="A210" s="198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</row>
    <row r="211" spans="1:26" ht="12.75" customHeight="1">
      <c r="A211" s="198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</row>
    <row r="212" spans="1:26" ht="12.75" customHeight="1">
      <c r="A212" s="198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</row>
    <row r="213" spans="1:26" ht="12.75" customHeight="1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</row>
    <row r="214" spans="1:26" ht="12.75" customHeight="1">
      <c r="A214" s="198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</row>
    <row r="215" spans="1:26" ht="12.75" customHeight="1">
      <c r="A215" s="198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</row>
    <row r="216" spans="1:26" ht="12.75" customHeight="1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</row>
    <row r="217" spans="1:26" ht="12.75" customHeight="1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</row>
    <row r="218" spans="1:26" ht="12.75" customHeight="1">
      <c r="A218" s="198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</row>
    <row r="219" spans="1:26" ht="12.75" customHeight="1">
      <c r="A219" s="198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</row>
    <row r="220" spans="1:26" ht="12.75" customHeight="1">
      <c r="A220" s="198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</row>
    <row r="221" spans="1:26" ht="12.75" customHeight="1">
      <c r="A221" s="198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</row>
    <row r="222" spans="1:26" ht="12.75" customHeight="1">
      <c r="A222" s="198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</row>
    <row r="223" spans="1:26" ht="12.75" customHeight="1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</row>
    <row r="224" spans="1:26" ht="12.75" customHeight="1">
      <c r="A224" s="198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</row>
    <row r="225" spans="1:26" ht="12.75" customHeight="1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</row>
    <row r="226" spans="1:26" ht="12.75" customHeight="1">
      <c r="A226" s="198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</row>
    <row r="227" spans="1:26" ht="12.75" customHeight="1">
      <c r="A227" s="198"/>
      <c r="B227" s="198"/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</row>
    <row r="228" spans="1:26" ht="12.75" customHeight="1">
      <c r="A228" s="198"/>
      <c r="B228" s="198"/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</row>
    <row r="229" spans="1:26" ht="12.75" customHeight="1">
      <c r="A229" s="198"/>
      <c r="B229" s="198"/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</row>
    <row r="230" spans="1:26" ht="12.75" customHeight="1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</row>
    <row r="231" spans="1:26" ht="12.75" customHeight="1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</row>
    <row r="232" spans="1:26" ht="12.75" customHeight="1">
      <c r="A232" s="198"/>
      <c r="B232" s="198"/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</row>
    <row r="233" spans="1:26" ht="12.75" customHeight="1">
      <c r="A233" s="198"/>
      <c r="B233" s="198"/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</row>
    <row r="234" spans="1:26" ht="12.75" customHeight="1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</row>
    <row r="235" spans="1:26" ht="12.75" customHeight="1">
      <c r="A235" s="198"/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</row>
    <row r="236" spans="1:26" ht="12.75" customHeight="1">
      <c r="A236" s="198"/>
      <c r="B236" s="198"/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</row>
    <row r="237" spans="1:26" ht="12.75" customHeight="1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</row>
    <row r="238" spans="1:26" ht="12.75" customHeight="1">
      <c r="A238" s="198"/>
      <c r="B238" s="198"/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</row>
    <row r="239" spans="1:26" ht="12.75" customHeight="1">
      <c r="A239" s="198"/>
      <c r="B239" s="198"/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</row>
    <row r="240" spans="1:26" ht="12.75" customHeight="1">
      <c r="A240" s="198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</row>
    <row r="241" spans="1:26" ht="12.75" customHeight="1">
      <c r="A241" s="198"/>
      <c r="B241" s="198"/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</row>
    <row r="242" spans="1:26" ht="12.75" customHeight="1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</row>
    <row r="243" spans="1:26" ht="12.75" customHeight="1">
      <c r="A243" s="198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</row>
    <row r="244" spans="1:26" ht="12.75" customHeight="1">
      <c r="A244" s="198"/>
      <c r="B244" s="198"/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</row>
    <row r="245" spans="1:26" ht="12.75" customHeight="1">
      <c r="A245" s="198"/>
      <c r="B245" s="198"/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</row>
    <row r="246" spans="1:26" ht="12.75" customHeight="1">
      <c r="A246" s="198"/>
      <c r="B246" s="198"/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</row>
    <row r="247" spans="1:26" ht="12.75" customHeight="1">
      <c r="A247" s="198"/>
      <c r="B247" s="198"/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</row>
    <row r="248" spans="1:26" ht="12.75" customHeight="1">
      <c r="A248" s="198"/>
      <c r="B248" s="198"/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</row>
    <row r="249" spans="1:26" ht="12.75" customHeight="1">
      <c r="A249" s="198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</row>
    <row r="250" spans="1:26" ht="12.75" customHeight="1">
      <c r="A250" s="198"/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</row>
    <row r="251" spans="1:26" ht="12.75" customHeight="1">
      <c r="A251" s="198"/>
      <c r="B251" s="198"/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</row>
    <row r="252" spans="1:26" ht="12.75" customHeight="1">
      <c r="A252" s="198"/>
      <c r="B252" s="198"/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</row>
    <row r="253" spans="1:26" ht="12.75" customHeight="1">
      <c r="A253" s="198"/>
      <c r="B253" s="198"/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</row>
    <row r="254" spans="1:26" ht="12.75" customHeight="1">
      <c r="A254" s="198"/>
      <c r="B254" s="198"/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</row>
    <row r="255" spans="1:26" ht="12.75" customHeight="1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</row>
    <row r="256" spans="1:26" ht="12.75" customHeight="1">
      <c r="A256" s="198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</row>
    <row r="257" spans="1:26" ht="12.75" customHeight="1">
      <c r="A257" s="198"/>
      <c r="B257" s="198"/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</row>
    <row r="258" spans="1:26" ht="12.75" customHeight="1">
      <c r="A258" s="198"/>
      <c r="B258" s="198"/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</row>
    <row r="259" spans="1:26" ht="12.75" customHeight="1">
      <c r="A259" s="198"/>
      <c r="B259" s="198"/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</row>
    <row r="260" spans="1:26" ht="12.75" customHeight="1">
      <c r="A260" s="198"/>
      <c r="B260" s="198"/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</row>
    <row r="261" spans="1:26" ht="12.75" customHeight="1">
      <c r="A261" s="198"/>
      <c r="B261" s="198"/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</row>
    <row r="262" spans="1:26" ht="12.75" customHeight="1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</row>
    <row r="263" spans="1:26" ht="12.75" customHeight="1">
      <c r="A263" s="198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</row>
    <row r="264" spans="1:26" ht="12.75" customHeight="1">
      <c r="A264" s="198"/>
      <c r="B264" s="198"/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</row>
    <row r="265" spans="1:26" ht="12.75" customHeight="1">
      <c r="A265" s="198"/>
      <c r="B265" s="198"/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</row>
    <row r="266" spans="1:26" ht="12.75" customHeight="1">
      <c r="A266" s="198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</row>
    <row r="267" spans="1:26" ht="12.75" customHeight="1">
      <c r="A267" s="198"/>
      <c r="B267" s="198"/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</row>
    <row r="268" spans="1:26" ht="12.75" customHeight="1">
      <c r="A268" s="198"/>
      <c r="B268" s="198"/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</row>
    <row r="269" spans="1:26" ht="12.75" customHeight="1">
      <c r="A269" s="198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</row>
    <row r="270" spans="1:26" ht="12.75" customHeight="1">
      <c r="A270" s="198"/>
      <c r="B270" s="198"/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</row>
    <row r="271" spans="1:26" ht="12.75" customHeight="1">
      <c r="A271" s="198"/>
      <c r="B271" s="198"/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</row>
    <row r="272" spans="1:26" ht="12.75" customHeight="1">
      <c r="A272" s="198"/>
      <c r="B272" s="198"/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</row>
    <row r="273" spans="1:26" ht="12.75" customHeight="1">
      <c r="A273" s="198"/>
      <c r="B273" s="198"/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</row>
    <row r="274" spans="1:26" ht="12.75" customHeight="1">
      <c r="A274" s="198"/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</row>
    <row r="275" spans="1:26" ht="12.75" customHeight="1">
      <c r="A275" s="198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</row>
    <row r="276" spans="1:26" ht="12.75" customHeight="1">
      <c r="A276" s="198"/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</row>
    <row r="277" spans="1:26" ht="12.75" customHeight="1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</row>
    <row r="278" spans="1:26" ht="12.75" customHeight="1">
      <c r="A278" s="198"/>
      <c r="B278" s="198"/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</row>
    <row r="279" spans="1:26" ht="12.75" customHeight="1">
      <c r="A279" s="198"/>
      <c r="B279" s="198"/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</row>
    <row r="280" spans="1:26" ht="12.75" customHeight="1">
      <c r="A280" s="198"/>
      <c r="B280" s="198"/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</row>
    <row r="281" spans="1:26" ht="12.75" customHeight="1">
      <c r="A281" s="198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</row>
    <row r="282" spans="1:26" ht="12.75" customHeight="1">
      <c r="A282" s="198"/>
      <c r="B282" s="198"/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</row>
    <row r="283" spans="1:26" ht="12.75" customHeight="1">
      <c r="A283" s="198"/>
      <c r="B283" s="198"/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</row>
    <row r="284" spans="1:26" ht="12.75" customHeight="1">
      <c r="A284" s="198"/>
      <c r="B284" s="198"/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</row>
    <row r="285" spans="1:26" ht="12.75" customHeight="1">
      <c r="A285" s="198"/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</row>
    <row r="286" spans="1:26" ht="12.75" customHeight="1">
      <c r="A286" s="198"/>
      <c r="B286" s="198"/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</row>
    <row r="287" spans="1:26" ht="12.75" customHeight="1">
      <c r="A287" s="198"/>
      <c r="B287" s="198"/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</row>
    <row r="288" spans="1:26" ht="12.75" customHeight="1">
      <c r="A288" s="198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</row>
    <row r="289" spans="1:26" ht="12.75" customHeight="1">
      <c r="A289" s="198"/>
      <c r="B289" s="198"/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</row>
    <row r="290" spans="1:26" ht="12.75" customHeight="1">
      <c r="A290" s="198"/>
      <c r="B290" s="198"/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</row>
    <row r="291" spans="1:26" ht="12.75" customHeight="1">
      <c r="A291" s="198"/>
      <c r="B291" s="198"/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</row>
    <row r="292" spans="1:26" ht="12.75" customHeight="1">
      <c r="A292" s="198"/>
      <c r="B292" s="198"/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</row>
    <row r="293" spans="1:26" ht="12.75" customHeight="1">
      <c r="A293" s="198"/>
      <c r="B293" s="198"/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</row>
    <row r="294" spans="1:26" ht="12.75" customHeight="1">
      <c r="A294" s="198"/>
      <c r="B294" s="198"/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</row>
    <row r="295" spans="1:26" ht="12.75" customHeight="1">
      <c r="A295" s="198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</row>
    <row r="296" spans="1:26" ht="12.75" customHeight="1">
      <c r="A296" s="198"/>
      <c r="B296" s="198"/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</row>
    <row r="297" spans="1:26" ht="12.75" customHeight="1">
      <c r="A297" s="198"/>
      <c r="B297" s="198"/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</row>
    <row r="298" spans="1:26" ht="12.75" customHeight="1">
      <c r="A298" s="198"/>
      <c r="B298" s="198"/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</row>
    <row r="299" spans="1:26" ht="12.75" customHeight="1">
      <c r="A299" s="198"/>
      <c r="B299" s="198"/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</row>
    <row r="300" spans="1:26" ht="12.75" customHeight="1">
      <c r="A300" s="198"/>
      <c r="B300" s="198"/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</row>
    <row r="301" spans="1:26" ht="12.75" customHeight="1">
      <c r="A301" s="198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</row>
    <row r="302" spans="1:26" ht="12.75" customHeight="1">
      <c r="A302" s="198"/>
      <c r="B302" s="198"/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</row>
    <row r="303" spans="1:26" ht="12.75" customHeight="1">
      <c r="A303" s="198"/>
      <c r="B303" s="198"/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</row>
    <row r="304" spans="1:26" ht="12.75" customHeight="1">
      <c r="A304" s="198"/>
      <c r="B304" s="198"/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</row>
    <row r="305" spans="1:26" ht="12.75" customHeight="1">
      <c r="A305" s="198"/>
      <c r="B305" s="198"/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</row>
    <row r="306" spans="1:26" ht="12.75" customHeight="1">
      <c r="A306" s="198"/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</row>
    <row r="307" spans="1:26" ht="12.75" customHeight="1">
      <c r="A307" s="198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</row>
    <row r="308" spans="1:26" ht="12.75" customHeight="1">
      <c r="A308" s="198"/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</row>
    <row r="309" spans="1:26" ht="12.75" customHeight="1">
      <c r="A309" s="198"/>
      <c r="B309" s="198"/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</row>
    <row r="310" spans="1:26" ht="12.75" customHeight="1">
      <c r="A310" s="198"/>
      <c r="B310" s="198"/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</row>
    <row r="311" spans="1:26" ht="12.75" customHeight="1">
      <c r="A311" s="198"/>
      <c r="B311" s="198"/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</row>
    <row r="312" spans="1:26" ht="12.75" customHeight="1">
      <c r="A312" s="198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</row>
    <row r="313" spans="1:26" ht="12.75" customHeight="1">
      <c r="A313" s="198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</row>
    <row r="314" spans="1:26" ht="12.75" customHeight="1">
      <c r="A314" s="198"/>
      <c r="B314" s="198"/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</row>
    <row r="315" spans="1:26" ht="12.75" customHeight="1">
      <c r="A315" s="198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</row>
    <row r="316" spans="1:26" ht="12.75" customHeight="1">
      <c r="A316" s="198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</row>
    <row r="317" spans="1:26" ht="12.75" customHeight="1">
      <c r="A317" s="198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</row>
    <row r="318" spans="1:26" ht="12.75" customHeight="1">
      <c r="A318" s="198"/>
      <c r="B318" s="198"/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</row>
    <row r="319" spans="1:26" ht="12.75" customHeight="1">
      <c r="A319" s="198"/>
      <c r="B319" s="198"/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</row>
    <row r="320" spans="1:26" ht="12.75" customHeight="1">
      <c r="A320" s="198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</row>
    <row r="321" spans="1:26" ht="12.75" customHeight="1">
      <c r="A321" s="198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</row>
    <row r="322" spans="1:26" ht="12.75" customHeight="1">
      <c r="A322" s="198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</row>
    <row r="323" spans="1:26" ht="12.75" customHeight="1">
      <c r="A323" s="198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</row>
    <row r="324" spans="1:26" ht="12.75" customHeight="1">
      <c r="A324" s="198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</row>
    <row r="325" spans="1:26" ht="12.75" customHeight="1">
      <c r="A325" s="198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</row>
    <row r="326" spans="1:26" ht="12.75" customHeight="1">
      <c r="A326" s="198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</row>
    <row r="327" spans="1:26" ht="12.75" customHeight="1">
      <c r="A327" s="198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</row>
    <row r="328" spans="1:26" ht="12.75" customHeight="1">
      <c r="A328" s="198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</row>
    <row r="329" spans="1:26" ht="12.75" customHeight="1">
      <c r="A329" s="198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</row>
    <row r="330" spans="1:26" ht="12.75" customHeight="1">
      <c r="A330" s="198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</row>
    <row r="331" spans="1:26" ht="12.75" customHeight="1">
      <c r="A331" s="198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</row>
    <row r="332" spans="1:26" ht="12.75" customHeight="1">
      <c r="A332" s="198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</row>
    <row r="333" spans="1:26" ht="12.75" customHeight="1">
      <c r="A333" s="198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</row>
    <row r="334" spans="1:26" ht="12.75" customHeight="1">
      <c r="A334" s="198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</row>
    <row r="335" spans="1:26" ht="12.75" customHeight="1">
      <c r="A335" s="198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</row>
    <row r="336" spans="1:26" ht="12.75" customHeight="1">
      <c r="A336" s="198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</row>
    <row r="337" spans="1:26" ht="12.75" customHeight="1">
      <c r="A337" s="198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</row>
    <row r="338" spans="1:26" ht="12.75" customHeight="1">
      <c r="A338" s="198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</row>
    <row r="339" spans="1:26" ht="12.75" customHeight="1">
      <c r="A339" s="198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</row>
    <row r="340" spans="1:26" ht="12.75" customHeight="1">
      <c r="A340" s="198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</row>
    <row r="341" spans="1:26" ht="12.75" customHeight="1">
      <c r="A341" s="198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</row>
    <row r="342" spans="1:26" ht="12.75" customHeight="1">
      <c r="A342" s="198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</row>
    <row r="343" spans="1:26" ht="12.75" customHeight="1">
      <c r="A343" s="198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</row>
    <row r="344" spans="1:26" ht="12.75" customHeight="1">
      <c r="A344" s="198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</row>
    <row r="345" spans="1:26" ht="12.75" customHeight="1">
      <c r="A345" s="198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</row>
    <row r="346" spans="1:26" ht="12.75" customHeight="1">
      <c r="A346" s="198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</row>
    <row r="347" spans="1:26" ht="12.75" customHeight="1">
      <c r="A347" s="198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</row>
    <row r="348" spans="1:26" ht="12.75" customHeight="1">
      <c r="A348" s="198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</row>
    <row r="349" spans="1:26" ht="12.75" customHeight="1">
      <c r="A349" s="198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</row>
    <row r="350" spans="1:26" ht="12.75" customHeight="1">
      <c r="A350" s="198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</row>
    <row r="351" spans="1:26" ht="12.75" customHeight="1">
      <c r="A351" s="198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</row>
    <row r="352" spans="1:26" ht="12.75" customHeight="1">
      <c r="A352" s="198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</row>
    <row r="353" spans="1:26" ht="12.75" customHeight="1">
      <c r="A353" s="198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</row>
    <row r="354" spans="1:26" ht="12.75" customHeight="1">
      <c r="A354" s="198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</row>
    <row r="355" spans="1:26" ht="12.75" customHeight="1">
      <c r="A355" s="198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</row>
    <row r="356" spans="1:26" ht="12.75" customHeight="1">
      <c r="A356" s="198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</row>
    <row r="357" spans="1:26" ht="12.75" customHeight="1">
      <c r="A357" s="198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</row>
    <row r="358" spans="1:26" ht="12.75" customHeight="1">
      <c r="A358" s="198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</row>
    <row r="359" spans="1:26" ht="12.75" customHeight="1">
      <c r="A359" s="198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</row>
    <row r="360" spans="1:26" ht="12.75" customHeight="1">
      <c r="A360" s="198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</row>
    <row r="361" spans="1:26" ht="12.75" customHeight="1">
      <c r="A361" s="198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</row>
    <row r="362" spans="1:26" ht="12.75" customHeight="1">
      <c r="A362" s="198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</row>
    <row r="363" spans="1:26" ht="12.75" customHeight="1">
      <c r="A363" s="198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</row>
    <row r="364" spans="1:26" ht="12.75" customHeight="1">
      <c r="A364" s="198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</row>
    <row r="365" spans="1:26" ht="12.75" customHeight="1">
      <c r="A365" s="198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</row>
    <row r="366" spans="1:26" ht="12.75" customHeight="1">
      <c r="A366" s="198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</row>
    <row r="367" spans="1:26" ht="12.75" customHeight="1">
      <c r="A367" s="198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</row>
    <row r="368" spans="1:26" ht="12.75" customHeight="1">
      <c r="A368" s="198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</row>
    <row r="369" spans="1:26" ht="12.75" customHeight="1">
      <c r="A369" s="198"/>
      <c r="B369" s="198"/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</row>
    <row r="370" spans="1:26" ht="12.75" customHeight="1">
      <c r="A370" s="198"/>
      <c r="B370" s="198"/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</row>
    <row r="371" spans="1:26" ht="12.75" customHeight="1">
      <c r="A371" s="198"/>
      <c r="B371" s="198"/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</row>
    <row r="372" spans="1:26" ht="12.75" customHeight="1">
      <c r="A372" s="198"/>
      <c r="B372" s="198"/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</row>
    <row r="373" spans="1:26" ht="12.75" customHeight="1">
      <c r="A373" s="198"/>
      <c r="B373" s="198"/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</row>
    <row r="374" spans="1:26" ht="12.75" customHeight="1">
      <c r="A374" s="198"/>
      <c r="B374" s="198"/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</row>
    <row r="375" spans="1:26" ht="12.75" customHeight="1">
      <c r="A375" s="198"/>
      <c r="B375" s="198"/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</row>
    <row r="376" spans="1:26" ht="12.75" customHeight="1">
      <c r="A376" s="198"/>
      <c r="B376" s="198"/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</row>
    <row r="377" spans="1:26" ht="12.75" customHeight="1">
      <c r="A377" s="198"/>
      <c r="B377" s="198"/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</row>
    <row r="378" spans="1:26" ht="12.75" customHeight="1">
      <c r="A378" s="198"/>
      <c r="B378" s="198"/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</row>
    <row r="379" spans="1:26" ht="12.75" customHeight="1">
      <c r="A379" s="198"/>
      <c r="B379" s="198"/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</row>
    <row r="380" spans="1:26" ht="12.75" customHeight="1">
      <c r="A380" s="198"/>
      <c r="B380" s="198"/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</row>
    <row r="381" spans="1:26" ht="12.75" customHeight="1">
      <c r="A381" s="198"/>
      <c r="B381" s="198"/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</row>
    <row r="382" spans="1:26" ht="12.75" customHeight="1">
      <c r="A382" s="198"/>
      <c r="B382" s="198"/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</row>
    <row r="383" spans="1:26" ht="12.75" customHeight="1">
      <c r="A383" s="198"/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</row>
    <row r="384" spans="1:26" ht="12.75" customHeight="1">
      <c r="A384" s="198"/>
      <c r="B384" s="198"/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</row>
    <row r="385" spans="1:26" ht="12.75" customHeight="1">
      <c r="A385" s="198"/>
      <c r="B385" s="198"/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</row>
    <row r="386" spans="1:26" ht="12.75" customHeight="1">
      <c r="A386" s="198"/>
      <c r="B386" s="198"/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</row>
    <row r="387" spans="1:26" ht="12.75" customHeight="1">
      <c r="A387" s="198"/>
      <c r="B387" s="198"/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</row>
    <row r="388" spans="1:26" ht="12.75" customHeight="1">
      <c r="A388" s="198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</row>
    <row r="389" spans="1:26" ht="12.75" customHeight="1">
      <c r="A389" s="198"/>
      <c r="B389" s="198"/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</row>
    <row r="390" spans="1:26" ht="12.75" customHeight="1">
      <c r="A390" s="198"/>
      <c r="B390" s="198"/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</row>
    <row r="391" spans="1:26" ht="12.75" customHeight="1">
      <c r="A391" s="198"/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</row>
    <row r="392" spans="1:26" ht="12.75" customHeight="1">
      <c r="A392" s="198"/>
      <c r="B392" s="198"/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</row>
    <row r="393" spans="1:26" ht="12.75" customHeight="1">
      <c r="A393" s="198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</row>
    <row r="394" spans="1:26" ht="12.75" customHeight="1">
      <c r="A394" s="198"/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</row>
    <row r="395" spans="1:26" ht="12.75" customHeight="1">
      <c r="A395" s="198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</row>
    <row r="396" spans="1:26" ht="12.75" customHeight="1">
      <c r="A396" s="198"/>
      <c r="B396" s="198"/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</row>
    <row r="397" spans="1:26" ht="12.75" customHeight="1">
      <c r="A397" s="198"/>
      <c r="B397" s="198"/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</row>
    <row r="398" spans="1:26" ht="12.75" customHeight="1">
      <c r="A398" s="198"/>
      <c r="B398" s="198"/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</row>
    <row r="399" spans="1:26" ht="12.75" customHeight="1">
      <c r="A399" s="198"/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</row>
    <row r="400" spans="1:26" ht="12.75" customHeight="1">
      <c r="A400" s="198"/>
      <c r="B400" s="198"/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</row>
    <row r="401" spans="1:26" ht="12.75" customHeight="1">
      <c r="A401" s="198"/>
      <c r="B401" s="198"/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</row>
    <row r="402" spans="1:26" ht="12.75" customHeight="1">
      <c r="A402" s="198"/>
      <c r="B402" s="198"/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</row>
    <row r="403" spans="1:26" ht="12.75" customHeight="1">
      <c r="A403" s="198"/>
      <c r="B403" s="198"/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</row>
    <row r="404" spans="1:26" ht="12.75" customHeight="1">
      <c r="A404" s="198"/>
      <c r="B404" s="198"/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</row>
    <row r="405" spans="1:26" ht="12.75" customHeight="1">
      <c r="A405" s="198"/>
      <c r="B405" s="198"/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</row>
    <row r="406" spans="1:26" ht="12.75" customHeight="1">
      <c r="A406" s="198"/>
      <c r="B406" s="198"/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</row>
    <row r="407" spans="1:26" ht="12.75" customHeight="1">
      <c r="A407" s="198"/>
      <c r="B407" s="198"/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</row>
    <row r="408" spans="1:26" ht="12.75" customHeight="1">
      <c r="A408" s="198"/>
      <c r="B408" s="198"/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</row>
    <row r="409" spans="1:26" ht="12.75" customHeight="1">
      <c r="A409" s="198"/>
      <c r="B409" s="198"/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</row>
    <row r="410" spans="1:26" ht="12.75" customHeight="1">
      <c r="A410" s="198"/>
      <c r="B410" s="198"/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</row>
    <row r="411" spans="1:26" ht="12.75" customHeight="1">
      <c r="A411" s="198"/>
      <c r="B411" s="198"/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</row>
    <row r="412" spans="1:26" ht="12.75" customHeight="1">
      <c r="A412" s="198"/>
      <c r="B412" s="198"/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</row>
    <row r="413" spans="1:26" ht="12.75" customHeight="1">
      <c r="A413" s="198"/>
      <c r="B413" s="198"/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</row>
    <row r="414" spans="1:26" ht="12.75" customHeight="1">
      <c r="A414" s="198"/>
      <c r="B414" s="198"/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</row>
    <row r="415" spans="1:26" ht="12.75" customHeight="1">
      <c r="A415" s="198"/>
      <c r="B415" s="198"/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</row>
    <row r="416" spans="1:26" ht="12.75" customHeight="1">
      <c r="A416" s="198"/>
      <c r="B416" s="198"/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</row>
    <row r="417" spans="1:26" ht="12.75" customHeight="1">
      <c r="A417" s="198"/>
      <c r="B417" s="198"/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</row>
    <row r="418" spans="1:26" ht="12.75" customHeight="1">
      <c r="A418" s="198"/>
      <c r="B418" s="198"/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</row>
    <row r="419" spans="1:26" ht="12.75" customHeight="1">
      <c r="A419" s="198"/>
      <c r="B419" s="198"/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</row>
    <row r="420" spans="1:26" ht="12.75" customHeight="1">
      <c r="A420" s="198"/>
      <c r="B420" s="198"/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</row>
    <row r="421" spans="1:26" ht="12.75" customHeight="1">
      <c r="A421" s="198"/>
      <c r="B421" s="198"/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</row>
    <row r="422" spans="1:26" ht="12.75" customHeight="1">
      <c r="A422" s="198"/>
      <c r="B422" s="198"/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</row>
    <row r="423" spans="1:26" ht="12.75" customHeight="1">
      <c r="A423" s="198"/>
      <c r="B423" s="198"/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</row>
    <row r="424" spans="1:26" ht="12.75" customHeight="1">
      <c r="A424" s="198"/>
      <c r="B424" s="198"/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</row>
    <row r="425" spans="1:26" ht="12.75" customHeight="1">
      <c r="A425" s="198"/>
      <c r="B425" s="198"/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</row>
    <row r="426" spans="1:26" ht="12.75" customHeight="1">
      <c r="A426" s="198"/>
      <c r="B426" s="198"/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</row>
    <row r="427" spans="1:26" ht="12.75" customHeight="1">
      <c r="A427" s="198"/>
      <c r="B427" s="198"/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</row>
    <row r="428" spans="1:26" ht="12.75" customHeight="1">
      <c r="A428" s="198"/>
      <c r="B428" s="198"/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</row>
    <row r="429" spans="1:26" ht="12.75" customHeight="1">
      <c r="A429" s="198"/>
      <c r="B429" s="198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</row>
    <row r="430" spans="1:26" ht="12.75" customHeight="1">
      <c r="A430" s="198"/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</row>
    <row r="431" spans="1:26" ht="12.75" customHeight="1">
      <c r="A431" s="198"/>
      <c r="B431" s="198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</row>
    <row r="432" spans="1:26" ht="12.75" customHeight="1">
      <c r="A432" s="198"/>
      <c r="B432" s="198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</row>
    <row r="433" spans="1:26" ht="12.75" customHeight="1">
      <c r="A433" s="198"/>
      <c r="B433" s="198"/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</row>
    <row r="434" spans="1:26" ht="12.75" customHeight="1">
      <c r="A434" s="198"/>
      <c r="B434" s="198"/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</row>
    <row r="435" spans="1:26" ht="12.75" customHeight="1">
      <c r="A435" s="198"/>
      <c r="B435" s="198"/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</row>
    <row r="436" spans="1:26" ht="12.75" customHeight="1">
      <c r="A436" s="198"/>
      <c r="B436" s="198"/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</row>
    <row r="437" spans="1:26" ht="12.75" customHeight="1">
      <c r="A437" s="198"/>
      <c r="B437" s="198"/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</row>
    <row r="438" spans="1:26" ht="12.75" customHeight="1">
      <c r="A438" s="198"/>
      <c r="B438" s="198"/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</row>
    <row r="439" spans="1:26" ht="12.75" customHeight="1">
      <c r="A439" s="198"/>
      <c r="B439" s="198"/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</row>
    <row r="440" spans="1:26" ht="12.75" customHeight="1">
      <c r="A440" s="198"/>
      <c r="B440" s="198"/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</row>
    <row r="441" spans="1:26" ht="12.75" customHeight="1">
      <c r="A441" s="198"/>
      <c r="B441" s="198"/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</row>
    <row r="442" spans="1:26" ht="12.75" customHeight="1">
      <c r="A442" s="198"/>
      <c r="B442" s="198"/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</row>
    <row r="443" spans="1:26" ht="12.75" customHeight="1">
      <c r="A443" s="198"/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</row>
    <row r="444" spans="1:26" ht="12.75" customHeight="1">
      <c r="A444" s="198"/>
      <c r="B444" s="198"/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</row>
    <row r="445" spans="1:26" ht="12.75" customHeight="1">
      <c r="A445" s="198"/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</row>
    <row r="446" spans="1:26" ht="12.75" customHeight="1">
      <c r="A446" s="198"/>
      <c r="B446" s="198"/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</row>
    <row r="447" spans="1:26" ht="12.75" customHeight="1">
      <c r="A447" s="198"/>
      <c r="B447" s="198"/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</row>
    <row r="448" spans="1:26" ht="12.75" customHeight="1">
      <c r="A448" s="198"/>
      <c r="B448" s="198"/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</row>
    <row r="449" spans="1:26" ht="12.75" customHeight="1">
      <c r="A449" s="198"/>
      <c r="B449" s="198"/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</row>
    <row r="450" spans="1:26" ht="12.75" customHeight="1">
      <c r="A450" s="198"/>
      <c r="B450" s="198"/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</row>
    <row r="451" spans="1:26" ht="12.75" customHeight="1">
      <c r="A451" s="198"/>
      <c r="B451" s="198"/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</row>
    <row r="452" spans="1:26" ht="12.75" customHeight="1">
      <c r="A452" s="198"/>
      <c r="B452" s="198"/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</row>
    <row r="453" spans="1:26" ht="12.75" customHeight="1">
      <c r="A453" s="198"/>
      <c r="B453" s="198"/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</row>
    <row r="454" spans="1:26" ht="12.75" customHeight="1">
      <c r="A454" s="198"/>
      <c r="B454" s="198"/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</row>
    <row r="455" spans="1:26" ht="12.75" customHeight="1">
      <c r="A455" s="198"/>
      <c r="B455" s="198"/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</row>
    <row r="456" spans="1:26" ht="12.75" customHeight="1">
      <c r="A456" s="198"/>
      <c r="B456" s="198"/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</row>
    <row r="457" spans="1:26" ht="12.75" customHeight="1">
      <c r="A457" s="198"/>
      <c r="B457" s="198"/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</row>
    <row r="458" spans="1:26" ht="12.75" customHeight="1">
      <c r="A458" s="198"/>
      <c r="B458" s="198"/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</row>
    <row r="459" spans="1:26" ht="12.75" customHeight="1">
      <c r="A459" s="198"/>
      <c r="B459" s="198"/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</row>
    <row r="460" spans="1:26" ht="12.75" customHeight="1">
      <c r="A460" s="198"/>
      <c r="B460" s="198"/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</row>
    <row r="461" spans="1:26" ht="12.75" customHeight="1">
      <c r="A461" s="198"/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</row>
    <row r="462" spans="1:26" ht="12.75" customHeight="1">
      <c r="A462" s="198"/>
      <c r="B462" s="198"/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</row>
    <row r="463" spans="1:26" ht="12.75" customHeight="1">
      <c r="A463" s="198"/>
      <c r="B463" s="198"/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</row>
    <row r="464" spans="1:26" ht="12.75" customHeight="1">
      <c r="A464" s="198"/>
      <c r="B464" s="198"/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</row>
    <row r="465" spans="1:26" ht="12.75" customHeight="1">
      <c r="A465" s="198"/>
      <c r="B465" s="198"/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</row>
    <row r="466" spans="1:26" ht="12.75" customHeight="1">
      <c r="A466" s="198"/>
      <c r="B466" s="198"/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</row>
    <row r="467" spans="1:26" ht="12.75" customHeight="1">
      <c r="A467" s="198"/>
      <c r="B467" s="198"/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</row>
    <row r="468" spans="1:26" ht="12.75" customHeight="1">
      <c r="A468" s="198"/>
      <c r="B468" s="198"/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</row>
    <row r="469" spans="1:26" ht="12.75" customHeight="1">
      <c r="A469" s="198"/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</row>
    <row r="470" spans="1:26" ht="12.75" customHeight="1">
      <c r="A470" s="198"/>
      <c r="B470" s="198"/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</row>
    <row r="471" spans="1:26" ht="12.75" customHeight="1">
      <c r="A471" s="198"/>
      <c r="B471" s="198"/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</row>
    <row r="472" spans="1:26" ht="12.75" customHeight="1">
      <c r="A472" s="198"/>
      <c r="B472" s="198"/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</row>
    <row r="473" spans="1:26" ht="12.75" customHeight="1">
      <c r="A473" s="198"/>
      <c r="B473" s="198"/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</row>
    <row r="474" spans="1:26" ht="12.75" customHeight="1">
      <c r="A474" s="198"/>
      <c r="B474" s="198"/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</row>
    <row r="475" spans="1:26" ht="12.75" customHeight="1">
      <c r="A475" s="198"/>
      <c r="B475" s="198"/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</row>
    <row r="476" spans="1:26" ht="12.75" customHeight="1">
      <c r="A476" s="198"/>
      <c r="B476" s="198"/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</row>
    <row r="477" spans="1:26" ht="12.75" customHeight="1">
      <c r="A477" s="198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</row>
    <row r="478" spans="1:26" ht="12.75" customHeight="1">
      <c r="A478" s="198"/>
      <c r="B478" s="198"/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</row>
    <row r="479" spans="1:26" ht="12.75" customHeight="1">
      <c r="A479" s="198"/>
      <c r="B479" s="198"/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</row>
    <row r="480" spans="1:26" ht="12.75" customHeight="1">
      <c r="A480" s="198"/>
      <c r="B480" s="198"/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</row>
    <row r="481" spans="1:26" ht="12.75" customHeight="1">
      <c r="A481" s="198"/>
      <c r="B481" s="198"/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</row>
    <row r="482" spans="1:26" ht="12.75" customHeight="1">
      <c r="A482" s="198"/>
      <c r="B482" s="198"/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</row>
    <row r="483" spans="1:26" ht="12.75" customHeight="1">
      <c r="A483" s="198"/>
      <c r="B483" s="198"/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</row>
    <row r="484" spans="1:26" ht="12.75" customHeight="1">
      <c r="A484" s="198"/>
      <c r="B484" s="198"/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</row>
    <row r="485" spans="1:26" ht="12.75" customHeight="1">
      <c r="A485" s="198"/>
      <c r="B485" s="198"/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</row>
    <row r="486" spans="1:26" ht="12.75" customHeight="1">
      <c r="A486" s="198"/>
      <c r="B486" s="198"/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</row>
    <row r="487" spans="1:26" ht="12.75" customHeight="1">
      <c r="A487" s="198"/>
      <c r="B487" s="198"/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</row>
    <row r="488" spans="1:26" ht="12.75" customHeight="1">
      <c r="A488" s="198"/>
      <c r="B488" s="198"/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</row>
    <row r="489" spans="1:26" ht="12.75" customHeight="1">
      <c r="A489" s="198"/>
      <c r="B489" s="198"/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</row>
    <row r="490" spans="1:26" ht="12.75" customHeight="1">
      <c r="A490" s="198"/>
      <c r="B490" s="198"/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</row>
    <row r="491" spans="1:26" ht="12.75" customHeight="1">
      <c r="A491" s="198"/>
      <c r="B491" s="198"/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</row>
    <row r="492" spans="1:26" ht="12.75" customHeight="1">
      <c r="A492" s="198"/>
      <c r="B492" s="198"/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</row>
    <row r="493" spans="1:26" ht="12.75" customHeight="1">
      <c r="A493" s="198"/>
      <c r="B493" s="198"/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</row>
    <row r="494" spans="1:26" ht="12.75" customHeight="1">
      <c r="A494" s="198"/>
      <c r="B494" s="198"/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</row>
    <row r="495" spans="1:26" ht="12.75" customHeight="1">
      <c r="A495" s="198"/>
      <c r="B495" s="198"/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</row>
    <row r="496" spans="1:26" ht="12.75" customHeight="1">
      <c r="A496" s="198"/>
      <c r="B496" s="198"/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</row>
    <row r="497" spans="1:26" ht="12.75" customHeight="1">
      <c r="A497" s="198"/>
      <c r="B497" s="198"/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</row>
    <row r="498" spans="1:26" ht="12.75" customHeight="1">
      <c r="A498" s="198"/>
      <c r="B498" s="198"/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</row>
    <row r="499" spans="1:26" ht="12.75" customHeight="1">
      <c r="A499" s="198"/>
      <c r="B499" s="198"/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</row>
    <row r="500" spans="1:26" ht="12.75" customHeight="1">
      <c r="A500" s="198"/>
      <c r="B500" s="198"/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</row>
    <row r="501" spans="1:26" ht="12.75" customHeight="1">
      <c r="A501" s="198"/>
      <c r="B501" s="198"/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</row>
    <row r="502" spans="1:26" ht="12.75" customHeight="1">
      <c r="A502" s="198"/>
      <c r="B502" s="198"/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</row>
    <row r="503" spans="1:26" ht="12.75" customHeight="1">
      <c r="A503" s="198"/>
      <c r="B503" s="198"/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</row>
    <row r="504" spans="1:26" ht="12.75" customHeight="1">
      <c r="A504" s="198"/>
      <c r="B504" s="198"/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</row>
    <row r="505" spans="1:26" ht="12.75" customHeight="1">
      <c r="A505" s="198"/>
      <c r="B505" s="198"/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</row>
    <row r="506" spans="1:26" ht="12.75" customHeight="1">
      <c r="A506" s="198"/>
      <c r="B506" s="198"/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</row>
    <row r="507" spans="1:26" ht="12.75" customHeight="1">
      <c r="A507" s="198"/>
      <c r="B507" s="198"/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</row>
    <row r="508" spans="1:26" ht="12.75" customHeight="1">
      <c r="A508" s="198"/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</row>
    <row r="509" spans="1:26" ht="12.75" customHeight="1">
      <c r="A509" s="198"/>
      <c r="B509" s="198"/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</row>
    <row r="510" spans="1:26" ht="12.75" customHeight="1">
      <c r="A510" s="198"/>
      <c r="B510" s="198"/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</row>
    <row r="511" spans="1:26" ht="12.75" customHeight="1">
      <c r="A511" s="198"/>
      <c r="B511" s="198"/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</row>
    <row r="512" spans="1:26" ht="12.75" customHeight="1">
      <c r="A512" s="198"/>
      <c r="B512" s="198"/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</row>
    <row r="513" spans="1:26" ht="12.75" customHeight="1">
      <c r="A513" s="198"/>
      <c r="B513" s="198"/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</row>
    <row r="514" spans="1:26" ht="12.75" customHeight="1">
      <c r="A514" s="198"/>
      <c r="B514" s="198"/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</row>
    <row r="515" spans="1:26" ht="12.75" customHeight="1">
      <c r="A515" s="198"/>
      <c r="B515" s="198"/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</row>
    <row r="516" spans="1:26" ht="12.75" customHeight="1">
      <c r="A516" s="198"/>
      <c r="B516" s="198"/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</row>
    <row r="517" spans="1:26" ht="12.75" customHeight="1">
      <c r="A517" s="198"/>
      <c r="B517" s="198"/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</row>
    <row r="518" spans="1:26" ht="12.75" customHeight="1">
      <c r="A518" s="198"/>
      <c r="B518" s="198"/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</row>
    <row r="519" spans="1:26" ht="12.75" customHeight="1">
      <c r="A519" s="198"/>
      <c r="B519" s="198"/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</row>
    <row r="520" spans="1:26" ht="12.75" customHeight="1">
      <c r="A520" s="198"/>
      <c r="B520" s="198"/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</row>
    <row r="521" spans="1:26" ht="12.75" customHeight="1">
      <c r="A521" s="198"/>
      <c r="B521" s="198"/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</row>
    <row r="522" spans="1:26" ht="12.75" customHeight="1">
      <c r="A522" s="198"/>
      <c r="B522" s="198"/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</row>
    <row r="523" spans="1:26" ht="12.75" customHeight="1">
      <c r="A523" s="198"/>
      <c r="B523" s="198"/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</row>
    <row r="524" spans="1:26" ht="12.75" customHeight="1">
      <c r="A524" s="198"/>
      <c r="B524" s="198"/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</row>
    <row r="525" spans="1:26" ht="12.75" customHeight="1">
      <c r="A525" s="198"/>
      <c r="B525" s="198"/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</row>
    <row r="526" spans="1:26" ht="12.75" customHeight="1">
      <c r="A526" s="198"/>
      <c r="B526" s="198"/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</row>
    <row r="527" spans="1:26" ht="12.75" customHeight="1">
      <c r="A527" s="198"/>
      <c r="B527" s="198"/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</row>
    <row r="528" spans="1:26" ht="12.75" customHeight="1">
      <c r="A528" s="198"/>
      <c r="B528" s="198"/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</row>
    <row r="529" spans="1:26" ht="12.75" customHeight="1">
      <c r="A529" s="198"/>
      <c r="B529" s="198"/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</row>
    <row r="530" spans="1:26" ht="12.75" customHeight="1">
      <c r="A530" s="198"/>
      <c r="B530" s="198"/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</row>
    <row r="531" spans="1:26" ht="12.75" customHeight="1">
      <c r="A531" s="198"/>
      <c r="B531" s="198"/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</row>
    <row r="532" spans="1:26" ht="12.75" customHeight="1">
      <c r="A532" s="198"/>
      <c r="B532" s="198"/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</row>
    <row r="533" spans="1:26" ht="12.75" customHeight="1">
      <c r="A533" s="198"/>
      <c r="B533" s="198"/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</row>
    <row r="534" spans="1:26" ht="12.75" customHeight="1">
      <c r="A534" s="198"/>
      <c r="B534" s="198"/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</row>
    <row r="535" spans="1:26" ht="12.75" customHeight="1">
      <c r="A535" s="198"/>
      <c r="B535" s="198"/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</row>
    <row r="536" spans="1:26" ht="12.75" customHeight="1">
      <c r="A536" s="198"/>
      <c r="B536" s="198"/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</row>
    <row r="537" spans="1:26" ht="12.75" customHeight="1">
      <c r="A537" s="198"/>
      <c r="B537" s="198"/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</row>
    <row r="538" spans="1:26" ht="12.75" customHeight="1">
      <c r="A538" s="198"/>
      <c r="B538" s="198"/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</row>
    <row r="539" spans="1:26" ht="12.75" customHeight="1">
      <c r="A539" s="198"/>
      <c r="B539" s="198"/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</row>
    <row r="540" spans="1:26" ht="12.75" customHeight="1">
      <c r="A540" s="198"/>
      <c r="B540" s="198"/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</row>
    <row r="541" spans="1:26" ht="12.75" customHeight="1">
      <c r="A541" s="198"/>
      <c r="B541" s="198"/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</row>
    <row r="542" spans="1:26" ht="12.75" customHeight="1">
      <c r="A542" s="198"/>
      <c r="B542" s="198"/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</row>
    <row r="543" spans="1:26" ht="12.75" customHeight="1">
      <c r="A543" s="198"/>
      <c r="B543" s="198"/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</row>
    <row r="544" spans="1:26" ht="12.75" customHeight="1">
      <c r="A544" s="198"/>
      <c r="B544" s="198"/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</row>
    <row r="545" spans="1:26" ht="12.75" customHeight="1">
      <c r="A545" s="198"/>
      <c r="B545" s="198"/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</row>
    <row r="546" spans="1:26" ht="12.75" customHeight="1">
      <c r="A546" s="198"/>
      <c r="B546" s="198"/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</row>
    <row r="547" spans="1:26" ht="12.75" customHeight="1">
      <c r="A547" s="198"/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</row>
    <row r="548" spans="1:26" ht="12.75" customHeight="1">
      <c r="A548" s="198"/>
      <c r="B548" s="198"/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</row>
    <row r="549" spans="1:26" ht="12.75" customHeight="1">
      <c r="A549" s="198"/>
      <c r="B549" s="198"/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</row>
    <row r="550" spans="1:26" ht="12.75" customHeight="1">
      <c r="A550" s="198"/>
      <c r="B550" s="198"/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</row>
    <row r="551" spans="1:26" ht="12.75" customHeight="1">
      <c r="A551" s="198"/>
      <c r="B551" s="198"/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</row>
    <row r="552" spans="1:26" ht="12.75" customHeight="1">
      <c r="A552" s="198"/>
      <c r="B552" s="198"/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</row>
    <row r="553" spans="1:26" ht="12.75" customHeight="1">
      <c r="A553" s="198"/>
      <c r="B553" s="198"/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</row>
    <row r="554" spans="1:26" ht="12.75" customHeight="1">
      <c r="A554" s="198"/>
      <c r="B554" s="198"/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</row>
    <row r="555" spans="1:26" ht="12.75" customHeight="1">
      <c r="A555" s="198"/>
      <c r="B555" s="198"/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</row>
    <row r="556" spans="1:26" ht="12.75" customHeight="1">
      <c r="A556" s="198"/>
      <c r="B556" s="198"/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</row>
    <row r="557" spans="1:26" ht="12.75" customHeight="1">
      <c r="A557" s="198"/>
      <c r="B557" s="198"/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</row>
    <row r="558" spans="1:26" ht="12.75" customHeight="1">
      <c r="A558" s="198"/>
      <c r="B558" s="198"/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</row>
    <row r="559" spans="1:26" ht="12.75" customHeight="1">
      <c r="A559" s="198"/>
      <c r="B559" s="198"/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</row>
    <row r="560" spans="1:26" ht="12.75" customHeight="1">
      <c r="A560" s="198"/>
      <c r="B560" s="198"/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</row>
    <row r="561" spans="1:26" ht="12.75" customHeight="1">
      <c r="A561" s="198"/>
      <c r="B561" s="198"/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</row>
    <row r="562" spans="1:26" ht="12.75" customHeight="1">
      <c r="A562" s="198"/>
      <c r="B562" s="198"/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</row>
    <row r="563" spans="1:26" ht="12.75" customHeight="1">
      <c r="A563" s="198"/>
      <c r="B563" s="198"/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</row>
    <row r="564" spans="1:26" ht="12.75" customHeight="1">
      <c r="A564" s="198"/>
      <c r="B564" s="198"/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</row>
    <row r="565" spans="1:26" ht="12.75" customHeight="1">
      <c r="A565" s="198"/>
      <c r="B565" s="198"/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</row>
    <row r="566" spans="1:26" ht="12.75" customHeight="1">
      <c r="A566" s="198"/>
      <c r="B566" s="198"/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</row>
    <row r="567" spans="1:26" ht="12.75" customHeight="1">
      <c r="A567" s="198"/>
      <c r="B567" s="198"/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</row>
    <row r="568" spans="1:26" ht="12.75" customHeight="1">
      <c r="A568" s="198"/>
      <c r="B568" s="198"/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</row>
    <row r="569" spans="1:26" ht="12.75" customHeight="1">
      <c r="A569" s="198"/>
      <c r="B569" s="198"/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</row>
    <row r="570" spans="1:26" ht="12.75" customHeight="1">
      <c r="A570" s="198"/>
      <c r="B570" s="198"/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</row>
    <row r="571" spans="1:26" ht="12.75" customHeight="1">
      <c r="A571" s="198"/>
      <c r="B571" s="198"/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</row>
    <row r="572" spans="1:26" ht="12.75" customHeight="1">
      <c r="A572" s="198"/>
      <c r="B572" s="198"/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</row>
    <row r="573" spans="1:26" ht="12.75" customHeight="1">
      <c r="A573" s="198"/>
      <c r="B573" s="198"/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</row>
    <row r="574" spans="1:26" ht="12.75" customHeight="1">
      <c r="A574" s="198"/>
      <c r="B574" s="198"/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</row>
    <row r="575" spans="1:26" ht="12.75" customHeight="1">
      <c r="A575" s="198"/>
      <c r="B575" s="198"/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</row>
    <row r="576" spans="1:26" ht="12.75" customHeight="1">
      <c r="A576" s="198"/>
      <c r="B576" s="198"/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</row>
    <row r="577" spans="1:26" ht="12.75" customHeight="1">
      <c r="A577" s="198"/>
      <c r="B577" s="198"/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</row>
    <row r="578" spans="1:26" ht="12.75" customHeight="1">
      <c r="A578" s="198"/>
      <c r="B578" s="198"/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</row>
    <row r="579" spans="1:26" ht="12.75" customHeight="1">
      <c r="A579" s="198"/>
      <c r="B579" s="198"/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</row>
    <row r="580" spans="1:26" ht="12.75" customHeight="1">
      <c r="A580" s="198"/>
      <c r="B580" s="198"/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</row>
    <row r="581" spans="1:26" ht="12.75" customHeight="1">
      <c r="A581" s="198"/>
      <c r="B581" s="198"/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</row>
    <row r="582" spans="1:26" ht="12.75" customHeight="1">
      <c r="A582" s="198"/>
      <c r="B582" s="198"/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</row>
    <row r="583" spans="1:26" ht="12.75" customHeight="1">
      <c r="A583" s="198"/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</row>
    <row r="584" spans="1:26" ht="12.75" customHeight="1">
      <c r="A584" s="198"/>
      <c r="B584" s="198"/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</row>
    <row r="585" spans="1:26" ht="12.75" customHeight="1">
      <c r="A585" s="198"/>
      <c r="B585" s="198"/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</row>
    <row r="586" spans="1:26" ht="12.75" customHeight="1">
      <c r="A586" s="198"/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</row>
    <row r="587" spans="1:26" ht="12.75" customHeight="1">
      <c r="A587" s="198"/>
      <c r="B587" s="198"/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</row>
    <row r="588" spans="1:26" ht="12.75" customHeight="1">
      <c r="A588" s="198"/>
      <c r="B588" s="198"/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</row>
    <row r="589" spans="1:26" ht="12.75" customHeight="1">
      <c r="A589" s="198"/>
      <c r="B589" s="198"/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</row>
    <row r="590" spans="1:26" ht="12.75" customHeight="1">
      <c r="A590" s="198"/>
      <c r="B590" s="198"/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</row>
    <row r="591" spans="1:26" ht="12.75" customHeight="1">
      <c r="A591" s="198"/>
      <c r="B591" s="198"/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</row>
    <row r="592" spans="1:26" ht="12.75" customHeight="1">
      <c r="A592" s="198"/>
      <c r="B592" s="198"/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</row>
    <row r="593" spans="1:26" ht="12.75" customHeight="1">
      <c r="A593" s="198"/>
      <c r="B593" s="198"/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</row>
    <row r="594" spans="1:26" ht="12.75" customHeight="1">
      <c r="A594" s="198"/>
      <c r="B594" s="198"/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</row>
    <row r="595" spans="1:26" ht="12.75" customHeight="1">
      <c r="A595" s="198"/>
      <c r="B595" s="198"/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</row>
    <row r="596" spans="1:26" ht="12.75" customHeight="1">
      <c r="A596" s="198"/>
      <c r="B596" s="198"/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</row>
    <row r="597" spans="1:26" ht="12.75" customHeight="1">
      <c r="A597" s="198"/>
      <c r="B597" s="198"/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</row>
    <row r="598" spans="1:26" ht="12.75" customHeight="1">
      <c r="A598" s="198"/>
      <c r="B598" s="198"/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</row>
    <row r="599" spans="1:26" ht="12.75" customHeight="1">
      <c r="A599" s="198"/>
      <c r="B599" s="198"/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</row>
    <row r="600" spans="1:26" ht="12.75" customHeight="1">
      <c r="A600" s="198"/>
      <c r="B600" s="198"/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</row>
    <row r="601" spans="1:26" ht="12.75" customHeight="1">
      <c r="A601" s="198"/>
      <c r="B601" s="198"/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</row>
    <row r="602" spans="1:26" ht="12.75" customHeight="1">
      <c r="A602" s="198"/>
      <c r="B602" s="198"/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</row>
    <row r="603" spans="1:26" ht="12.75" customHeight="1">
      <c r="A603" s="198"/>
      <c r="B603" s="198"/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</row>
    <row r="604" spans="1:26" ht="12.75" customHeight="1">
      <c r="A604" s="198"/>
      <c r="B604" s="198"/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</row>
    <row r="605" spans="1:26" ht="12.75" customHeight="1">
      <c r="A605" s="198"/>
      <c r="B605" s="198"/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</row>
    <row r="606" spans="1:26" ht="12.75" customHeight="1">
      <c r="A606" s="198"/>
      <c r="B606" s="198"/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</row>
    <row r="607" spans="1:26" ht="12.75" customHeight="1">
      <c r="A607" s="198"/>
      <c r="B607" s="198"/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</row>
    <row r="608" spans="1:26" ht="12.75" customHeight="1">
      <c r="A608" s="198"/>
      <c r="B608" s="198"/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</row>
    <row r="609" spans="1:26" ht="12.75" customHeight="1">
      <c r="A609" s="198"/>
      <c r="B609" s="198"/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</row>
    <row r="610" spans="1:26" ht="12.75" customHeight="1">
      <c r="A610" s="198"/>
      <c r="B610" s="198"/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</row>
    <row r="611" spans="1:26" ht="12.75" customHeight="1">
      <c r="A611" s="198"/>
      <c r="B611" s="198"/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</row>
    <row r="612" spans="1:26" ht="12.75" customHeight="1">
      <c r="A612" s="198"/>
      <c r="B612" s="198"/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</row>
    <row r="613" spans="1:26" ht="12.75" customHeight="1">
      <c r="A613" s="198"/>
      <c r="B613" s="198"/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</row>
    <row r="614" spans="1:26" ht="12.75" customHeight="1">
      <c r="A614" s="198"/>
      <c r="B614" s="198"/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</row>
    <row r="615" spans="1:26" ht="12.75" customHeight="1">
      <c r="A615" s="198"/>
      <c r="B615" s="198"/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</row>
    <row r="616" spans="1:26" ht="12.75" customHeight="1">
      <c r="A616" s="198"/>
      <c r="B616" s="198"/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</row>
    <row r="617" spans="1:26" ht="12.75" customHeight="1">
      <c r="A617" s="198"/>
      <c r="B617" s="198"/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</row>
    <row r="618" spans="1:26" ht="12.75" customHeight="1">
      <c r="A618" s="198"/>
      <c r="B618" s="198"/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</row>
    <row r="619" spans="1:26" ht="12.75" customHeight="1">
      <c r="A619" s="198"/>
      <c r="B619" s="198"/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</row>
    <row r="620" spans="1:26" ht="12.75" customHeight="1">
      <c r="A620" s="198"/>
      <c r="B620" s="198"/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</row>
    <row r="621" spans="1:26" ht="12.75" customHeight="1">
      <c r="A621" s="198"/>
      <c r="B621" s="198"/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</row>
    <row r="622" spans="1:26" ht="12.75" customHeight="1">
      <c r="A622" s="198"/>
      <c r="B622" s="198"/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</row>
    <row r="623" spans="1:26" ht="12.75" customHeight="1">
      <c r="A623" s="198"/>
      <c r="B623" s="198"/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</row>
    <row r="624" spans="1:26" ht="12.75" customHeight="1">
      <c r="A624" s="198"/>
      <c r="B624" s="198"/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</row>
    <row r="625" spans="1:26" ht="12.75" customHeight="1">
      <c r="A625" s="198"/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</row>
    <row r="626" spans="1:26" ht="12.75" customHeight="1">
      <c r="A626" s="198"/>
      <c r="B626" s="198"/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</row>
    <row r="627" spans="1:26" ht="12.75" customHeight="1">
      <c r="A627" s="198"/>
      <c r="B627" s="198"/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</row>
    <row r="628" spans="1:26" ht="12.75" customHeight="1">
      <c r="A628" s="198"/>
      <c r="B628" s="198"/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</row>
    <row r="629" spans="1:26" ht="12.75" customHeight="1">
      <c r="A629" s="198"/>
      <c r="B629" s="198"/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</row>
    <row r="630" spans="1:26" ht="12.75" customHeight="1">
      <c r="A630" s="198"/>
      <c r="B630" s="198"/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</row>
    <row r="631" spans="1:26" ht="12.75" customHeight="1">
      <c r="A631" s="198"/>
      <c r="B631" s="198"/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</row>
    <row r="632" spans="1:26" ht="12.75" customHeight="1">
      <c r="A632" s="198"/>
      <c r="B632" s="198"/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</row>
    <row r="633" spans="1:26" ht="12.75" customHeight="1">
      <c r="A633" s="198"/>
      <c r="B633" s="198"/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</row>
    <row r="634" spans="1:26" ht="12.75" customHeight="1">
      <c r="A634" s="198"/>
      <c r="B634" s="198"/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</row>
    <row r="635" spans="1:26" ht="12.75" customHeight="1">
      <c r="A635" s="198"/>
      <c r="B635" s="198"/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</row>
    <row r="636" spans="1:26" ht="12.75" customHeight="1">
      <c r="A636" s="198"/>
      <c r="B636" s="198"/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</row>
    <row r="637" spans="1:26" ht="12.75" customHeight="1">
      <c r="A637" s="198"/>
      <c r="B637" s="198"/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</row>
    <row r="638" spans="1:26" ht="12.75" customHeight="1">
      <c r="A638" s="198"/>
      <c r="B638" s="198"/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</row>
    <row r="639" spans="1:26" ht="12.75" customHeight="1">
      <c r="A639" s="198"/>
      <c r="B639" s="198"/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</row>
    <row r="640" spans="1:26" ht="12.75" customHeight="1">
      <c r="A640" s="198"/>
      <c r="B640" s="198"/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</row>
    <row r="641" spans="1:26" ht="12.75" customHeight="1">
      <c r="A641" s="198"/>
      <c r="B641" s="198"/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</row>
    <row r="642" spans="1:26" ht="12.75" customHeight="1">
      <c r="A642" s="198"/>
      <c r="B642" s="198"/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</row>
    <row r="643" spans="1:26" ht="12.75" customHeight="1">
      <c r="A643" s="198"/>
      <c r="B643" s="198"/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</row>
    <row r="644" spans="1:26" ht="12.75" customHeight="1">
      <c r="A644" s="198"/>
      <c r="B644" s="198"/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</row>
    <row r="645" spans="1:26" ht="12.75" customHeight="1">
      <c r="A645" s="198"/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</row>
    <row r="646" spans="1:26" ht="12.75" customHeight="1">
      <c r="A646" s="198"/>
      <c r="B646" s="198"/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</row>
    <row r="647" spans="1:26" ht="12.75" customHeight="1">
      <c r="A647" s="198"/>
      <c r="B647" s="198"/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</row>
    <row r="648" spans="1:26" ht="12.75" customHeight="1">
      <c r="A648" s="198"/>
      <c r="B648" s="198"/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</row>
    <row r="649" spans="1:26" ht="12.75" customHeight="1">
      <c r="A649" s="198"/>
      <c r="B649" s="198"/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</row>
    <row r="650" spans="1:26" ht="12.75" customHeight="1">
      <c r="A650" s="198"/>
      <c r="B650" s="198"/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</row>
    <row r="651" spans="1:26" ht="12.75" customHeight="1">
      <c r="A651" s="198"/>
      <c r="B651" s="198"/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</row>
    <row r="652" spans="1:26" ht="12.75" customHeight="1">
      <c r="A652" s="198"/>
      <c r="B652" s="198"/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</row>
    <row r="653" spans="1:26" ht="12.75" customHeight="1">
      <c r="A653" s="198"/>
      <c r="B653" s="198"/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</row>
    <row r="654" spans="1:26" ht="12.75" customHeight="1">
      <c r="A654" s="198"/>
      <c r="B654" s="198"/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</row>
    <row r="655" spans="1:26" ht="12.75" customHeight="1">
      <c r="A655" s="198"/>
      <c r="B655" s="198"/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</row>
    <row r="656" spans="1:26" ht="12.75" customHeight="1">
      <c r="A656" s="198"/>
      <c r="B656" s="198"/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</row>
    <row r="657" spans="1:26" ht="12.75" customHeight="1">
      <c r="A657" s="198"/>
      <c r="B657" s="198"/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</row>
    <row r="658" spans="1:26" ht="12.75" customHeight="1">
      <c r="A658" s="198"/>
      <c r="B658" s="198"/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</row>
    <row r="659" spans="1:26" ht="12.75" customHeight="1">
      <c r="A659" s="198"/>
      <c r="B659" s="198"/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</row>
    <row r="660" spans="1:26" ht="12.75" customHeight="1">
      <c r="A660" s="198"/>
      <c r="B660" s="198"/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</row>
    <row r="661" spans="1:26" ht="12.75" customHeight="1">
      <c r="A661" s="198"/>
      <c r="B661" s="198"/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</row>
    <row r="662" spans="1:26" ht="12.75" customHeight="1">
      <c r="A662" s="198"/>
      <c r="B662" s="198"/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</row>
    <row r="663" spans="1:26" ht="12.75" customHeight="1">
      <c r="A663" s="198"/>
      <c r="B663" s="198"/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</row>
    <row r="664" spans="1:26" ht="12.75" customHeight="1">
      <c r="A664" s="198"/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</row>
    <row r="665" spans="1:26" ht="12.75" customHeight="1">
      <c r="A665" s="198"/>
      <c r="B665" s="198"/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</row>
    <row r="666" spans="1:26" ht="12.75" customHeight="1">
      <c r="A666" s="198"/>
      <c r="B666" s="198"/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</row>
    <row r="667" spans="1:26" ht="12.75" customHeight="1">
      <c r="A667" s="198"/>
      <c r="B667" s="198"/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</row>
    <row r="668" spans="1:26" ht="12.75" customHeight="1">
      <c r="A668" s="198"/>
      <c r="B668" s="198"/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</row>
    <row r="669" spans="1:26" ht="12.75" customHeight="1">
      <c r="A669" s="198"/>
      <c r="B669" s="198"/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</row>
    <row r="670" spans="1:26" ht="12.75" customHeight="1">
      <c r="A670" s="198"/>
      <c r="B670" s="198"/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</row>
    <row r="671" spans="1:26" ht="12.75" customHeight="1">
      <c r="A671" s="198"/>
      <c r="B671" s="198"/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</row>
    <row r="672" spans="1:26" ht="12.75" customHeight="1">
      <c r="A672" s="198"/>
      <c r="B672" s="198"/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</row>
    <row r="673" spans="1:26" ht="12.75" customHeight="1">
      <c r="A673" s="198"/>
      <c r="B673" s="198"/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</row>
    <row r="674" spans="1:26" ht="12.75" customHeight="1">
      <c r="A674" s="198"/>
      <c r="B674" s="198"/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</row>
    <row r="675" spans="1:26" ht="12.75" customHeight="1">
      <c r="A675" s="198"/>
      <c r="B675" s="198"/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</row>
    <row r="676" spans="1:26" ht="12.75" customHeight="1">
      <c r="A676" s="198"/>
      <c r="B676" s="198"/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</row>
    <row r="677" spans="1:26" ht="12.75" customHeight="1">
      <c r="A677" s="198"/>
      <c r="B677" s="198"/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</row>
    <row r="678" spans="1:26" ht="12.75" customHeight="1">
      <c r="A678" s="198"/>
      <c r="B678" s="198"/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</row>
    <row r="679" spans="1:26" ht="12.75" customHeight="1">
      <c r="A679" s="198"/>
      <c r="B679" s="198"/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</row>
    <row r="680" spans="1:26" ht="12.75" customHeight="1">
      <c r="A680" s="198"/>
      <c r="B680" s="198"/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</row>
    <row r="681" spans="1:26" ht="12.75" customHeight="1">
      <c r="A681" s="198"/>
      <c r="B681" s="198"/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</row>
    <row r="682" spans="1:26" ht="12.75" customHeight="1">
      <c r="A682" s="198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</row>
    <row r="683" spans="1:26" ht="12.75" customHeight="1">
      <c r="A683" s="198"/>
      <c r="B683" s="198"/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</row>
    <row r="684" spans="1:26" ht="12.75" customHeight="1">
      <c r="A684" s="198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</row>
    <row r="685" spans="1:26" ht="12.75" customHeight="1">
      <c r="A685" s="198"/>
      <c r="B685" s="198"/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</row>
    <row r="686" spans="1:26" ht="12.75" customHeight="1">
      <c r="A686" s="198"/>
      <c r="B686" s="198"/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</row>
    <row r="687" spans="1:26" ht="12.75" customHeight="1">
      <c r="A687" s="198"/>
      <c r="B687" s="198"/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</row>
    <row r="688" spans="1:26" ht="12.75" customHeight="1">
      <c r="A688" s="198"/>
      <c r="B688" s="198"/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</row>
    <row r="689" spans="1:26" ht="12.75" customHeight="1">
      <c r="A689" s="198"/>
      <c r="B689" s="198"/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</row>
    <row r="690" spans="1:26" ht="12.75" customHeight="1">
      <c r="A690" s="198"/>
      <c r="B690" s="198"/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</row>
    <row r="691" spans="1:26" ht="12.75" customHeight="1">
      <c r="A691" s="198"/>
      <c r="B691" s="198"/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</row>
    <row r="692" spans="1:26" ht="12.75" customHeight="1">
      <c r="A692" s="198"/>
      <c r="B692" s="198"/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</row>
    <row r="693" spans="1:26" ht="12.75" customHeight="1">
      <c r="A693" s="198"/>
      <c r="B693" s="198"/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</row>
    <row r="694" spans="1:26" ht="12.75" customHeight="1">
      <c r="A694" s="198"/>
      <c r="B694" s="198"/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</row>
    <row r="695" spans="1:26" ht="12.75" customHeight="1">
      <c r="A695" s="198"/>
      <c r="B695" s="198"/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</row>
    <row r="696" spans="1:26" ht="12.75" customHeight="1">
      <c r="A696" s="198"/>
      <c r="B696" s="198"/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  <c r="X696" s="198"/>
      <c r="Y696" s="198"/>
      <c r="Z696" s="198"/>
    </row>
    <row r="697" spans="1:26" ht="12.75" customHeight="1">
      <c r="A697" s="198"/>
      <c r="B697" s="198"/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  <c r="X697" s="198"/>
      <c r="Y697" s="198"/>
      <c r="Z697" s="198"/>
    </row>
    <row r="698" spans="1:26" ht="12.75" customHeight="1">
      <c r="A698" s="198"/>
      <c r="B698" s="198"/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  <c r="X698" s="198"/>
      <c r="Y698" s="198"/>
      <c r="Z698" s="198"/>
    </row>
    <row r="699" spans="1:26" ht="12.75" customHeight="1">
      <c r="A699" s="198"/>
      <c r="B699" s="198"/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  <c r="X699" s="198"/>
      <c r="Y699" s="198"/>
      <c r="Z699" s="198"/>
    </row>
    <row r="700" spans="1:26" ht="12.75" customHeight="1">
      <c r="A700" s="198"/>
      <c r="B700" s="198"/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  <c r="X700" s="198"/>
      <c r="Y700" s="198"/>
      <c r="Z700" s="198"/>
    </row>
    <row r="701" spans="1:26" ht="12.75" customHeight="1">
      <c r="A701" s="198"/>
      <c r="B701" s="198"/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  <c r="X701" s="198"/>
      <c r="Y701" s="198"/>
      <c r="Z701" s="198"/>
    </row>
    <row r="702" spans="1:26" ht="12.75" customHeight="1">
      <c r="A702" s="198"/>
      <c r="B702" s="198"/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  <c r="X702" s="198"/>
      <c r="Y702" s="198"/>
      <c r="Z702" s="198"/>
    </row>
    <row r="703" spans="1:26" ht="12.75" customHeight="1">
      <c r="A703" s="198"/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  <c r="Y703" s="198"/>
      <c r="Z703" s="198"/>
    </row>
    <row r="704" spans="1:26" ht="12.75" customHeight="1">
      <c r="A704" s="198"/>
      <c r="B704" s="198"/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  <c r="X704" s="198"/>
      <c r="Y704" s="198"/>
      <c r="Z704" s="198"/>
    </row>
    <row r="705" spans="1:26" ht="12.75" customHeight="1">
      <c r="A705" s="198"/>
      <c r="B705" s="198"/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  <c r="X705" s="198"/>
      <c r="Y705" s="198"/>
      <c r="Z705" s="198"/>
    </row>
    <row r="706" spans="1:26" ht="12.75" customHeight="1">
      <c r="A706" s="198"/>
      <c r="B706" s="198"/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  <c r="X706" s="198"/>
      <c r="Y706" s="198"/>
      <c r="Z706" s="198"/>
    </row>
    <row r="707" spans="1:26" ht="12.75" customHeight="1">
      <c r="A707" s="198"/>
      <c r="B707" s="198"/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  <c r="X707" s="198"/>
      <c r="Y707" s="198"/>
      <c r="Z707" s="198"/>
    </row>
    <row r="708" spans="1:26" ht="12.75" customHeight="1">
      <c r="A708" s="198"/>
      <c r="B708" s="198"/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  <c r="X708" s="198"/>
      <c r="Y708" s="198"/>
      <c r="Z708" s="198"/>
    </row>
    <row r="709" spans="1:26" ht="12.75" customHeight="1">
      <c r="A709" s="198"/>
      <c r="B709" s="198"/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  <c r="X709" s="198"/>
      <c r="Y709" s="198"/>
      <c r="Z709" s="198"/>
    </row>
    <row r="710" spans="1:26" ht="12.75" customHeight="1">
      <c r="A710" s="198"/>
      <c r="B710" s="198"/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  <c r="X710" s="198"/>
      <c r="Y710" s="198"/>
      <c r="Z710" s="198"/>
    </row>
    <row r="711" spans="1:26" ht="12.75" customHeight="1">
      <c r="A711" s="198"/>
      <c r="B711" s="198"/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  <c r="X711" s="198"/>
      <c r="Y711" s="198"/>
      <c r="Z711" s="198"/>
    </row>
    <row r="712" spans="1:26" ht="12.75" customHeight="1">
      <c r="A712" s="198"/>
      <c r="B712" s="198"/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  <c r="X712" s="198"/>
      <c r="Y712" s="198"/>
      <c r="Z712" s="198"/>
    </row>
    <row r="713" spans="1:26" ht="12.75" customHeight="1">
      <c r="A713" s="198"/>
      <c r="B713" s="198"/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  <c r="X713" s="198"/>
      <c r="Y713" s="198"/>
      <c r="Z713" s="198"/>
    </row>
    <row r="714" spans="1:26" ht="12.75" customHeight="1">
      <c r="A714" s="198"/>
      <c r="B714" s="198"/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  <c r="X714" s="198"/>
      <c r="Y714" s="198"/>
      <c r="Z714" s="198"/>
    </row>
    <row r="715" spans="1:26" ht="12.75" customHeight="1">
      <c r="A715" s="198"/>
      <c r="B715" s="198"/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  <c r="X715" s="198"/>
      <c r="Y715" s="198"/>
      <c r="Z715" s="198"/>
    </row>
    <row r="716" spans="1:26" ht="12.75" customHeight="1">
      <c r="A716" s="198"/>
      <c r="B716" s="198"/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  <c r="X716" s="198"/>
      <c r="Y716" s="198"/>
      <c r="Z716" s="198"/>
    </row>
    <row r="717" spans="1:26" ht="12.75" customHeight="1">
      <c r="A717" s="198"/>
      <c r="B717" s="198"/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  <c r="X717" s="198"/>
      <c r="Y717" s="198"/>
      <c r="Z717" s="198"/>
    </row>
    <row r="718" spans="1:26" ht="12.75" customHeight="1">
      <c r="A718" s="198"/>
      <c r="B718" s="198"/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  <c r="X718" s="198"/>
      <c r="Y718" s="198"/>
      <c r="Z718" s="198"/>
    </row>
    <row r="719" spans="1:26" ht="12.75" customHeight="1">
      <c r="A719" s="198"/>
      <c r="B719" s="198"/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  <c r="X719" s="198"/>
      <c r="Y719" s="198"/>
      <c r="Z719" s="198"/>
    </row>
    <row r="720" spans="1:26" ht="12.75" customHeight="1">
      <c r="A720" s="198"/>
      <c r="B720" s="198"/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  <c r="X720" s="198"/>
      <c r="Y720" s="198"/>
      <c r="Z720" s="198"/>
    </row>
    <row r="721" spans="1:26" ht="12.75" customHeight="1">
      <c r="A721" s="198"/>
      <c r="B721" s="198"/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  <c r="X721" s="198"/>
      <c r="Y721" s="198"/>
      <c r="Z721" s="198"/>
    </row>
    <row r="722" spans="1:26" ht="12.75" customHeight="1">
      <c r="A722" s="198"/>
      <c r="B722" s="198"/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  <c r="X722" s="198"/>
      <c r="Y722" s="198"/>
      <c r="Z722" s="198"/>
    </row>
    <row r="723" spans="1:26" ht="12.75" customHeight="1">
      <c r="A723" s="198"/>
      <c r="B723" s="198"/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  <c r="X723" s="198"/>
      <c r="Y723" s="198"/>
      <c r="Z723" s="198"/>
    </row>
    <row r="724" spans="1:26" ht="12.75" customHeight="1">
      <c r="A724" s="198"/>
      <c r="B724" s="198"/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  <c r="X724" s="198"/>
      <c r="Y724" s="198"/>
      <c r="Z724" s="198"/>
    </row>
    <row r="725" spans="1:26" ht="12.75" customHeight="1">
      <c r="A725" s="198"/>
      <c r="B725" s="198"/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  <c r="X725" s="198"/>
      <c r="Y725" s="198"/>
      <c r="Z725" s="198"/>
    </row>
    <row r="726" spans="1:26" ht="12.75" customHeight="1">
      <c r="A726" s="198"/>
      <c r="B726" s="198"/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  <c r="X726" s="198"/>
      <c r="Y726" s="198"/>
      <c r="Z726" s="198"/>
    </row>
    <row r="727" spans="1:26" ht="12.75" customHeight="1">
      <c r="A727" s="198"/>
      <c r="B727" s="198"/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  <c r="X727" s="198"/>
      <c r="Y727" s="198"/>
      <c r="Z727" s="198"/>
    </row>
    <row r="728" spans="1:26" ht="12.75" customHeight="1">
      <c r="A728" s="198"/>
      <c r="B728" s="198"/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  <c r="X728" s="198"/>
      <c r="Y728" s="198"/>
      <c r="Z728" s="198"/>
    </row>
    <row r="729" spans="1:26" ht="12.75" customHeight="1">
      <c r="A729" s="198"/>
      <c r="B729" s="198"/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  <c r="X729" s="198"/>
      <c r="Y729" s="198"/>
      <c r="Z729" s="198"/>
    </row>
    <row r="730" spans="1:26" ht="12.75" customHeight="1">
      <c r="A730" s="198"/>
      <c r="B730" s="198"/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  <c r="X730" s="198"/>
      <c r="Y730" s="198"/>
      <c r="Z730" s="198"/>
    </row>
    <row r="731" spans="1:26" ht="12.75" customHeight="1">
      <c r="A731" s="198"/>
      <c r="B731" s="198"/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  <c r="X731" s="198"/>
      <c r="Y731" s="198"/>
      <c r="Z731" s="198"/>
    </row>
    <row r="732" spans="1:26" ht="12.75" customHeight="1">
      <c r="A732" s="198"/>
      <c r="B732" s="198"/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  <c r="X732" s="198"/>
      <c r="Y732" s="198"/>
      <c r="Z732" s="198"/>
    </row>
    <row r="733" spans="1:26" ht="12.75" customHeight="1">
      <c r="A733" s="198"/>
      <c r="B733" s="198"/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  <c r="X733" s="198"/>
      <c r="Y733" s="198"/>
      <c r="Z733" s="198"/>
    </row>
    <row r="734" spans="1:26" ht="12.75" customHeight="1">
      <c r="A734" s="198"/>
      <c r="B734" s="198"/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  <c r="X734" s="198"/>
      <c r="Y734" s="198"/>
      <c r="Z734" s="198"/>
    </row>
    <row r="735" spans="1:26" ht="12.75" customHeight="1">
      <c r="A735" s="198"/>
      <c r="B735" s="198"/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  <c r="X735" s="198"/>
      <c r="Y735" s="198"/>
      <c r="Z735" s="198"/>
    </row>
    <row r="736" spans="1:26" ht="12.75" customHeight="1">
      <c r="A736" s="198"/>
      <c r="B736" s="198"/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  <c r="X736" s="198"/>
      <c r="Y736" s="198"/>
      <c r="Z736" s="198"/>
    </row>
    <row r="737" spans="1:26" ht="12.75" customHeight="1">
      <c r="A737" s="198"/>
      <c r="B737" s="198"/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  <c r="X737" s="198"/>
      <c r="Y737" s="198"/>
      <c r="Z737" s="198"/>
    </row>
    <row r="738" spans="1:26" ht="12.75" customHeight="1">
      <c r="A738" s="198"/>
      <c r="B738" s="198"/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  <c r="X738" s="198"/>
      <c r="Y738" s="198"/>
      <c r="Z738" s="198"/>
    </row>
    <row r="739" spans="1:26" ht="12.75" customHeight="1">
      <c r="A739" s="198"/>
      <c r="B739" s="198"/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  <c r="X739" s="198"/>
      <c r="Y739" s="198"/>
      <c r="Z739" s="198"/>
    </row>
    <row r="740" spans="1:26" ht="12.75" customHeight="1">
      <c r="A740" s="198"/>
      <c r="B740" s="198"/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  <c r="X740" s="198"/>
      <c r="Y740" s="198"/>
      <c r="Z740" s="198"/>
    </row>
    <row r="741" spans="1:26" ht="12.75" customHeight="1">
      <c r="A741" s="198"/>
      <c r="B741" s="198"/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  <c r="X741" s="198"/>
      <c r="Y741" s="198"/>
      <c r="Z741" s="198"/>
    </row>
    <row r="742" spans="1:26" ht="12.75" customHeight="1">
      <c r="A742" s="198"/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  <c r="Y742" s="198"/>
      <c r="Z742" s="198"/>
    </row>
    <row r="743" spans="1:26" ht="12.75" customHeight="1">
      <c r="A743" s="198"/>
      <c r="B743" s="198"/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  <c r="X743" s="198"/>
      <c r="Y743" s="198"/>
      <c r="Z743" s="198"/>
    </row>
    <row r="744" spans="1:26" ht="12.75" customHeight="1">
      <c r="A744" s="198"/>
      <c r="B744" s="198"/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  <c r="X744" s="198"/>
      <c r="Y744" s="198"/>
      <c r="Z744" s="198"/>
    </row>
    <row r="745" spans="1:26" ht="12.75" customHeight="1">
      <c r="A745" s="198"/>
      <c r="B745" s="198"/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  <c r="X745" s="198"/>
      <c r="Y745" s="198"/>
      <c r="Z745" s="198"/>
    </row>
    <row r="746" spans="1:26" ht="12.75" customHeight="1">
      <c r="A746" s="198"/>
      <c r="B746" s="198"/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  <c r="X746" s="198"/>
      <c r="Y746" s="198"/>
      <c r="Z746" s="198"/>
    </row>
    <row r="747" spans="1:26" ht="12.75" customHeight="1">
      <c r="A747" s="198"/>
      <c r="B747" s="198"/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  <c r="X747" s="198"/>
      <c r="Y747" s="198"/>
      <c r="Z747" s="198"/>
    </row>
    <row r="748" spans="1:26" ht="12.75" customHeight="1">
      <c r="A748" s="198"/>
      <c r="B748" s="198"/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  <c r="X748" s="198"/>
      <c r="Y748" s="198"/>
      <c r="Z748" s="198"/>
    </row>
    <row r="749" spans="1:26" ht="12.75" customHeight="1">
      <c r="A749" s="198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  <c r="X749" s="198"/>
      <c r="Y749" s="198"/>
      <c r="Z749" s="198"/>
    </row>
    <row r="750" spans="1:26" ht="12.75" customHeight="1">
      <c r="A750" s="198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  <c r="X750" s="198"/>
      <c r="Y750" s="198"/>
      <c r="Z750" s="198"/>
    </row>
    <row r="751" spans="1:26" ht="12.75" customHeight="1">
      <c r="A751" s="198"/>
      <c r="B751" s="198"/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  <c r="X751" s="198"/>
      <c r="Y751" s="198"/>
      <c r="Z751" s="198"/>
    </row>
    <row r="752" spans="1:26" ht="12.75" customHeight="1">
      <c r="A752" s="198"/>
      <c r="B752" s="198"/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  <c r="X752" s="198"/>
      <c r="Y752" s="198"/>
      <c r="Z752" s="198"/>
    </row>
    <row r="753" spans="1:26" ht="12.75" customHeight="1">
      <c r="A753" s="198"/>
      <c r="B753" s="198"/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  <c r="X753" s="198"/>
      <c r="Y753" s="198"/>
      <c r="Z753" s="198"/>
    </row>
    <row r="754" spans="1:26" ht="12.75" customHeight="1">
      <c r="A754" s="198"/>
      <c r="B754" s="198"/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  <c r="X754" s="198"/>
      <c r="Y754" s="198"/>
      <c r="Z754" s="198"/>
    </row>
    <row r="755" spans="1:26" ht="12.75" customHeight="1">
      <c r="A755" s="198"/>
      <c r="B755" s="198"/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</row>
    <row r="756" spans="1:26" ht="12.75" customHeight="1">
      <c r="A756" s="198"/>
      <c r="B756" s="198"/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  <c r="X756" s="198"/>
      <c r="Y756" s="198"/>
      <c r="Z756" s="198"/>
    </row>
    <row r="757" spans="1:26" ht="12.75" customHeight="1">
      <c r="A757" s="198"/>
      <c r="B757" s="198"/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</row>
    <row r="758" spans="1:26" ht="12.75" customHeight="1">
      <c r="A758" s="198"/>
      <c r="B758" s="198"/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  <c r="X758" s="198"/>
      <c r="Y758" s="198"/>
      <c r="Z758" s="198"/>
    </row>
    <row r="759" spans="1:26" ht="12.75" customHeight="1">
      <c r="A759" s="198"/>
      <c r="B759" s="198"/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  <c r="X759" s="198"/>
      <c r="Y759" s="198"/>
      <c r="Z759" s="198"/>
    </row>
    <row r="760" spans="1:26" ht="12.75" customHeight="1">
      <c r="A760" s="198"/>
      <c r="B760" s="198"/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  <c r="X760" s="198"/>
      <c r="Y760" s="198"/>
      <c r="Z760" s="198"/>
    </row>
    <row r="761" spans="1:26" ht="12.75" customHeight="1">
      <c r="A761" s="198"/>
      <c r="B761" s="198"/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  <c r="X761" s="198"/>
      <c r="Y761" s="198"/>
      <c r="Z761" s="198"/>
    </row>
    <row r="762" spans="1:26" ht="12.75" customHeight="1">
      <c r="A762" s="198"/>
      <c r="B762" s="198"/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  <c r="X762" s="198"/>
      <c r="Y762" s="198"/>
      <c r="Z762" s="198"/>
    </row>
    <row r="763" spans="1:26" ht="12.75" customHeight="1">
      <c r="A763" s="198"/>
      <c r="B763" s="198"/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  <c r="X763" s="198"/>
      <c r="Y763" s="198"/>
      <c r="Z763" s="198"/>
    </row>
    <row r="764" spans="1:26" ht="12.75" customHeight="1">
      <c r="A764" s="198"/>
      <c r="B764" s="198"/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  <c r="X764" s="198"/>
      <c r="Y764" s="198"/>
      <c r="Z764" s="198"/>
    </row>
    <row r="765" spans="1:26" ht="12.75" customHeight="1">
      <c r="A765" s="198"/>
      <c r="B765" s="198"/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  <c r="X765" s="198"/>
      <c r="Y765" s="198"/>
      <c r="Z765" s="198"/>
    </row>
    <row r="766" spans="1:26" ht="12.75" customHeight="1">
      <c r="A766" s="198"/>
      <c r="B766" s="198"/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  <c r="X766" s="198"/>
      <c r="Y766" s="198"/>
      <c r="Z766" s="198"/>
    </row>
    <row r="767" spans="1:26" ht="12.75" customHeight="1">
      <c r="A767" s="198"/>
      <c r="B767" s="198"/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  <c r="X767" s="198"/>
      <c r="Y767" s="198"/>
      <c r="Z767" s="198"/>
    </row>
    <row r="768" spans="1:26" ht="12.75" customHeight="1">
      <c r="A768" s="198"/>
      <c r="B768" s="198"/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  <c r="X768" s="198"/>
      <c r="Y768" s="198"/>
      <c r="Z768" s="198"/>
    </row>
    <row r="769" spans="1:26" ht="12.75" customHeight="1">
      <c r="A769" s="198"/>
      <c r="B769" s="198"/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  <c r="X769" s="198"/>
      <c r="Y769" s="198"/>
      <c r="Z769" s="198"/>
    </row>
    <row r="770" spans="1:26" ht="12.75" customHeight="1">
      <c r="A770" s="198"/>
      <c r="B770" s="198"/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  <c r="X770" s="198"/>
      <c r="Y770" s="198"/>
      <c r="Z770" s="198"/>
    </row>
    <row r="771" spans="1:26" ht="12.75" customHeight="1">
      <c r="A771" s="198"/>
      <c r="B771" s="198"/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  <c r="X771" s="198"/>
      <c r="Y771" s="198"/>
      <c r="Z771" s="198"/>
    </row>
    <row r="772" spans="1:26" ht="12.75" customHeight="1">
      <c r="A772" s="198"/>
      <c r="B772" s="198"/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  <c r="X772" s="198"/>
      <c r="Y772" s="198"/>
      <c r="Z772" s="198"/>
    </row>
    <row r="773" spans="1:26" ht="12.75" customHeight="1">
      <c r="A773" s="198"/>
      <c r="B773" s="198"/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  <c r="X773" s="198"/>
      <c r="Y773" s="198"/>
      <c r="Z773" s="198"/>
    </row>
    <row r="774" spans="1:26" ht="12.75" customHeight="1">
      <c r="A774" s="198"/>
      <c r="B774" s="198"/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  <c r="X774" s="198"/>
      <c r="Y774" s="198"/>
      <c r="Z774" s="198"/>
    </row>
    <row r="775" spans="1:26" ht="12.75" customHeight="1">
      <c r="A775" s="198"/>
      <c r="B775" s="198"/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  <c r="X775" s="198"/>
      <c r="Y775" s="198"/>
      <c r="Z775" s="198"/>
    </row>
    <row r="776" spans="1:26" ht="12.75" customHeight="1">
      <c r="A776" s="198"/>
      <c r="B776" s="198"/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  <c r="X776" s="198"/>
      <c r="Y776" s="198"/>
      <c r="Z776" s="198"/>
    </row>
    <row r="777" spans="1:26" ht="12.75" customHeight="1">
      <c r="A777" s="198"/>
      <c r="B777" s="198"/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  <c r="X777" s="198"/>
      <c r="Y777" s="198"/>
      <c r="Z777" s="198"/>
    </row>
    <row r="778" spans="1:26" ht="12.75" customHeight="1">
      <c r="A778" s="198"/>
      <c r="B778" s="198"/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  <c r="X778" s="198"/>
      <c r="Y778" s="198"/>
      <c r="Z778" s="198"/>
    </row>
    <row r="779" spans="1:26" ht="12.75" customHeight="1">
      <c r="A779" s="198"/>
      <c r="B779" s="198"/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  <c r="X779" s="198"/>
      <c r="Y779" s="198"/>
      <c r="Z779" s="198"/>
    </row>
    <row r="780" spans="1:26" ht="12.75" customHeight="1">
      <c r="A780" s="198"/>
      <c r="B780" s="198"/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  <c r="X780" s="198"/>
      <c r="Y780" s="198"/>
      <c r="Z780" s="198"/>
    </row>
    <row r="781" spans="1:26" ht="12.75" customHeight="1">
      <c r="A781" s="198"/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  <c r="Y781" s="198"/>
      <c r="Z781" s="198"/>
    </row>
    <row r="782" spans="1:26" ht="12.75" customHeight="1">
      <c r="A782" s="198"/>
      <c r="B782" s="198"/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  <c r="X782" s="198"/>
      <c r="Y782" s="198"/>
      <c r="Z782" s="198"/>
    </row>
    <row r="783" spans="1:26" ht="12.75" customHeight="1">
      <c r="A783" s="198"/>
      <c r="B783" s="198"/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  <c r="X783" s="198"/>
      <c r="Y783" s="198"/>
      <c r="Z783" s="198"/>
    </row>
    <row r="784" spans="1:26" ht="12.75" customHeight="1">
      <c r="A784" s="198"/>
      <c r="B784" s="198"/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  <c r="X784" s="198"/>
      <c r="Y784" s="198"/>
      <c r="Z784" s="198"/>
    </row>
    <row r="785" spans="1:26" ht="12.75" customHeight="1">
      <c r="A785" s="198"/>
      <c r="B785" s="198"/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  <c r="X785" s="198"/>
      <c r="Y785" s="198"/>
      <c r="Z785" s="198"/>
    </row>
    <row r="786" spans="1:26" ht="12.75" customHeight="1">
      <c r="A786" s="198"/>
      <c r="B786" s="198"/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  <c r="X786" s="198"/>
      <c r="Y786" s="198"/>
      <c r="Z786" s="198"/>
    </row>
    <row r="787" spans="1:26" ht="12.75" customHeight="1">
      <c r="A787" s="198"/>
      <c r="B787" s="198"/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  <c r="X787" s="198"/>
      <c r="Y787" s="198"/>
      <c r="Z787" s="198"/>
    </row>
    <row r="788" spans="1:26" ht="12.75" customHeight="1">
      <c r="A788" s="198"/>
      <c r="B788" s="198"/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  <c r="X788" s="198"/>
      <c r="Y788" s="198"/>
      <c r="Z788" s="198"/>
    </row>
    <row r="789" spans="1:26" ht="12.75" customHeight="1">
      <c r="A789" s="198"/>
      <c r="B789" s="198"/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  <c r="X789" s="198"/>
      <c r="Y789" s="198"/>
      <c r="Z789" s="198"/>
    </row>
    <row r="790" spans="1:26" ht="12.75" customHeight="1">
      <c r="A790" s="198"/>
      <c r="B790" s="198"/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  <c r="X790" s="198"/>
      <c r="Y790" s="198"/>
      <c r="Z790" s="198"/>
    </row>
    <row r="791" spans="1:26" ht="12.75" customHeight="1">
      <c r="A791" s="198"/>
      <c r="B791" s="198"/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  <c r="X791" s="198"/>
      <c r="Y791" s="198"/>
      <c r="Z791" s="198"/>
    </row>
    <row r="792" spans="1:26" ht="12.75" customHeight="1">
      <c r="A792" s="198"/>
      <c r="B792" s="198"/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  <c r="X792" s="198"/>
      <c r="Y792" s="198"/>
      <c r="Z792" s="198"/>
    </row>
    <row r="793" spans="1:26" ht="12.75" customHeight="1">
      <c r="A793" s="198"/>
      <c r="B793" s="198"/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  <c r="X793" s="198"/>
      <c r="Y793" s="198"/>
      <c r="Z793" s="198"/>
    </row>
    <row r="794" spans="1:26" ht="12.75" customHeight="1">
      <c r="A794" s="198"/>
      <c r="B794" s="198"/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  <c r="X794" s="198"/>
      <c r="Y794" s="198"/>
      <c r="Z794" s="198"/>
    </row>
    <row r="795" spans="1:26" ht="12.75" customHeight="1">
      <c r="A795" s="198"/>
      <c r="B795" s="198"/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  <c r="X795" s="198"/>
      <c r="Y795" s="198"/>
      <c r="Z795" s="198"/>
    </row>
    <row r="796" spans="1:26" ht="12.75" customHeight="1">
      <c r="A796" s="198"/>
      <c r="B796" s="198"/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</row>
    <row r="797" spans="1:26" ht="12.75" customHeight="1">
      <c r="A797" s="198"/>
      <c r="B797" s="198"/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</row>
    <row r="798" spans="1:26" ht="12.75" customHeight="1">
      <c r="A798" s="198"/>
      <c r="B798" s="198"/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  <c r="X798" s="198"/>
      <c r="Y798" s="198"/>
      <c r="Z798" s="198"/>
    </row>
    <row r="799" spans="1:26" ht="12.75" customHeight="1">
      <c r="A799" s="198"/>
      <c r="B799" s="198"/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  <c r="X799" s="198"/>
      <c r="Y799" s="198"/>
      <c r="Z799" s="198"/>
    </row>
    <row r="800" spans="1:26" ht="12.75" customHeight="1">
      <c r="A800" s="198"/>
      <c r="B800" s="198"/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  <c r="X800" s="198"/>
      <c r="Y800" s="198"/>
      <c r="Z800" s="198"/>
    </row>
    <row r="801" spans="1:26" ht="12.75" customHeight="1">
      <c r="A801" s="198"/>
      <c r="B801" s="198"/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  <c r="X801" s="198"/>
      <c r="Y801" s="198"/>
      <c r="Z801" s="198"/>
    </row>
    <row r="802" spans="1:26" ht="12.75" customHeight="1">
      <c r="A802" s="198"/>
      <c r="B802" s="198"/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  <c r="X802" s="198"/>
      <c r="Y802" s="198"/>
      <c r="Z802" s="198"/>
    </row>
    <row r="803" spans="1:26" ht="12.75" customHeight="1">
      <c r="A803" s="198"/>
      <c r="B803" s="198"/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  <c r="X803" s="198"/>
      <c r="Y803" s="198"/>
      <c r="Z803" s="198"/>
    </row>
    <row r="804" spans="1:26" ht="12.75" customHeight="1">
      <c r="A804" s="198"/>
      <c r="B804" s="198"/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  <c r="X804" s="198"/>
      <c r="Y804" s="198"/>
      <c r="Z804" s="198"/>
    </row>
    <row r="805" spans="1:26" ht="12.75" customHeight="1">
      <c r="A805" s="198"/>
      <c r="B805" s="198"/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  <c r="X805" s="198"/>
      <c r="Y805" s="198"/>
      <c r="Z805" s="198"/>
    </row>
    <row r="806" spans="1:26" ht="12.75" customHeight="1">
      <c r="A806" s="198"/>
      <c r="B806" s="198"/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  <c r="X806" s="198"/>
      <c r="Y806" s="198"/>
      <c r="Z806" s="198"/>
    </row>
    <row r="807" spans="1:26" ht="12.75" customHeight="1">
      <c r="A807" s="198"/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  <c r="X807" s="198"/>
      <c r="Y807" s="198"/>
      <c r="Z807" s="198"/>
    </row>
    <row r="808" spans="1:26" ht="12.75" customHeight="1">
      <c r="A808" s="198"/>
      <c r="B808" s="198"/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  <c r="X808" s="198"/>
      <c r="Y808" s="198"/>
      <c r="Z808" s="198"/>
    </row>
    <row r="809" spans="1:26" ht="12.75" customHeight="1">
      <c r="A809" s="198"/>
      <c r="B809" s="198"/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  <c r="X809" s="198"/>
      <c r="Y809" s="198"/>
      <c r="Z809" s="198"/>
    </row>
    <row r="810" spans="1:26" ht="12.75" customHeight="1">
      <c r="A810" s="198"/>
      <c r="B810" s="198"/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  <c r="X810" s="198"/>
      <c r="Y810" s="198"/>
      <c r="Z810" s="198"/>
    </row>
    <row r="811" spans="1:26" ht="12.75" customHeight="1">
      <c r="A811" s="198"/>
      <c r="B811" s="198"/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  <c r="X811" s="198"/>
      <c r="Y811" s="198"/>
      <c r="Z811" s="198"/>
    </row>
    <row r="812" spans="1:26" ht="12.75" customHeight="1">
      <c r="A812" s="198"/>
      <c r="B812" s="198"/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  <c r="X812" s="198"/>
      <c r="Y812" s="198"/>
      <c r="Z812" s="198"/>
    </row>
    <row r="813" spans="1:26" ht="12.75" customHeight="1">
      <c r="A813" s="198"/>
      <c r="B813" s="198"/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  <c r="X813" s="198"/>
      <c r="Y813" s="198"/>
      <c r="Z813" s="198"/>
    </row>
    <row r="814" spans="1:26" ht="12.75" customHeight="1">
      <c r="A814" s="198"/>
      <c r="B814" s="198"/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  <c r="X814" s="198"/>
      <c r="Y814" s="198"/>
      <c r="Z814" s="198"/>
    </row>
    <row r="815" spans="1:26" ht="12.75" customHeight="1">
      <c r="A815" s="198"/>
      <c r="B815" s="198"/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  <c r="X815" s="198"/>
      <c r="Y815" s="198"/>
      <c r="Z815" s="198"/>
    </row>
    <row r="816" spans="1:26" ht="12.75" customHeight="1">
      <c r="A816" s="198"/>
      <c r="B816" s="198"/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  <c r="X816" s="198"/>
      <c r="Y816" s="198"/>
      <c r="Z816" s="198"/>
    </row>
    <row r="817" spans="1:26" ht="12.75" customHeight="1">
      <c r="A817" s="198"/>
      <c r="B817" s="198"/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  <c r="X817" s="198"/>
      <c r="Y817" s="198"/>
      <c r="Z817" s="198"/>
    </row>
    <row r="818" spans="1:26" ht="12.75" customHeight="1">
      <c r="A818" s="198"/>
      <c r="B818" s="198"/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  <c r="X818" s="198"/>
      <c r="Y818" s="198"/>
      <c r="Z818" s="198"/>
    </row>
    <row r="819" spans="1:26" ht="12.75" customHeight="1">
      <c r="A819" s="198"/>
      <c r="B819" s="198"/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  <c r="X819" s="198"/>
      <c r="Y819" s="198"/>
      <c r="Z819" s="198"/>
    </row>
    <row r="820" spans="1:26" ht="12.75" customHeight="1">
      <c r="A820" s="198"/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  <c r="Y820" s="198"/>
      <c r="Z820" s="198"/>
    </row>
    <row r="821" spans="1:26" ht="12.75" customHeight="1">
      <c r="A821" s="198"/>
      <c r="B821" s="198"/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  <c r="X821" s="198"/>
      <c r="Y821" s="198"/>
      <c r="Z821" s="198"/>
    </row>
    <row r="822" spans="1:26" ht="12.75" customHeight="1">
      <c r="A822" s="198"/>
      <c r="B822" s="198"/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  <c r="X822" s="198"/>
      <c r="Y822" s="198"/>
      <c r="Z822" s="198"/>
    </row>
    <row r="823" spans="1:26" ht="12.75" customHeight="1">
      <c r="A823" s="198"/>
      <c r="B823" s="198"/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  <c r="X823" s="198"/>
      <c r="Y823" s="198"/>
      <c r="Z823" s="198"/>
    </row>
    <row r="824" spans="1:26" ht="12.75" customHeight="1">
      <c r="A824" s="198"/>
      <c r="B824" s="198"/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  <c r="X824" s="198"/>
      <c r="Y824" s="198"/>
      <c r="Z824" s="198"/>
    </row>
    <row r="825" spans="1:26" ht="12.75" customHeight="1">
      <c r="A825" s="198"/>
      <c r="B825" s="198"/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  <c r="X825" s="198"/>
      <c r="Y825" s="198"/>
      <c r="Z825" s="198"/>
    </row>
    <row r="826" spans="1:26" ht="12.75" customHeight="1">
      <c r="A826" s="198"/>
      <c r="B826" s="198"/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  <c r="X826" s="198"/>
      <c r="Y826" s="198"/>
      <c r="Z826" s="198"/>
    </row>
    <row r="827" spans="1:26" ht="12.75" customHeight="1">
      <c r="A827" s="198"/>
      <c r="B827" s="198"/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</row>
    <row r="828" spans="1:26" ht="12.75" customHeight="1">
      <c r="A828" s="198"/>
      <c r="B828" s="198"/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</row>
    <row r="829" spans="1:26" ht="12.75" customHeight="1">
      <c r="A829" s="198"/>
      <c r="B829" s="198"/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  <c r="X829" s="198"/>
      <c r="Y829" s="198"/>
      <c r="Z829" s="198"/>
    </row>
    <row r="830" spans="1:26" ht="12.75" customHeight="1">
      <c r="A830" s="198"/>
      <c r="B830" s="198"/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  <c r="X830" s="198"/>
      <c r="Y830" s="198"/>
      <c r="Z830" s="198"/>
    </row>
    <row r="831" spans="1:26" ht="12.75" customHeight="1">
      <c r="A831" s="198"/>
      <c r="B831" s="198"/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  <c r="X831" s="198"/>
      <c r="Y831" s="198"/>
      <c r="Z831" s="198"/>
    </row>
    <row r="832" spans="1:26" ht="12.75" customHeight="1">
      <c r="A832" s="198"/>
      <c r="B832" s="198"/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  <c r="X832" s="198"/>
      <c r="Y832" s="198"/>
      <c r="Z832" s="198"/>
    </row>
    <row r="833" spans="1:26" ht="12.75" customHeight="1">
      <c r="A833" s="198"/>
      <c r="B833" s="198"/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  <c r="X833" s="198"/>
      <c r="Y833" s="198"/>
      <c r="Z833" s="198"/>
    </row>
    <row r="834" spans="1:26" ht="12.75" customHeight="1">
      <c r="A834" s="198"/>
      <c r="B834" s="198"/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  <c r="X834" s="198"/>
      <c r="Y834" s="198"/>
      <c r="Z834" s="198"/>
    </row>
    <row r="835" spans="1:26" ht="12.75" customHeight="1">
      <c r="A835" s="198"/>
      <c r="B835" s="198"/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  <c r="X835" s="198"/>
      <c r="Y835" s="198"/>
      <c r="Z835" s="198"/>
    </row>
    <row r="836" spans="1:26" ht="12.75" customHeight="1">
      <c r="A836" s="198"/>
      <c r="B836" s="198"/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  <c r="X836" s="198"/>
      <c r="Y836" s="198"/>
      <c r="Z836" s="198"/>
    </row>
    <row r="837" spans="1:26" ht="12.75" customHeight="1">
      <c r="A837" s="198"/>
      <c r="B837" s="198"/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  <c r="X837" s="198"/>
      <c r="Y837" s="198"/>
      <c r="Z837" s="198"/>
    </row>
    <row r="838" spans="1:26" ht="12.75" customHeight="1">
      <c r="A838" s="198"/>
      <c r="B838" s="198"/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  <c r="X838" s="198"/>
      <c r="Y838" s="198"/>
      <c r="Z838" s="198"/>
    </row>
    <row r="839" spans="1:26" ht="12.75" customHeight="1">
      <c r="A839" s="198"/>
      <c r="B839" s="198"/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  <c r="X839" s="198"/>
      <c r="Y839" s="198"/>
      <c r="Z839" s="198"/>
    </row>
    <row r="840" spans="1:26" ht="12.75" customHeight="1">
      <c r="A840" s="198"/>
      <c r="B840" s="198"/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  <c r="X840" s="198"/>
      <c r="Y840" s="198"/>
      <c r="Z840" s="198"/>
    </row>
    <row r="841" spans="1:26" ht="12.75" customHeight="1">
      <c r="A841" s="198"/>
      <c r="B841" s="198"/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  <c r="X841" s="198"/>
      <c r="Y841" s="198"/>
      <c r="Z841" s="198"/>
    </row>
    <row r="842" spans="1:26" ht="12.75" customHeight="1">
      <c r="A842" s="198"/>
      <c r="B842" s="198"/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  <c r="X842" s="198"/>
      <c r="Y842" s="198"/>
      <c r="Z842" s="198"/>
    </row>
    <row r="843" spans="1:26" ht="12.75" customHeight="1">
      <c r="A843" s="198"/>
      <c r="B843" s="198"/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  <c r="X843" s="198"/>
      <c r="Y843" s="198"/>
      <c r="Z843" s="198"/>
    </row>
    <row r="844" spans="1:26" ht="12.75" customHeight="1">
      <c r="A844" s="198"/>
      <c r="B844" s="198"/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  <c r="X844" s="198"/>
      <c r="Y844" s="198"/>
      <c r="Z844" s="198"/>
    </row>
    <row r="845" spans="1:26" ht="12.75" customHeight="1">
      <c r="A845" s="198"/>
      <c r="B845" s="198"/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  <c r="X845" s="198"/>
      <c r="Y845" s="198"/>
      <c r="Z845" s="198"/>
    </row>
    <row r="846" spans="1:26" ht="12.75" customHeight="1">
      <c r="A846" s="198"/>
      <c r="B846" s="198"/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  <c r="X846" s="198"/>
      <c r="Y846" s="198"/>
      <c r="Z846" s="198"/>
    </row>
    <row r="847" spans="1:26" ht="12.75" customHeight="1">
      <c r="A847" s="198"/>
      <c r="B847" s="198"/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  <c r="X847" s="198"/>
      <c r="Y847" s="198"/>
      <c r="Z847" s="198"/>
    </row>
    <row r="848" spans="1:26" ht="12.75" customHeight="1">
      <c r="A848" s="198"/>
      <c r="B848" s="198"/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  <c r="X848" s="198"/>
      <c r="Y848" s="198"/>
      <c r="Z848" s="198"/>
    </row>
    <row r="849" spans="1:26" ht="12.75" customHeight="1">
      <c r="A849" s="198"/>
      <c r="B849" s="198"/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  <c r="X849" s="198"/>
      <c r="Y849" s="198"/>
      <c r="Z849" s="198"/>
    </row>
    <row r="850" spans="1:26" ht="12.75" customHeight="1">
      <c r="A850" s="198"/>
      <c r="B850" s="198"/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  <c r="X850" s="198"/>
      <c r="Y850" s="198"/>
      <c r="Z850" s="198"/>
    </row>
    <row r="851" spans="1:26" ht="12.75" customHeight="1">
      <c r="A851" s="198"/>
      <c r="B851" s="198"/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  <c r="X851" s="198"/>
      <c r="Y851" s="198"/>
      <c r="Z851" s="198"/>
    </row>
    <row r="852" spans="1:26" ht="12.75" customHeight="1">
      <c r="A852" s="198"/>
      <c r="B852" s="198"/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  <c r="X852" s="198"/>
      <c r="Y852" s="198"/>
      <c r="Z852" s="198"/>
    </row>
    <row r="853" spans="1:26" ht="12.75" customHeight="1">
      <c r="A853" s="198"/>
      <c r="B853" s="198"/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  <c r="X853" s="198"/>
      <c r="Y853" s="198"/>
      <c r="Z853" s="198"/>
    </row>
    <row r="854" spans="1:26" ht="12.75" customHeight="1">
      <c r="A854" s="198"/>
      <c r="B854" s="198"/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  <c r="X854" s="198"/>
      <c r="Y854" s="198"/>
      <c r="Z854" s="198"/>
    </row>
    <row r="855" spans="1:26" ht="12.75" customHeight="1">
      <c r="A855" s="198"/>
      <c r="B855" s="198"/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  <c r="X855" s="198"/>
      <c r="Y855" s="198"/>
      <c r="Z855" s="198"/>
    </row>
    <row r="856" spans="1:26" ht="12.75" customHeight="1">
      <c r="A856" s="198"/>
      <c r="B856" s="198"/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  <c r="X856" s="198"/>
      <c r="Y856" s="198"/>
      <c r="Z856" s="198"/>
    </row>
    <row r="857" spans="1:26" ht="12.75" customHeight="1">
      <c r="A857" s="198"/>
      <c r="B857" s="198"/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</row>
    <row r="858" spans="1:26" ht="12.75" customHeight="1">
      <c r="A858" s="198"/>
      <c r="B858" s="198"/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</row>
    <row r="859" spans="1:26" ht="12.75" customHeight="1">
      <c r="A859" s="198"/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  <c r="Y859" s="198"/>
      <c r="Z859" s="198"/>
    </row>
    <row r="860" spans="1:26" ht="12.75" customHeight="1">
      <c r="A860" s="198"/>
      <c r="B860" s="198"/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  <c r="X860" s="198"/>
      <c r="Y860" s="198"/>
      <c r="Z860" s="198"/>
    </row>
    <row r="861" spans="1:26" ht="12.75" customHeight="1">
      <c r="A861" s="198"/>
      <c r="B861" s="198"/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  <c r="X861" s="198"/>
      <c r="Y861" s="198"/>
      <c r="Z861" s="198"/>
    </row>
    <row r="862" spans="1:26" ht="12.75" customHeight="1">
      <c r="A862" s="198"/>
      <c r="B862" s="198"/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  <c r="X862" s="198"/>
      <c r="Y862" s="198"/>
      <c r="Z862" s="198"/>
    </row>
    <row r="863" spans="1:26" ht="12.75" customHeight="1">
      <c r="A863" s="198"/>
      <c r="B863" s="198"/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  <c r="X863" s="198"/>
      <c r="Y863" s="198"/>
      <c r="Z863" s="198"/>
    </row>
    <row r="864" spans="1:26" ht="12.75" customHeight="1">
      <c r="A864" s="198"/>
      <c r="B864" s="198"/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  <c r="X864" s="198"/>
      <c r="Y864" s="198"/>
      <c r="Z864" s="198"/>
    </row>
    <row r="865" spans="1:26" ht="12.75" customHeight="1">
      <c r="A865" s="198"/>
      <c r="B865" s="198"/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  <c r="X865" s="198"/>
      <c r="Y865" s="198"/>
      <c r="Z865" s="198"/>
    </row>
    <row r="866" spans="1:26" ht="12.75" customHeight="1">
      <c r="A866" s="198"/>
      <c r="B866" s="198"/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  <c r="X866" s="198"/>
      <c r="Y866" s="198"/>
      <c r="Z866" s="198"/>
    </row>
    <row r="867" spans="1:26" ht="12.75" customHeight="1">
      <c r="A867" s="198"/>
      <c r="B867" s="198"/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  <c r="X867" s="198"/>
      <c r="Y867" s="198"/>
      <c r="Z867" s="198"/>
    </row>
    <row r="868" spans="1:26" ht="12.75" customHeight="1">
      <c r="A868" s="198"/>
      <c r="B868" s="198"/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  <c r="X868" s="198"/>
      <c r="Y868" s="198"/>
      <c r="Z868" s="198"/>
    </row>
    <row r="869" spans="1:26" ht="12.75" customHeight="1">
      <c r="A869" s="198"/>
      <c r="B869" s="198"/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  <c r="X869" s="198"/>
      <c r="Y869" s="198"/>
      <c r="Z869" s="198"/>
    </row>
    <row r="870" spans="1:26" ht="12.75" customHeight="1">
      <c r="A870" s="198"/>
      <c r="B870" s="198"/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  <c r="X870" s="198"/>
      <c r="Y870" s="198"/>
      <c r="Z870" s="198"/>
    </row>
    <row r="871" spans="1:26" ht="12.75" customHeight="1">
      <c r="A871" s="198"/>
      <c r="B871" s="198"/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  <c r="X871" s="198"/>
      <c r="Y871" s="198"/>
      <c r="Z871" s="198"/>
    </row>
    <row r="872" spans="1:26" ht="12.75" customHeight="1">
      <c r="A872" s="198"/>
      <c r="B872" s="198"/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  <c r="X872" s="198"/>
      <c r="Y872" s="198"/>
      <c r="Z872" s="198"/>
    </row>
    <row r="873" spans="1:26" ht="12.75" customHeight="1">
      <c r="A873" s="198"/>
      <c r="B873" s="198"/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  <c r="X873" s="198"/>
      <c r="Y873" s="198"/>
      <c r="Z873" s="198"/>
    </row>
    <row r="874" spans="1:26" ht="12.75" customHeight="1">
      <c r="A874" s="198"/>
      <c r="B874" s="198"/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  <c r="X874" s="198"/>
      <c r="Y874" s="198"/>
      <c r="Z874" s="198"/>
    </row>
    <row r="875" spans="1:26" ht="12.75" customHeight="1">
      <c r="A875" s="198"/>
      <c r="B875" s="198"/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  <c r="X875" s="198"/>
      <c r="Y875" s="198"/>
      <c r="Z875" s="198"/>
    </row>
    <row r="876" spans="1:26" ht="12.75" customHeight="1">
      <c r="A876" s="198"/>
      <c r="B876" s="198"/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  <c r="X876" s="198"/>
      <c r="Y876" s="198"/>
      <c r="Z876" s="198"/>
    </row>
    <row r="877" spans="1:26" ht="12.75" customHeight="1">
      <c r="A877" s="198"/>
      <c r="B877" s="198"/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  <c r="X877" s="198"/>
      <c r="Y877" s="198"/>
      <c r="Z877" s="198"/>
    </row>
    <row r="878" spans="1:26" ht="12.75" customHeight="1">
      <c r="A878" s="198"/>
      <c r="B878" s="198"/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  <c r="X878" s="198"/>
      <c r="Y878" s="198"/>
      <c r="Z878" s="198"/>
    </row>
    <row r="879" spans="1:26" ht="12.75" customHeight="1">
      <c r="A879" s="198"/>
      <c r="B879" s="198"/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  <c r="X879" s="198"/>
      <c r="Y879" s="198"/>
      <c r="Z879" s="198"/>
    </row>
    <row r="880" spans="1:26" ht="12.75" customHeight="1">
      <c r="A880" s="198"/>
      <c r="B880" s="198"/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  <c r="X880" s="198"/>
      <c r="Y880" s="198"/>
      <c r="Z880" s="198"/>
    </row>
    <row r="881" spans="1:26" ht="12.75" customHeight="1">
      <c r="A881" s="198"/>
      <c r="B881" s="198"/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  <c r="X881" s="198"/>
      <c r="Y881" s="198"/>
      <c r="Z881" s="198"/>
    </row>
    <row r="882" spans="1:26" ht="12.75" customHeight="1">
      <c r="A882" s="198"/>
      <c r="B882" s="198"/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  <c r="X882" s="198"/>
      <c r="Y882" s="198"/>
      <c r="Z882" s="198"/>
    </row>
    <row r="883" spans="1:26" ht="12.75" customHeight="1">
      <c r="A883" s="198"/>
      <c r="B883" s="198"/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  <c r="X883" s="198"/>
      <c r="Y883" s="198"/>
      <c r="Z883" s="198"/>
    </row>
    <row r="884" spans="1:26" ht="12.75" customHeight="1">
      <c r="A884" s="198"/>
      <c r="B884" s="198"/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  <c r="X884" s="198"/>
      <c r="Y884" s="198"/>
      <c r="Z884" s="198"/>
    </row>
    <row r="885" spans="1:26" ht="12.75" customHeight="1">
      <c r="A885" s="198"/>
      <c r="B885" s="198"/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  <c r="X885" s="198"/>
      <c r="Y885" s="198"/>
      <c r="Z885" s="198"/>
    </row>
    <row r="886" spans="1:26" ht="12.75" customHeight="1">
      <c r="A886" s="198"/>
      <c r="B886" s="198"/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  <c r="X886" s="198"/>
      <c r="Y886" s="198"/>
      <c r="Z886" s="198"/>
    </row>
    <row r="887" spans="1:26" ht="12.75" customHeight="1">
      <c r="A887" s="198"/>
      <c r="B887" s="198"/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  <c r="X887" s="198"/>
      <c r="Y887" s="198"/>
      <c r="Z887" s="198"/>
    </row>
    <row r="888" spans="1:26" ht="12.75" customHeight="1">
      <c r="A888" s="198"/>
      <c r="B888" s="198"/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  <c r="X888" s="198"/>
      <c r="Y888" s="198"/>
      <c r="Z888" s="198"/>
    </row>
    <row r="889" spans="1:26" ht="12.75" customHeight="1">
      <c r="A889" s="198"/>
      <c r="B889" s="198"/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  <c r="X889" s="198"/>
      <c r="Y889" s="198"/>
      <c r="Z889" s="198"/>
    </row>
    <row r="890" spans="1:26" ht="12.75" customHeight="1">
      <c r="A890" s="198"/>
      <c r="B890" s="198"/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  <c r="X890" s="198"/>
      <c r="Y890" s="198"/>
      <c r="Z890" s="198"/>
    </row>
    <row r="891" spans="1:26" ht="12.75" customHeight="1">
      <c r="A891" s="198"/>
      <c r="B891" s="198"/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  <c r="X891" s="198"/>
      <c r="Y891" s="198"/>
      <c r="Z891" s="198"/>
    </row>
    <row r="892" spans="1:26" ht="12.75" customHeight="1">
      <c r="A892" s="198"/>
      <c r="B892" s="198"/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  <c r="X892" s="198"/>
      <c r="Y892" s="198"/>
      <c r="Z892" s="198"/>
    </row>
    <row r="893" spans="1:26" ht="12.75" customHeight="1">
      <c r="A893" s="198"/>
      <c r="B893" s="198"/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</row>
    <row r="894" spans="1:26" ht="12.75" customHeight="1">
      <c r="A894" s="198"/>
      <c r="B894" s="198"/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</row>
    <row r="895" spans="1:26" ht="12.75" customHeight="1">
      <c r="A895" s="198"/>
      <c r="B895" s="198"/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  <c r="X895" s="198"/>
      <c r="Y895" s="198"/>
      <c r="Z895" s="198"/>
    </row>
    <row r="896" spans="1:26" ht="12.75" customHeight="1">
      <c r="A896" s="198"/>
      <c r="B896" s="198"/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  <c r="X896" s="198"/>
      <c r="Y896" s="198"/>
      <c r="Z896" s="198"/>
    </row>
    <row r="897" spans="1:26" ht="12.75" customHeight="1">
      <c r="A897" s="198"/>
      <c r="B897" s="198"/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  <c r="X897" s="198"/>
      <c r="Y897" s="198"/>
      <c r="Z897" s="198"/>
    </row>
    <row r="898" spans="1:26" ht="12.75" customHeight="1">
      <c r="A898" s="198"/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  <c r="Y898" s="198"/>
      <c r="Z898" s="198"/>
    </row>
    <row r="899" spans="1:26" ht="12.75" customHeight="1">
      <c r="A899" s="198"/>
      <c r="B899" s="198"/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  <c r="X899" s="198"/>
      <c r="Y899" s="198"/>
      <c r="Z899" s="198"/>
    </row>
    <row r="900" spans="1:26" ht="12.75" customHeight="1">
      <c r="A900" s="198"/>
      <c r="B900" s="198"/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  <c r="X900" s="198"/>
      <c r="Y900" s="198"/>
      <c r="Z900" s="198"/>
    </row>
    <row r="901" spans="1:26" ht="12.75" customHeight="1">
      <c r="A901" s="198"/>
      <c r="B901" s="198"/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  <c r="X901" s="198"/>
      <c r="Y901" s="198"/>
      <c r="Z901" s="198"/>
    </row>
    <row r="902" spans="1:26" ht="12.75" customHeight="1">
      <c r="A902" s="198"/>
      <c r="B902" s="198"/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  <c r="X902" s="198"/>
      <c r="Y902" s="198"/>
      <c r="Z902" s="198"/>
    </row>
    <row r="903" spans="1:26" ht="12.75" customHeight="1">
      <c r="A903" s="198"/>
      <c r="B903" s="198"/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  <c r="X903" s="198"/>
      <c r="Y903" s="198"/>
      <c r="Z903" s="198"/>
    </row>
    <row r="904" spans="1:26" ht="12.75" customHeight="1">
      <c r="A904" s="198"/>
      <c r="B904" s="198"/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  <c r="X904" s="198"/>
      <c r="Y904" s="198"/>
      <c r="Z904" s="198"/>
    </row>
    <row r="905" spans="1:26" ht="12.75" customHeight="1">
      <c r="A905" s="198"/>
      <c r="B905" s="198"/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  <c r="X905" s="198"/>
      <c r="Y905" s="198"/>
      <c r="Z905" s="198"/>
    </row>
    <row r="906" spans="1:26" ht="12.75" customHeight="1">
      <c r="A906" s="198"/>
      <c r="B906" s="198"/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  <c r="X906" s="198"/>
      <c r="Y906" s="198"/>
      <c r="Z906" s="198"/>
    </row>
    <row r="907" spans="1:26" ht="12.75" customHeight="1">
      <c r="A907" s="198"/>
      <c r="B907" s="198"/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  <c r="X907" s="198"/>
      <c r="Y907" s="198"/>
      <c r="Z907" s="198"/>
    </row>
    <row r="908" spans="1:26" ht="12.75" customHeight="1">
      <c r="A908" s="198"/>
      <c r="B908" s="198"/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  <c r="X908" s="198"/>
      <c r="Y908" s="198"/>
      <c r="Z908" s="198"/>
    </row>
    <row r="909" spans="1:26" ht="12.75" customHeight="1">
      <c r="A909" s="198"/>
      <c r="B909" s="198"/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  <c r="X909" s="198"/>
      <c r="Y909" s="198"/>
      <c r="Z909" s="198"/>
    </row>
    <row r="910" spans="1:26" ht="12.75" customHeight="1">
      <c r="A910" s="198"/>
      <c r="B910" s="198"/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  <c r="X910" s="198"/>
      <c r="Y910" s="198"/>
      <c r="Z910" s="198"/>
    </row>
    <row r="911" spans="1:26" ht="12.75" customHeight="1">
      <c r="A911" s="198"/>
      <c r="B911" s="198"/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  <c r="X911" s="198"/>
      <c r="Y911" s="198"/>
      <c r="Z911" s="198"/>
    </row>
    <row r="912" spans="1:26" ht="12.75" customHeight="1">
      <c r="A912" s="198"/>
      <c r="B912" s="198"/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  <c r="X912" s="198"/>
      <c r="Y912" s="198"/>
      <c r="Z912" s="198"/>
    </row>
    <row r="913" spans="1:26" ht="12.75" customHeight="1">
      <c r="A913" s="198"/>
      <c r="B913" s="198"/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  <c r="X913" s="198"/>
      <c r="Y913" s="198"/>
      <c r="Z913" s="198"/>
    </row>
    <row r="914" spans="1:26" ht="12.75" customHeight="1">
      <c r="A914" s="198"/>
      <c r="B914" s="198"/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  <c r="X914" s="198"/>
      <c r="Y914" s="198"/>
      <c r="Z914" s="198"/>
    </row>
    <row r="915" spans="1:26" ht="12.75" customHeight="1">
      <c r="A915" s="198"/>
      <c r="B915" s="198"/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  <c r="X915" s="198"/>
      <c r="Y915" s="198"/>
      <c r="Z915" s="198"/>
    </row>
    <row r="916" spans="1:26" ht="12.75" customHeight="1">
      <c r="A916" s="198"/>
      <c r="B916" s="198"/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  <c r="X916" s="198"/>
      <c r="Y916" s="198"/>
      <c r="Z916" s="198"/>
    </row>
    <row r="917" spans="1:26" ht="12.75" customHeight="1">
      <c r="A917" s="198"/>
      <c r="B917" s="198"/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  <c r="X917" s="198"/>
      <c r="Y917" s="198"/>
      <c r="Z917" s="198"/>
    </row>
    <row r="918" spans="1:26" ht="12.75" customHeight="1">
      <c r="A918" s="198"/>
      <c r="B918" s="198"/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  <c r="X918" s="198"/>
      <c r="Y918" s="198"/>
      <c r="Z918" s="198"/>
    </row>
    <row r="919" spans="1:26" ht="12.75" customHeight="1">
      <c r="A919" s="198"/>
      <c r="B919" s="198"/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  <c r="X919" s="198"/>
      <c r="Y919" s="198"/>
      <c r="Z919" s="198"/>
    </row>
    <row r="920" spans="1:26" ht="12.75" customHeight="1">
      <c r="A920" s="198"/>
      <c r="B920" s="198"/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  <c r="X920" s="198"/>
      <c r="Y920" s="198"/>
      <c r="Z920" s="198"/>
    </row>
    <row r="921" spans="1:26" ht="12.75" customHeight="1">
      <c r="A921" s="198"/>
      <c r="B921" s="198"/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  <c r="X921" s="198"/>
      <c r="Y921" s="198"/>
      <c r="Z921" s="198"/>
    </row>
    <row r="922" spans="1:26" ht="12.75" customHeight="1">
      <c r="A922" s="198"/>
      <c r="B922" s="198"/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  <c r="X922" s="198"/>
      <c r="Y922" s="198"/>
      <c r="Z922" s="198"/>
    </row>
    <row r="923" spans="1:26" ht="12.75" customHeight="1">
      <c r="A923" s="198"/>
      <c r="B923" s="198"/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  <c r="X923" s="198"/>
      <c r="Y923" s="198"/>
      <c r="Z923" s="198"/>
    </row>
    <row r="924" spans="1:26" ht="12.75" customHeight="1">
      <c r="A924" s="198"/>
      <c r="B924" s="198"/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  <c r="X924" s="198"/>
      <c r="Y924" s="198"/>
      <c r="Z924" s="198"/>
    </row>
    <row r="925" spans="1:26" ht="12.75" customHeight="1">
      <c r="A925" s="198"/>
      <c r="B925" s="198"/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  <c r="X925" s="198"/>
      <c r="Y925" s="198"/>
      <c r="Z925" s="198"/>
    </row>
    <row r="926" spans="1:26" ht="12.75" customHeight="1">
      <c r="A926" s="198"/>
      <c r="B926" s="198"/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  <c r="X926" s="198"/>
      <c r="Y926" s="198"/>
      <c r="Z926" s="198"/>
    </row>
    <row r="927" spans="1:26" ht="12.75" customHeight="1">
      <c r="A927" s="198"/>
      <c r="B927" s="198"/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  <c r="X927" s="198"/>
      <c r="Y927" s="198"/>
      <c r="Z927" s="198"/>
    </row>
    <row r="928" spans="1:26" ht="12.75" customHeight="1">
      <c r="A928" s="198"/>
      <c r="B928" s="198"/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  <c r="X928" s="198"/>
      <c r="Y928" s="198"/>
      <c r="Z928" s="198"/>
    </row>
    <row r="929" spans="1:26" ht="12.75" customHeight="1">
      <c r="A929" s="198"/>
      <c r="B929" s="198"/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  <c r="X929" s="198"/>
      <c r="Y929" s="198"/>
      <c r="Z929" s="198"/>
    </row>
    <row r="930" spans="1:26" ht="12.75" customHeight="1">
      <c r="A930" s="198"/>
      <c r="B930" s="198"/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  <c r="X930" s="198"/>
      <c r="Y930" s="198"/>
      <c r="Z930" s="198"/>
    </row>
    <row r="931" spans="1:26" ht="12.75" customHeight="1">
      <c r="A931" s="198"/>
      <c r="B931" s="198"/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  <c r="X931" s="198"/>
      <c r="Y931" s="198"/>
      <c r="Z931" s="198"/>
    </row>
    <row r="932" spans="1:26" ht="12.75" customHeight="1">
      <c r="A932" s="198"/>
      <c r="B932" s="198"/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  <c r="X932" s="198"/>
      <c r="Y932" s="198"/>
      <c r="Z932" s="198"/>
    </row>
    <row r="933" spans="1:26" ht="12.75" customHeight="1">
      <c r="A933" s="198"/>
      <c r="B933" s="198"/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  <c r="X933" s="198"/>
      <c r="Y933" s="198"/>
      <c r="Z933" s="198"/>
    </row>
    <row r="934" spans="1:26" ht="12.75" customHeight="1">
      <c r="A934" s="198"/>
      <c r="B934" s="198"/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  <c r="X934" s="198"/>
      <c r="Y934" s="198"/>
      <c r="Z934" s="198"/>
    </row>
    <row r="935" spans="1:26" ht="12.75" customHeight="1">
      <c r="A935" s="198"/>
      <c r="B935" s="198"/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  <c r="X935" s="198"/>
      <c r="Y935" s="198"/>
      <c r="Z935" s="198"/>
    </row>
    <row r="936" spans="1:26" ht="12.75" customHeight="1">
      <c r="A936" s="198"/>
      <c r="B936" s="198"/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  <c r="X936" s="198"/>
      <c r="Y936" s="198"/>
      <c r="Z936" s="198"/>
    </row>
    <row r="937" spans="1:26" ht="12.75" customHeight="1">
      <c r="A937" s="198"/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  <c r="Y937" s="198"/>
      <c r="Z937" s="198"/>
    </row>
    <row r="938" spans="1:26" ht="12.75" customHeight="1">
      <c r="A938" s="198"/>
      <c r="B938" s="198"/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  <c r="X938" s="198"/>
      <c r="Y938" s="198"/>
      <c r="Z938" s="198"/>
    </row>
    <row r="939" spans="1:26" ht="12.75" customHeight="1">
      <c r="A939" s="198"/>
      <c r="B939" s="198"/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  <c r="X939" s="198"/>
      <c r="Y939" s="198"/>
      <c r="Z939" s="198"/>
    </row>
    <row r="940" spans="1:26" ht="12.75" customHeight="1">
      <c r="A940" s="198"/>
      <c r="B940" s="198"/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  <c r="X940" s="198"/>
      <c r="Y940" s="198"/>
      <c r="Z940" s="198"/>
    </row>
    <row r="941" spans="1:26" ht="12.75" customHeight="1">
      <c r="A941" s="198"/>
      <c r="B941" s="198"/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  <c r="X941" s="198"/>
      <c r="Y941" s="198"/>
      <c r="Z941" s="198"/>
    </row>
    <row r="942" spans="1:26" ht="12.75" customHeight="1">
      <c r="A942" s="198"/>
      <c r="B942" s="198"/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  <c r="X942" s="198"/>
      <c r="Y942" s="198"/>
      <c r="Z942" s="198"/>
    </row>
    <row r="943" spans="1:26" ht="12.75" customHeight="1">
      <c r="A943" s="198"/>
      <c r="B943" s="198"/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  <c r="X943" s="198"/>
      <c r="Y943" s="198"/>
      <c r="Z943" s="198"/>
    </row>
    <row r="944" spans="1:26" ht="12.75" customHeight="1">
      <c r="A944" s="198"/>
      <c r="B944" s="198"/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  <c r="X944" s="198"/>
      <c r="Y944" s="198"/>
      <c r="Z944" s="198"/>
    </row>
    <row r="945" spans="1:26" ht="12.75" customHeight="1">
      <c r="A945" s="198"/>
      <c r="B945" s="198"/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  <c r="X945" s="198"/>
      <c r="Y945" s="198"/>
      <c r="Z945" s="198"/>
    </row>
    <row r="946" spans="1:26" ht="12.75" customHeight="1">
      <c r="A946" s="198"/>
      <c r="B946" s="198"/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  <c r="X946" s="198"/>
      <c r="Y946" s="198"/>
      <c r="Z946" s="198"/>
    </row>
    <row r="947" spans="1:26" ht="12.75" customHeight="1">
      <c r="A947" s="198"/>
      <c r="B947" s="198"/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  <c r="X947" s="198"/>
      <c r="Y947" s="198"/>
      <c r="Z947" s="198"/>
    </row>
    <row r="948" spans="1:26" ht="12.75" customHeight="1">
      <c r="A948" s="198"/>
      <c r="B948" s="198"/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  <c r="X948" s="198"/>
      <c r="Y948" s="198"/>
      <c r="Z948" s="198"/>
    </row>
    <row r="949" spans="1:26" ht="12.75" customHeight="1">
      <c r="A949" s="198"/>
      <c r="B949" s="198"/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  <c r="X949" s="198"/>
      <c r="Y949" s="198"/>
      <c r="Z949" s="198"/>
    </row>
    <row r="950" spans="1:26" ht="12.75" customHeight="1">
      <c r="A950" s="198"/>
      <c r="B950" s="198"/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  <c r="X950" s="198"/>
      <c r="Y950" s="198"/>
      <c r="Z950" s="198"/>
    </row>
    <row r="951" spans="1:26" ht="12.75" customHeight="1">
      <c r="A951" s="198"/>
      <c r="B951" s="198"/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  <c r="X951" s="198"/>
      <c r="Y951" s="198"/>
      <c r="Z951" s="198"/>
    </row>
    <row r="952" spans="1:26" ht="12.75" customHeight="1">
      <c r="A952" s="198"/>
      <c r="B952" s="198"/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  <c r="X952" s="198"/>
      <c r="Y952" s="198"/>
      <c r="Z952" s="198"/>
    </row>
    <row r="953" spans="1:26" ht="12.75" customHeight="1">
      <c r="A953" s="198"/>
      <c r="B953" s="198"/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  <c r="X953" s="198"/>
      <c r="Y953" s="198"/>
      <c r="Z953" s="198"/>
    </row>
    <row r="954" spans="1:26" ht="12.75" customHeight="1">
      <c r="A954" s="198"/>
      <c r="B954" s="198"/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  <c r="X954" s="198"/>
      <c r="Y954" s="198"/>
      <c r="Z954" s="198"/>
    </row>
    <row r="955" spans="1:26" ht="12.75" customHeight="1">
      <c r="A955" s="198"/>
      <c r="B955" s="198"/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  <c r="X955" s="198"/>
      <c r="Y955" s="198"/>
      <c r="Z955" s="198"/>
    </row>
    <row r="956" spans="1:26" ht="12.75" customHeight="1">
      <c r="A956" s="198"/>
      <c r="B956" s="198"/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  <c r="X956" s="198"/>
      <c r="Y956" s="198"/>
      <c r="Z956" s="198"/>
    </row>
    <row r="957" spans="1:26" ht="12.75" customHeight="1">
      <c r="A957" s="198"/>
      <c r="B957" s="198"/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  <c r="X957" s="198"/>
      <c r="Y957" s="198"/>
      <c r="Z957" s="198"/>
    </row>
    <row r="958" spans="1:26" ht="12.75" customHeight="1">
      <c r="A958" s="198"/>
      <c r="B958" s="198"/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  <c r="X958" s="198"/>
      <c r="Y958" s="198"/>
      <c r="Z958" s="198"/>
    </row>
    <row r="959" spans="1:26" ht="12.75" customHeight="1">
      <c r="A959" s="198"/>
      <c r="B959" s="198"/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  <c r="X959" s="198"/>
      <c r="Y959" s="198"/>
      <c r="Z959" s="198"/>
    </row>
    <row r="960" spans="1:26" ht="12.75" customHeight="1">
      <c r="A960" s="198"/>
      <c r="B960" s="198"/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  <c r="X960" s="198"/>
      <c r="Y960" s="198"/>
      <c r="Z960" s="198"/>
    </row>
    <row r="961" spans="1:26" ht="12.75" customHeight="1">
      <c r="A961" s="198"/>
      <c r="B961" s="198"/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  <c r="X961" s="198"/>
      <c r="Y961" s="198"/>
      <c r="Z961" s="198"/>
    </row>
    <row r="962" spans="1:26" ht="12.75" customHeight="1">
      <c r="A962" s="198"/>
      <c r="B962" s="198"/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  <c r="X962" s="198"/>
      <c r="Y962" s="198"/>
      <c r="Z962" s="198"/>
    </row>
    <row r="963" spans="1:26" ht="12.75" customHeight="1">
      <c r="A963" s="198"/>
      <c r="B963" s="198"/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  <c r="X963" s="198"/>
      <c r="Y963" s="198"/>
      <c r="Z963" s="198"/>
    </row>
    <row r="964" spans="1:26" ht="12.75" customHeight="1">
      <c r="A964" s="198"/>
      <c r="B964" s="198"/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  <c r="X964" s="198"/>
      <c r="Y964" s="198"/>
      <c r="Z964" s="198"/>
    </row>
    <row r="965" spans="1:26" ht="12.75" customHeight="1">
      <c r="A965" s="198"/>
      <c r="B965" s="198"/>
      <c r="C965" s="198"/>
      <c r="D965" s="198"/>
      <c r="E965" s="198"/>
      <c r="F965" s="198"/>
      <c r="G965" s="198"/>
      <c r="H965" s="198"/>
      <c r="I965" s="198"/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  <c r="T965" s="198"/>
      <c r="U965" s="198"/>
      <c r="V965" s="198"/>
      <c r="W965" s="198"/>
      <c r="X965" s="198"/>
      <c r="Y965" s="198"/>
      <c r="Z965" s="198"/>
    </row>
    <row r="966" spans="1:26" ht="12.75" customHeight="1">
      <c r="A966" s="198"/>
      <c r="B966" s="198"/>
      <c r="C966" s="198"/>
      <c r="D966" s="198"/>
      <c r="E966" s="198"/>
      <c r="F966" s="198"/>
      <c r="G966" s="198"/>
      <c r="H966" s="198"/>
      <c r="I966" s="198"/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  <c r="T966" s="198"/>
      <c r="U966" s="198"/>
      <c r="V966" s="198"/>
      <c r="W966" s="198"/>
      <c r="X966" s="198"/>
      <c r="Y966" s="198"/>
      <c r="Z966" s="198"/>
    </row>
    <row r="967" spans="1:26" ht="12.75" customHeight="1">
      <c r="A967" s="198"/>
      <c r="B967" s="198"/>
      <c r="C967" s="198"/>
      <c r="D967" s="198"/>
      <c r="E967" s="198"/>
      <c r="F967" s="198"/>
      <c r="G967" s="198"/>
      <c r="H967" s="198"/>
      <c r="I967" s="19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  <c r="T967" s="198"/>
      <c r="U967" s="198"/>
      <c r="V967" s="198"/>
      <c r="W967" s="198"/>
      <c r="X967" s="198"/>
      <c r="Y967" s="198"/>
      <c r="Z967" s="198"/>
    </row>
    <row r="968" spans="1:26" ht="12.75" customHeight="1">
      <c r="A968" s="198"/>
      <c r="B968" s="198"/>
      <c r="C968" s="198"/>
      <c r="D968" s="198"/>
      <c r="E968" s="198"/>
      <c r="F968" s="198"/>
      <c r="G968" s="198"/>
      <c r="H968" s="198"/>
      <c r="I968" s="198"/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  <c r="T968" s="198"/>
      <c r="U968" s="198"/>
      <c r="V968" s="198"/>
      <c r="W968" s="198"/>
      <c r="X968" s="198"/>
      <c r="Y968" s="198"/>
      <c r="Z968" s="198"/>
    </row>
    <row r="969" spans="1:26" ht="12.75" customHeight="1">
      <c r="A969" s="198"/>
      <c r="B969" s="198"/>
      <c r="C969" s="198"/>
      <c r="D969" s="198"/>
      <c r="E969" s="198"/>
      <c r="F969" s="198"/>
      <c r="G969" s="198"/>
      <c r="H969" s="198"/>
      <c r="I969" s="198"/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  <c r="T969" s="198"/>
      <c r="U969" s="198"/>
      <c r="V969" s="198"/>
      <c r="W969" s="198"/>
      <c r="X969" s="198"/>
      <c r="Y969" s="198"/>
      <c r="Z969" s="198"/>
    </row>
    <row r="970" spans="1:26" ht="12.75" customHeight="1">
      <c r="A970" s="198"/>
      <c r="B970" s="198"/>
      <c r="C970" s="198"/>
      <c r="D970" s="198"/>
      <c r="E970" s="198"/>
      <c r="F970" s="198"/>
      <c r="G970" s="198"/>
      <c r="H970" s="198"/>
      <c r="I970" s="19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  <c r="T970" s="198"/>
      <c r="U970" s="198"/>
      <c r="V970" s="198"/>
      <c r="W970" s="198"/>
      <c r="X970" s="198"/>
      <c r="Y970" s="198"/>
      <c r="Z970" s="198"/>
    </row>
    <row r="971" spans="1:26" ht="12.75" customHeight="1">
      <c r="A971" s="198"/>
      <c r="B971" s="198"/>
      <c r="C971" s="198"/>
      <c r="D971" s="198"/>
      <c r="E971" s="198"/>
      <c r="F971" s="198"/>
      <c r="G971" s="198"/>
      <c r="H971" s="198"/>
      <c r="I971" s="198"/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  <c r="T971" s="198"/>
      <c r="U971" s="198"/>
      <c r="V971" s="198"/>
      <c r="W971" s="198"/>
      <c r="X971" s="198"/>
      <c r="Y971" s="198"/>
      <c r="Z971" s="198"/>
    </row>
    <row r="972" spans="1:26" ht="12.75" customHeight="1">
      <c r="A972" s="198"/>
      <c r="B972" s="198"/>
      <c r="C972" s="198"/>
      <c r="D972" s="198"/>
      <c r="E972" s="198"/>
      <c r="F972" s="198"/>
      <c r="G972" s="198"/>
      <c r="H972" s="198"/>
      <c r="I972" s="198"/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  <c r="T972" s="198"/>
      <c r="U972" s="198"/>
      <c r="V972" s="198"/>
      <c r="W972" s="198"/>
      <c r="X972" s="198"/>
      <c r="Y972" s="198"/>
      <c r="Z972" s="198"/>
    </row>
    <row r="973" spans="1:26" ht="12.75" customHeight="1">
      <c r="A973" s="198"/>
      <c r="B973" s="198"/>
      <c r="C973" s="198"/>
      <c r="D973" s="198"/>
      <c r="E973" s="198"/>
      <c r="F973" s="198"/>
      <c r="G973" s="198"/>
      <c r="H973" s="198"/>
      <c r="I973" s="19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  <c r="T973" s="198"/>
      <c r="U973" s="198"/>
      <c r="V973" s="198"/>
      <c r="W973" s="198"/>
      <c r="X973" s="198"/>
      <c r="Y973" s="198"/>
      <c r="Z973" s="198"/>
    </row>
    <row r="974" spans="1:26" ht="12.75" customHeight="1">
      <c r="A974" s="198"/>
      <c r="B974" s="198"/>
      <c r="C974" s="198"/>
      <c r="D974" s="198"/>
      <c r="E974" s="198"/>
      <c r="F974" s="198"/>
      <c r="G974" s="198"/>
      <c r="H974" s="198"/>
      <c r="I974" s="198"/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  <c r="T974" s="198"/>
      <c r="U974" s="198"/>
      <c r="V974" s="198"/>
      <c r="W974" s="198"/>
      <c r="X974" s="198"/>
      <c r="Y974" s="198"/>
      <c r="Z974" s="198"/>
    </row>
    <row r="975" spans="1:26" ht="12.75" customHeight="1">
      <c r="A975" s="198"/>
      <c r="B975" s="198"/>
      <c r="C975" s="198"/>
      <c r="D975" s="198"/>
      <c r="E975" s="198"/>
      <c r="F975" s="198"/>
      <c r="G975" s="198"/>
      <c r="H975" s="198"/>
      <c r="I975" s="198"/>
      <c r="J975" s="198"/>
      <c r="K975" s="198"/>
      <c r="L975" s="198"/>
      <c r="M975" s="198"/>
      <c r="N975" s="198"/>
      <c r="O975" s="198"/>
      <c r="P975" s="198"/>
      <c r="Q975" s="198"/>
      <c r="R975" s="198"/>
      <c r="S975" s="198"/>
      <c r="T975" s="198"/>
      <c r="U975" s="198"/>
      <c r="V975" s="198"/>
      <c r="W975" s="198"/>
      <c r="X975" s="198"/>
      <c r="Y975" s="198"/>
      <c r="Z975" s="198"/>
    </row>
    <row r="976" spans="1:26" ht="12.75" customHeight="1">
      <c r="A976" s="198"/>
      <c r="B976" s="198"/>
      <c r="C976" s="198"/>
      <c r="D976" s="198"/>
      <c r="E976" s="198"/>
      <c r="F976" s="198"/>
      <c r="G976" s="198"/>
      <c r="H976" s="198"/>
      <c r="I976" s="198"/>
      <c r="J976" s="198"/>
      <c r="K976" s="198"/>
      <c r="L976" s="198"/>
      <c r="M976" s="198"/>
      <c r="N976" s="198"/>
      <c r="O976" s="198"/>
      <c r="P976" s="198"/>
      <c r="Q976" s="198"/>
      <c r="R976" s="198"/>
      <c r="S976" s="198"/>
      <c r="T976" s="198"/>
      <c r="U976" s="198"/>
      <c r="V976" s="198"/>
      <c r="W976" s="198"/>
      <c r="X976" s="198"/>
      <c r="Y976" s="198"/>
      <c r="Z976" s="198"/>
    </row>
    <row r="977" spans="1:26" ht="12.75" customHeight="1">
      <c r="A977" s="198"/>
      <c r="B977" s="198"/>
      <c r="C977" s="198"/>
      <c r="D977" s="198"/>
      <c r="E977" s="198"/>
      <c r="F977" s="198"/>
      <c r="G977" s="198"/>
      <c r="H977" s="198"/>
      <c r="I977" s="198"/>
      <c r="J977" s="198"/>
      <c r="K977" s="198"/>
      <c r="L977" s="198"/>
      <c r="M977" s="198"/>
      <c r="N977" s="198"/>
      <c r="O977" s="198"/>
      <c r="P977" s="198"/>
      <c r="Q977" s="198"/>
      <c r="R977" s="198"/>
      <c r="S977" s="198"/>
      <c r="T977" s="198"/>
      <c r="U977" s="198"/>
      <c r="V977" s="198"/>
      <c r="W977" s="198"/>
      <c r="X977" s="198"/>
      <c r="Y977" s="198"/>
      <c r="Z977" s="198"/>
    </row>
    <row r="978" spans="1:26" ht="12.75" customHeight="1">
      <c r="A978" s="198"/>
      <c r="B978" s="198"/>
      <c r="C978" s="198"/>
      <c r="D978" s="198"/>
      <c r="E978" s="198"/>
      <c r="F978" s="198"/>
      <c r="G978" s="198"/>
      <c r="H978" s="198"/>
      <c r="I978" s="198"/>
      <c r="J978" s="198"/>
      <c r="K978" s="198"/>
      <c r="L978" s="198"/>
      <c r="M978" s="198"/>
      <c r="N978" s="198"/>
      <c r="O978" s="198"/>
      <c r="P978" s="198"/>
      <c r="Q978" s="198"/>
      <c r="R978" s="198"/>
      <c r="S978" s="198"/>
      <c r="T978" s="198"/>
      <c r="U978" s="198"/>
      <c r="V978" s="198"/>
      <c r="W978" s="198"/>
      <c r="X978" s="198"/>
      <c r="Y978" s="198"/>
      <c r="Z978" s="198"/>
    </row>
    <row r="979" spans="1:26" ht="12.75" customHeight="1">
      <c r="A979" s="198"/>
      <c r="B979" s="198"/>
      <c r="C979" s="198"/>
      <c r="D979" s="198"/>
      <c r="E979" s="198"/>
      <c r="F979" s="198"/>
      <c r="G979" s="198"/>
      <c r="H979" s="198"/>
      <c r="I979" s="198"/>
      <c r="J979" s="198"/>
      <c r="K979" s="198"/>
      <c r="L979" s="198"/>
      <c r="M979" s="198"/>
      <c r="N979" s="198"/>
      <c r="O979" s="198"/>
      <c r="P979" s="198"/>
      <c r="Q979" s="198"/>
      <c r="R979" s="198"/>
      <c r="S979" s="198"/>
      <c r="T979" s="198"/>
      <c r="U979" s="198"/>
      <c r="V979" s="198"/>
      <c r="W979" s="198"/>
      <c r="X979" s="198"/>
      <c r="Y979" s="198"/>
      <c r="Z979" s="198"/>
    </row>
    <row r="980" spans="1:26" ht="12.75" customHeight="1">
      <c r="A980" s="198"/>
      <c r="B980" s="198"/>
      <c r="C980" s="198"/>
      <c r="D980" s="198"/>
      <c r="E980" s="198"/>
      <c r="F980" s="198"/>
      <c r="G980" s="198"/>
      <c r="H980" s="198"/>
      <c r="I980" s="198"/>
      <c r="J980" s="198"/>
      <c r="K980" s="198"/>
      <c r="L980" s="198"/>
      <c r="M980" s="198"/>
      <c r="N980" s="198"/>
      <c r="O980" s="198"/>
      <c r="P980" s="198"/>
      <c r="Q980" s="198"/>
      <c r="R980" s="198"/>
      <c r="S980" s="198"/>
      <c r="T980" s="198"/>
      <c r="U980" s="198"/>
      <c r="V980" s="198"/>
      <c r="W980" s="198"/>
      <c r="X980" s="198"/>
      <c r="Y980" s="198"/>
      <c r="Z980" s="198"/>
    </row>
    <row r="981" spans="1:26" ht="12.75" customHeight="1">
      <c r="A981" s="198"/>
      <c r="B981" s="198"/>
      <c r="C981" s="198"/>
      <c r="D981" s="198"/>
      <c r="E981" s="198"/>
      <c r="F981" s="198"/>
      <c r="G981" s="198"/>
      <c r="H981" s="198"/>
      <c r="I981" s="198"/>
      <c r="J981" s="198"/>
      <c r="K981" s="198"/>
      <c r="L981" s="198"/>
      <c r="M981" s="198"/>
      <c r="N981" s="198"/>
      <c r="O981" s="198"/>
      <c r="P981" s="198"/>
      <c r="Q981" s="198"/>
      <c r="R981" s="198"/>
      <c r="S981" s="198"/>
      <c r="T981" s="198"/>
      <c r="U981" s="198"/>
      <c r="V981" s="198"/>
      <c r="W981" s="198"/>
      <c r="X981" s="198"/>
      <c r="Y981" s="198"/>
      <c r="Z981" s="198"/>
    </row>
    <row r="982" spans="1:26" ht="12.75" customHeight="1">
      <c r="A982" s="198"/>
      <c r="B982" s="198"/>
      <c r="C982" s="198"/>
      <c r="D982" s="198"/>
      <c r="E982" s="198"/>
      <c r="F982" s="198"/>
      <c r="G982" s="198"/>
      <c r="H982" s="198"/>
      <c r="I982" s="198"/>
      <c r="J982" s="198"/>
      <c r="K982" s="198"/>
      <c r="L982" s="198"/>
      <c r="M982" s="198"/>
      <c r="N982" s="198"/>
      <c r="O982" s="198"/>
      <c r="P982" s="198"/>
      <c r="Q982" s="198"/>
      <c r="R982" s="198"/>
      <c r="S982" s="198"/>
      <c r="T982" s="198"/>
      <c r="U982" s="198"/>
      <c r="V982" s="198"/>
      <c r="W982" s="198"/>
      <c r="X982" s="198"/>
      <c r="Y982" s="198"/>
      <c r="Z982" s="198"/>
    </row>
    <row r="983" spans="1:26" ht="12.75" customHeight="1">
      <c r="A983" s="198"/>
      <c r="B983" s="198"/>
      <c r="C983" s="198"/>
      <c r="D983" s="198"/>
      <c r="E983" s="198"/>
      <c r="F983" s="198"/>
      <c r="G983" s="198"/>
      <c r="H983" s="198"/>
      <c r="I983" s="198"/>
      <c r="J983" s="198"/>
      <c r="K983" s="198"/>
      <c r="L983" s="198"/>
      <c r="M983" s="198"/>
      <c r="N983" s="198"/>
      <c r="O983" s="198"/>
      <c r="P983" s="198"/>
      <c r="Q983" s="198"/>
      <c r="R983" s="198"/>
      <c r="S983" s="198"/>
      <c r="T983" s="198"/>
      <c r="U983" s="198"/>
      <c r="V983" s="198"/>
      <c r="W983" s="198"/>
      <c r="X983" s="198"/>
      <c r="Y983" s="198"/>
      <c r="Z983" s="198"/>
    </row>
    <row r="984" spans="1:26" ht="12.75" customHeight="1">
      <c r="A984" s="198"/>
      <c r="B984" s="198"/>
      <c r="C984" s="198"/>
      <c r="D984" s="198"/>
      <c r="E984" s="198"/>
      <c r="F984" s="198"/>
      <c r="G984" s="198"/>
      <c r="H984" s="198"/>
      <c r="I984" s="198"/>
      <c r="J984" s="198"/>
      <c r="K984" s="198"/>
      <c r="L984" s="198"/>
      <c r="M984" s="198"/>
      <c r="N984" s="198"/>
      <c r="O984" s="198"/>
      <c r="P984" s="198"/>
      <c r="Q984" s="198"/>
      <c r="R984" s="198"/>
      <c r="S984" s="198"/>
      <c r="T984" s="198"/>
      <c r="U984" s="198"/>
      <c r="V984" s="198"/>
      <c r="W984" s="198"/>
      <c r="X984" s="198"/>
      <c r="Y984" s="198"/>
      <c r="Z984" s="198"/>
    </row>
    <row r="985" spans="1:26" ht="12.75" customHeight="1">
      <c r="A985" s="198"/>
      <c r="B985" s="198"/>
      <c r="C985" s="198"/>
      <c r="D985" s="198"/>
      <c r="E985" s="198"/>
      <c r="F985" s="198"/>
      <c r="G985" s="198"/>
      <c r="H985" s="198"/>
      <c r="I985" s="198"/>
      <c r="J985" s="198"/>
      <c r="K985" s="198"/>
      <c r="L985" s="198"/>
      <c r="M985" s="198"/>
      <c r="N985" s="198"/>
      <c r="O985" s="198"/>
      <c r="P985" s="198"/>
      <c r="Q985" s="198"/>
      <c r="R985" s="198"/>
      <c r="S985" s="198"/>
      <c r="T985" s="198"/>
      <c r="U985" s="198"/>
      <c r="V985" s="198"/>
      <c r="W985" s="198"/>
      <c r="X985" s="198"/>
      <c r="Y985" s="198"/>
      <c r="Z985" s="198"/>
    </row>
    <row r="986" spans="1:26" ht="12.75" customHeight="1">
      <c r="A986" s="198"/>
      <c r="B986" s="198"/>
      <c r="C986" s="198"/>
      <c r="D986" s="198"/>
      <c r="E986" s="198"/>
      <c r="F986" s="198"/>
      <c r="G986" s="198"/>
      <c r="H986" s="198"/>
      <c r="I986" s="198"/>
      <c r="J986" s="198"/>
      <c r="K986" s="198"/>
      <c r="L986" s="198"/>
      <c r="M986" s="198"/>
      <c r="N986" s="198"/>
      <c r="O986" s="198"/>
      <c r="P986" s="198"/>
      <c r="Q986" s="198"/>
      <c r="R986" s="198"/>
      <c r="S986" s="198"/>
      <c r="T986" s="198"/>
      <c r="U986" s="198"/>
      <c r="V986" s="198"/>
      <c r="W986" s="198"/>
      <c r="X986" s="198"/>
      <c r="Y986" s="198"/>
      <c r="Z986" s="198"/>
    </row>
    <row r="987" spans="1:26" ht="12.75" customHeight="1">
      <c r="A987" s="198"/>
      <c r="B987" s="198"/>
      <c r="C987" s="198"/>
      <c r="D987" s="198"/>
      <c r="E987" s="198"/>
      <c r="F987" s="198"/>
      <c r="G987" s="198"/>
      <c r="H987" s="198"/>
      <c r="I987" s="198"/>
      <c r="J987" s="198"/>
      <c r="K987" s="198"/>
      <c r="L987" s="198"/>
      <c r="M987" s="198"/>
      <c r="N987" s="198"/>
      <c r="O987" s="198"/>
      <c r="P987" s="198"/>
      <c r="Q987" s="198"/>
      <c r="R987" s="198"/>
      <c r="S987" s="198"/>
      <c r="T987" s="198"/>
      <c r="U987" s="198"/>
      <c r="V987" s="198"/>
      <c r="W987" s="198"/>
      <c r="X987" s="198"/>
      <c r="Y987" s="198"/>
      <c r="Z987" s="198"/>
    </row>
    <row r="988" spans="1:26" ht="12.75" customHeight="1">
      <c r="A988" s="198"/>
      <c r="B988" s="198"/>
      <c r="C988" s="198"/>
      <c r="D988" s="198"/>
      <c r="E988" s="198"/>
      <c r="F988" s="198"/>
      <c r="G988" s="198"/>
      <c r="H988" s="198"/>
      <c r="I988" s="198"/>
      <c r="J988" s="198"/>
      <c r="K988" s="198"/>
      <c r="L988" s="198"/>
      <c r="M988" s="198"/>
      <c r="N988" s="198"/>
      <c r="O988" s="198"/>
      <c r="P988" s="198"/>
      <c r="Q988" s="198"/>
      <c r="R988" s="198"/>
      <c r="S988" s="198"/>
      <c r="T988" s="198"/>
      <c r="U988" s="198"/>
      <c r="V988" s="198"/>
      <c r="W988" s="198"/>
      <c r="X988" s="198"/>
      <c r="Y988" s="198"/>
      <c r="Z988" s="198"/>
    </row>
    <row r="989" spans="1:26" ht="12.75" customHeight="1">
      <c r="A989" s="198"/>
      <c r="B989" s="198"/>
      <c r="C989" s="198"/>
      <c r="D989" s="198"/>
      <c r="E989" s="198"/>
      <c r="F989" s="198"/>
      <c r="G989" s="198"/>
      <c r="H989" s="198"/>
      <c r="I989" s="198"/>
      <c r="J989" s="198"/>
      <c r="K989" s="198"/>
      <c r="L989" s="198"/>
      <c r="M989" s="198"/>
      <c r="N989" s="198"/>
      <c r="O989" s="198"/>
      <c r="P989" s="198"/>
      <c r="Q989" s="198"/>
      <c r="R989" s="198"/>
      <c r="S989" s="198"/>
      <c r="T989" s="198"/>
      <c r="U989" s="198"/>
      <c r="V989" s="198"/>
      <c r="W989" s="198"/>
      <c r="X989" s="198"/>
      <c r="Y989" s="198"/>
      <c r="Z989" s="198"/>
    </row>
    <row r="990" spans="1:26" ht="12.75" customHeight="1">
      <c r="A990" s="198"/>
      <c r="B990" s="198"/>
      <c r="C990" s="198"/>
      <c r="D990" s="198"/>
      <c r="E990" s="198"/>
      <c r="F990" s="198"/>
      <c r="G990" s="198"/>
      <c r="H990" s="198"/>
      <c r="I990" s="198"/>
      <c r="J990" s="198"/>
      <c r="K990" s="198"/>
      <c r="L990" s="198"/>
      <c r="M990" s="198"/>
      <c r="N990" s="198"/>
      <c r="O990" s="198"/>
      <c r="P990" s="198"/>
      <c r="Q990" s="198"/>
      <c r="R990" s="198"/>
      <c r="S990" s="198"/>
      <c r="T990" s="198"/>
      <c r="U990" s="198"/>
      <c r="V990" s="198"/>
      <c r="W990" s="198"/>
      <c r="X990" s="198"/>
      <c r="Y990" s="198"/>
      <c r="Z990" s="198"/>
    </row>
    <row r="991" spans="1:26" ht="12.75" customHeight="1">
      <c r="A991" s="198"/>
      <c r="B991" s="198"/>
      <c r="C991" s="198"/>
      <c r="D991" s="198"/>
      <c r="E991" s="198"/>
      <c r="F991" s="198"/>
      <c r="G991" s="198"/>
      <c r="H991" s="198"/>
      <c r="I991" s="198"/>
      <c r="J991" s="198"/>
      <c r="K991" s="198"/>
      <c r="L991" s="198"/>
      <c r="M991" s="198"/>
      <c r="N991" s="198"/>
      <c r="O991" s="198"/>
      <c r="P991" s="198"/>
      <c r="Q991" s="198"/>
      <c r="R991" s="198"/>
      <c r="S991" s="198"/>
      <c r="T991" s="198"/>
      <c r="U991" s="198"/>
      <c r="V991" s="198"/>
      <c r="W991" s="198"/>
      <c r="X991" s="198"/>
      <c r="Y991" s="198"/>
      <c r="Z991" s="198"/>
    </row>
    <row r="992" spans="1:26" ht="12.75" customHeight="1">
      <c r="A992" s="198"/>
      <c r="B992" s="198"/>
      <c r="C992" s="198"/>
      <c r="D992" s="198"/>
      <c r="E992" s="198"/>
      <c r="F992" s="198"/>
      <c r="G992" s="198"/>
      <c r="H992" s="198"/>
      <c r="I992" s="198"/>
      <c r="J992" s="198"/>
      <c r="K992" s="198"/>
      <c r="L992" s="198"/>
      <c r="M992" s="198"/>
      <c r="N992" s="198"/>
      <c r="O992" s="198"/>
      <c r="P992" s="198"/>
      <c r="Q992" s="198"/>
      <c r="R992" s="198"/>
      <c r="S992" s="198"/>
      <c r="T992" s="198"/>
      <c r="U992" s="198"/>
      <c r="V992" s="198"/>
      <c r="W992" s="198"/>
      <c r="X992" s="198"/>
      <c r="Y992" s="198"/>
      <c r="Z992" s="198"/>
    </row>
    <row r="993" spans="1:26" ht="12.75" customHeight="1">
      <c r="A993" s="198"/>
      <c r="B993" s="198"/>
      <c r="C993" s="198"/>
      <c r="D993" s="198"/>
      <c r="E993" s="198"/>
      <c r="F993" s="198"/>
      <c r="G993" s="198"/>
      <c r="H993" s="198"/>
      <c r="I993" s="198"/>
      <c r="J993" s="198"/>
      <c r="K993" s="198"/>
      <c r="L993" s="198"/>
      <c r="M993" s="198"/>
      <c r="N993" s="198"/>
      <c r="O993" s="198"/>
      <c r="P993" s="198"/>
      <c r="Q993" s="198"/>
      <c r="R993" s="198"/>
      <c r="S993" s="198"/>
      <c r="T993" s="198"/>
      <c r="U993" s="198"/>
      <c r="V993" s="198"/>
      <c r="W993" s="198"/>
      <c r="X993" s="198"/>
      <c r="Y993" s="198"/>
      <c r="Z993" s="198"/>
    </row>
    <row r="994" spans="1:26" ht="12.75" customHeight="1">
      <c r="A994" s="198"/>
      <c r="B994" s="198"/>
      <c r="C994" s="198"/>
      <c r="D994" s="198"/>
      <c r="E994" s="198"/>
      <c r="F994" s="198"/>
      <c r="G994" s="198"/>
      <c r="H994" s="198"/>
      <c r="I994" s="198"/>
      <c r="J994" s="198"/>
      <c r="K994" s="198"/>
      <c r="L994" s="198"/>
      <c r="M994" s="198"/>
      <c r="N994" s="198"/>
      <c r="O994" s="198"/>
      <c r="P994" s="198"/>
      <c r="Q994" s="198"/>
      <c r="R994" s="198"/>
      <c r="S994" s="198"/>
      <c r="T994" s="198"/>
      <c r="U994" s="198"/>
      <c r="V994" s="198"/>
      <c r="W994" s="198"/>
      <c r="X994" s="198"/>
      <c r="Y994" s="198"/>
      <c r="Z994" s="198"/>
    </row>
    <row r="995" spans="1:26" ht="12.75" customHeight="1">
      <c r="A995" s="198"/>
      <c r="B995" s="198"/>
      <c r="C995" s="198"/>
      <c r="D995" s="198"/>
      <c r="E995" s="198"/>
      <c r="F995" s="198"/>
      <c r="G995" s="198"/>
      <c r="H995" s="198"/>
      <c r="I995" s="198"/>
      <c r="J995" s="198"/>
      <c r="K995" s="198"/>
      <c r="L995" s="198"/>
      <c r="M995" s="198"/>
      <c r="N995" s="198"/>
      <c r="O995" s="198"/>
      <c r="P995" s="198"/>
      <c r="Q995" s="198"/>
      <c r="R995" s="198"/>
      <c r="S995" s="198"/>
      <c r="T995" s="198"/>
      <c r="U995" s="198"/>
      <c r="V995" s="198"/>
      <c r="W995" s="198"/>
      <c r="X995" s="198"/>
      <c r="Y995" s="198"/>
      <c r="Z995" s="198"/>
    </row>
    <row r="996" spans="1:26" ht="12.75" customHeight="1">
      <c r="A996" s="198"/>
      <c r="B996" s="198"/>
      <c r="C996" s="198"/>
      <c r="D996" s="198"/>
      <c r="E996" s="198"/>
      <c r="F996" s="198"/>
      <c r="G996" s="198"/>
      <c r="H996" s="198"/>
      <c r="I996" s="198"/>
      <c r="J996" s="198"/>
      <c r="K996" s="198"/>
      <c r="L996" s="198"/>
      <c r="M996" s="198"/>
      <c r="N996" s="198"/>
      <c r="O996" s="198"/>
      <c r="P996" s="198"/>
      <c r="Q996" s="198"/>
      <c r="R996" s="198"/>
      <c r="S996" s="198"/>
      <c r="T996" s="198"/>
      <c r="U996" s="198"/>
      <c r="V996" s="198"/>
      <c r="W996" s="198"/>
      <c r="X996" s="198"/>
      <c r="Y996" s="198"/>
      <c r="Z996" s="198"/>
    </row>
    <row r="997" spans="1:26" ht="12.75" customHeight="1">
      <c r="A997" s="198"/>
      <c r="B997" s="198"/>
      <c r="C997" s="198"/>
      <c r="D997" s="198"/>
      <c r="E997" s="198"/>
      <c r="F997" s="198"/>
      <c r="G997" s="198"/>
      <c r="H997" s="198"/>
      <c r="I997" s="198"/>
      <c r="J997" s="198"/>
      <c r="K997" s="198"/>
      <c r="L997" s="198"/>
      <c r="M997" s="198"/>
      <c r="N997" s="198"/>
      <c r="O997" s="198"/>
      <c r="P997" s="198"/>
      <c r="Q997" s="198"/>
      <c r="R997" s="198"/>
      <c r="S997" s="198"/>
      <c r="T997" s="198"/>
      <c r="U997" s="198"/>
      <c r="V997" s="198"/>
      <c r="W997" s="198"/>
      <c r="X997" s="198"/>
      <c r="Y997" s="198"/>
      <c r="Z997" s="198"/>
    </row>
    <row r="998" spans="1:26" ht="12.75" customHeight="1">
      <c r="A998" s="198"/>
      <c r="B998" s="198"/>
      <c r="C998" s="198"/>
      <c r="D998" s="198"/>
      <c r="E998" s="198"/>
      <c r="F998" s="198"/>
      <c r="G998" s="198"/>
      <c r="H998" s="198"/>
      <c r="I998" s="198"/>
      <c r="J998" s="198"/>
      <c r="K998" s="198"/>
      <c r="L998" s="198"/>
      <c r="M998" s="198"/>
      <c r="N998" s="198"/>
      <c r="O998" s="198"/>
      <c r="P998" s="198"/>
      <c r="Q998" s="198"/>
      <c r="R998" s="198"/>
      <c r="S998" s="198"/>
      <c r="T998" s="198"/>
      <c r="U998" s="198"/>
      <c r="V998" s="198"/>
      <c r="W998" s="198"/>
      <c r="X998" s="198"/>
      <c r="Y998" s="198"/>
      <c r="Z998" s="198"/>
    </row>
    <row r="999" spans="1:26" ht="12.75" customHeight="1">
      <c r="A999" s="198"/>
      <c r="B999" s="198"/>
      <c r="C999" s="198"/>
      <c r="D999" s="198"/>
      <c r="E999" s="198"/>
      <c r="F999" s="198"/>
      <c r="G999" s="198"/>
      <c r="H999" s="198"/>
      <c r="I999" s="198"/>
      <c r="J999" s="198"/>
      <c r="K999" s="198"/>
      <c r="L999" s="198"/>
      <c r="M999" s="198"/>
      <c r="N999" s="198"/>
      <c r="O999" s="198"/>
      <c r="P999" s="198"/>
      <c r="Q999" s="198"/>
      <c r="R999" s="198"/>
      <c r="S999" s="198"/>
      <c r="T999" s="198"/>
      <c r="U999" s="198"/>
      <c r="V999" s="198"/>
      <c r="W999" s="198"/>
      <c r="X999" s="198"/>
      <c r="Y999" s="198"/>
      <c r="Z999" s="198"/>
    </row>
    <row r="1000" spans="1:26" ht="12.75" customHeight="1">
      <c r="A1000" s="198"/>
      <c r="B1000" s="198"/>
      <c r="C1000" s="198"/>
      <c r="D1000" s="198"/>
      <c r="E1000" s="198"/>
      <c r="F1000" s="198"/>
      <c r="G1000" s="198"/>
      <c r="H1000" s="198"/>
      <c r="I1000" s="198"/>
      <c r="J1000" s="198"/>
      <c r="K1000" s="198"/>
      <c r="L1000" s="198"/>
      <c r="M1000" s="198"/>
      <c r="N1000" s="198"/>
      <c r="O1000" s="198"/>
      <c r="P1000" s="198"/>
      <c r="Q1000" s="198"/>
      <c r="R1000" s="198"/>
      <c r="S1000" s="198"/>
      <c r="T1000" s="198"/>
      <c r="U1000" s="198"/>
      <c r="V1000" s="198"/>
      <c r="W1000" s="198"/>
      <c r="X1000" s="198"/>
      <c r="Y1000" s="198"/>
      <c r="Z1000" s="198"/>
    </row>
  </sheetData>
  <mergeCells count="9">
    <mergeCell ref="A8:F8"/>
    <mergeCell ref="A9:F9"/>
    <mergeCell ref="A1:F1"/>
    <mergeCell ref="A2:F2"/>
    <mergeCell ref="A3:F3"/>
    <mergeCell ref="A4:F4"/>
    <mergeCell ref="A5:F5"/>
    <mergeCell ref="A6:F6"/>
    <mergeCell ref="A7:F7"/>
  </mergeCells>
  <hyperlinks>
    <hyperlink ref="A8" location="null!A1" display="Table Of Contents" xr:uid="{00000000-0004-0000-0A00-000000000000}"/>
  </hyperlink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>
      <selection sqref="A1:H1"/>
    </sheetView>
  </sheetViews>
  <sheetFormatPr defaultColWidth="12.6328125" defaultRowHeight="15" customHeight="1"/>
  <cols>
    <col min="1" max="1" width="3" customWidth="1"/>
    <col min="2" max="2" width="76" customWidth="1"/>
    <col min="3" max="3" width="11" customWidth="1"/>
    <col min="4" max="4" width="15" customWidth="1"/>
    <col min="5" max="5" width="11" customWidth="1"/>
    <col min="6" max="6" width="16" customWidth="1"/>
    <col min="7" max="7" width="11" customWidth="1"/>
    <col min="8" max="8" width="15" customWidth="1"/>
    <col min="9" max="9" width="13" customWidth="1"/>
    <col min="10" max="10" width="16.36328125" customWidth="1"/>
    <col min="11" max="11" width="10.6328125" customWidth="1"/>
    <col min="12" max="12" width="16.26953125" customWidth="1"/>
    <col min="13" max="26" width="8.6328125" customWidth="1"/>
  </cols>
  <sheetData>
    <row r="1" spans="1:26" ht="12.75" customHeight="1">
      <c r="A1" s="257" t="s">
        <v>415</v>
      </c>
      <c r="B1" s="241"/>
      <c r="C1" s="241"/>
      <c r="D1" s="241"/>
      <c r="E1" s="241"/>
      <c r="F1" s="241"/>
      <c r="G1" s="241"/>
      <c r="H1" s="241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</row>
    <row r="2" spans="1:26" ht="12.75" customHeight="1">
      <c r="A2" s="257" t="s">
        <v>416</v>
      </c>
      <c r="B2" s="241"/>
      <c r="C2" s="241"/>
      <c r="D2" s="241"/>
      <c r="E2" s="241"/>
      <c r="F2" s="241"/>
      <c r="G2" s="241"/>
      <c r="H2" s="241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</row>
    <row r="3" spans="1:26" ht="12.75" customHeight="1">
      <c r="A3" s="257" t="s">
        <v>417</v>
      </c>
      <c r="B3" s="241"/>
      <c r="C3" s="241"/>
      <c r="D3" s="241"/>
      <c r="E3" s="241"/>
      <c r="F3" s="241"/>
      <c r="G3" s="241"/>
      <c r="H3" s="241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spans="1:26" ht="12.75" customHeight="1">
      <c r="A4" s="257" t="s">
        <v>448</v>
      </c>
      <c r="B4" s="241"/>
      <c r="C4" s="241"/>
      <c r="D4" s="241"/>
      <c r="E4" s="241"/>
      <c r="F4" s="241"/>
      <c r="G4" s="241"/>
      <c r="H4" s="241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</row>
    <row r="5" spans="1:26" ht="12.75" customHeight="1">
      <c r="A5" s="257" t="s">
        <v>419</v>
      </c>
      <c r="B5" s="241"/>
      <c r="C5" s="241"/>
      <c r="D5" s="241"/>
      <c r="E5" s="241"/>
      <c r="F5" s="241"/>
      <c r="G5" s="241"/>
      <c r="H5" s="241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</row>
    <row r="6" spans="1:26" ht="12.75" customHeight="1">
      <c r="A6" s="257" t="s">
        <v>420</v>
      </c>
      <c r="B6" s="241"/>
      <c r="C6" s="241"/>
      <c r="D6" s="241"/>
      <c r="E6" s="241"/>
      <c r="F6" s="241"/>
      <c r="G6" s="241"/>
      <c r="H6" s="241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</row>
    <row r="7" spans="1:26" ht="12.75" customHeight="1">
      <c r="A7" s="257" t="s">
        <v>421</v>
      </c>
      <c r="B7" s="241"/>
      <c r="C7" s="241"/>
      <c r="D7" s="241"/>
      <c r="E7" s="241"/>
      <c r="F7" s="241"/>
      <c r="G7" s="241"/>
      <c r="H7" s="241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spans="1:26" ht="12.75" customHeight="1">
      <c r="A8" s="258" t="s">
        <v>422</v>
      </c>
      <c r="B8" s="241"/>
      <c r="C8" s="241"/>
      <c r="D8" s="241"/>
      <c r="E8" s="241"/>
      <c r="F8" s="241"/>
      <c r="G8" s="241"/>
      <c r="H8" s="241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</row>
    <row r="9" spans="1:26" ht="12.75" customHeight="1">
      <c r="A9" s="257" t="s">
        <v>416</v>
      </c>
      <c r="B9" s="241"/>
      <c r="C9" s="241"/>
      <c r="D9" s="241"/>
      <c r="E9" s="241"/>
      <c r="F9" s="241"/>
      <c r="G9" s="241"/>
      <c r="H9" s="241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</row>
    <row r="10" spans="1:26" ht="12.75" customHeight="1">
      <c r="A10" s="198"/>
      <c r="B10" s="259" t="s">
        <v>423</v>
      </c>
      <c r="C10" s="241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</row>
    <row r="11" spans="1:26" ht="12.75" customHeight="1">
      <c r="A11" s="198"/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</row>
    <row r="12" spans="1:26" ht="12.75" customHeight="1">
      <c r="A12" s="198"/>
      <c r="B12" s="259" t="s">
        <v>449</v>
      </c>
      <c r="C12" s="241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</row>
    <row r="13" spans="1:26" ht="12.75" customHeight="1">
      <c r="A13" s="198"/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 spans="1:26" ht="12.75" customHeight="1">
      <c r="A14" s="198"/>
      <c r="B14" s="259" t="s">
        <v>450</v>
      </c>
      <c r="C14" s="241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 spans="1:26" ht="12.75" customHeight="1">
      <c r="A15" s="198"/>
      <c r="B15" s="198"/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</row>
    <row r="16" spans="1:26" ht="12.75" customHeight="1">
      <c r="A16" s="198"/>
      <c r="B16" s="198" t="s">
        <v>416</v>
      </c>
      <c r="C16" s="199">
        <v>52</v>
      </c>
      <c r="D16" s="198" t="s">
        <v>426</v>
      </c>
      <c r="E16" s="199">
        <v>52</v>
      </c>
      <c r="F16" s="198" t="s">
        <v>426</v>
      </c>
      <c r="G16" s="199">
        <v>53</v>
      </c>
      <c r="H16" s="198" t="s">
        <v>426</v>
      </c>
      <c r="I16" s="199">
        <v>52</v>
      </c>
      <c r="J16" s="198" t="s">
        <v>426</v>
      </c>
      <c r="K16" s="199">
        <v>52</v>
      </c>
      <c r="L16" s="198" t="s">
        <v>426</v>
      </c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</row>
    <row r="17" spans="1:26" ht="12.75" customHeight="1">
      <c r="A17" s="198"/>
      <c r="B17" s="198" t="s">
        <v>416</v>
      </c>
      <c r="C17" s="198" t="s">
        <v>416</v>
      </c>
      <c r="D17" s="198" t="s">
        <v>427</v>
      </c>
      <c r="E17" s="198" t="s">
        <v>416</v>
      </c>
      <c r="F17" s="198" t="s">
        <v>428</v>
      </c>
      <c r="G17" s="198" t="s">
        <v>416</v>
      </c>
      <c r="H17" s="198" t="s">
        <v>429</v>
      </c>
      <c r="I17" s="198" t="s">
        <v>416</v>
      </c>
      <c r="J17" s="198" t="s">
        <v>430</v>
      </c>
      <c r="K17" s="198" t="s">
        <v>416</v>
      </c>
      <c r="L17" s="198" t="s">
        <v>431</v>
      </c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</row>
    <row r="18" spans="1:26" ht="12.75" customHeight="1">
      <c r="A18" s="204"/>
      <c r="B18" s="204" t="s">
        <v>416</v>
      </c>
      <c r="C18" s="204" t="s">
        <v>416</v>
      </c>
      <c r="D18" s="204">
        <v>2025</v>
      </c>
      <c r="E18" s="204" t="s">
        <v>416</v>
      </c>
      <c r="F18" s="204">
        <v>2024</v>
      </c>
      <c r="G18" s="204" t="s">
        <v>416</v>
      </c>
      <c r="H18" s="204">
        <v>2023</v>
      </c>
      <c r="I18" s="204" t="s">
        <v>416</v>
      </c>
      <c r="J18" s="204">
        <v>2022</v>
      </c>
      <c r="K18" s="204" t="s">
        <v>416</v>
      </c>
      <c r="L18" s="204">
        <v>2021</v>
      </c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</row>
    <row r="19" spans="1:26" ht="12.75" customHeight="1">
      <c r="A19" s="198"/>
      <c r="B19" s="198" t="s">
        <v>328</v>
      </c>
      <c r="C19" s="198"/>
      <c r="D19" s="198"/>
      <c r="E19" s="198"/>
      <c r="F19" s="198"/>
      <c r="G19" s="198"/>
      <c r="H19" s="198"/>
      <c r="I19" s="200"/>
      <c r="J19" s="200"/>
      <c r="K19" s="200"/>
      <c r="L19" s="200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</row>
    <row r="20" spans="1:26" ht="12.75" customHeight="1">
      <c r="A20" s="198"/>
      <c r="B20" s="198" t="s">
        <v>330</v>
      </c>
      <c r="C20" s="198" t="s">
        <v>416</v>
      </c>
      <c r="D20" s="201">
        <v>8099</v>
      </c>
      <c r="E20" s="198"/>
      <c r="F20" s="201">
        <v>7367</v>
      </c>
      <c r="G20" s="198" t="s">
        <v>416</v>
      </c>
      <c r="H20" s="201">
        <v>6292</v>
      </c>
      <c r="I20" s="201"/>
      <c r="J20" s="201">
        <v>5915</v>
      </c>
      <c r="K20" s="198" t="s">
        <v>416</v>
      </c>
      <c r="L20" s="201">
        <v>5079</v>
      </c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</row>
    <row r="21" spans="1:26" ht="12.75" customHeight="1">
      <c r="A21" s="198"/>
      <c r="B21" s="198" t="s">
        <v>451</v>
      </c>
      <c r="C21" s="198"/>
      <c r="D21" s="198"/>
      <c r="E21" s="198"/>
      <c r="F21" s="198"/>
      <c r="G21" s="198"/>
      <c r="H21" s="198"/>
      <c r="I21" s="201"/>
      <c r="J21" s="200"/>
      <c r="K21" s="200"/>
      <c r="L21" s="200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</row>
    <row r="22" spans="1:26" ht="12.75" customHeight="1">
      <c r="A22" s="198"/>
      <c r="B22" s="198" t="s">
        <v>452</v>
      </c>
      <c r="C22" s="198"/>
      <c r="D22" s="198"/>
      <c r="E22" s="198"/>
      <c r="F22" s="198"/>
      <c r="G22" s="198"/>
      <c r="H22" s="198"/>
      <c r="I22" s="201"/>
      <c r="J22" s="200"/>
      <c r="K22" s="200"/>
      <c r="L22" s="200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</row>
    <row r="23" spans="1:26" ht="12.75" customHeight="1">
      <c r="A23" s="198"/>
      <c r="B23" s="198" t="s">
        <v>332</v>
      </c>
      <c r="C23" s="198" t="s">
        <v>416</v>
      </c>
      <c r="D23" s="199">
        <v>2426</v>
      </c>
      <c r="E23" s="198"/>
      <c r="F23" s="199">
        <v>2237</v>
      </c>
      <c r="G23" s="198" t="s">
        <v>416</v>
      </c>
      <c r="H23" s="199">
        <v>2077</v>
      </c>
      <c r="I23" s="201"/>
      <c r="J23" s="199">
        <v>1900</v>
      </c>
      <c r="K23" s="198" t="s">
        <v>416</v>
      </c>
      <c r="L23" s="199">
        <v>1781</v>
      </c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</row>
    <row r="24" spans="1:26" ht="12.75" customHeight="1">
      <c r="A24" s="198"/>
      <c r="B24" s="198" t="s">
        <v>333</v>
      </c>
      <c r="C24" s="198" t="s">
        <v>416</v>
      </c>
      <c r="D24" s="199">
        <v>303</v>
      </c>
      <c r="E24" s="198"/>
      <c r="F24" s="199">
        <v>315</v>
      </c>
      <c r="G24" s="198" t="s">
        <v>416</v>
      </c>
      <c r="H24" s="199">
        <v>412</v>
      </c>
      <c r="I24" s="201"/>
      <c r="J24" s="199">
        <v>377</v>
      </c>
      <c r="K24" s="198" t="s">
        <v>416</v>
      </c>
      <c r="L24" s="199">
        <v>286</v>
      </c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</row>
    <row r="25" spans="1:26" ht="12.75" customHeight="1">
      <c r="A25" s="198"/>
      <c r="B25" s="198" t="s">
        <v>335</v>
      </c>
      <c r="C25" s="198" t="s">
        <v>416</v>
      </c>
      <c r="D25" s="199">
        <v>860</v>
      </c>
      <c r="E25" s="198"/>
      <c r="F25" s="199">
        <v>818</v>
      </c>
      <c r="G25" s="198" t="s">
        <v>416</v>
      </c>
      <c r="H25" s="199">
        <v>774</v>
      </c>
      <c r="I25" s="201"/>
      <c r="J25" s="199">
        <v>724</v>
      </c>
      <c r="K25" s="198" t="s">
        <v>416</v>
      </c>
      <c r="L25" s="199">
        <v>665</v>
      </c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</row>
    <row r="26" spans="1:26" ht="12.75" customHeight="1">
      <c r="A26" s="198"/>
      <c r="B26" s="198" t="s">
        <v>337</v>
      </c>
      <c r="C26" s="198"/>
      <c r="D26" s="198"/>
      <c r="E26" s="198"/>
      <c r="F26" s="198"/>
      <c r="G26" s="198"/>
      <c r="H26" s="198"/>
      <c r="I26" s="201"/>
      <c r="J26" s="200"/>
      <c r="K26" s="200"/>
      <c r="L26" s="200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</row>
    <row r="27" spans="1:26" ht="12.75" customHeight="1">
      <c r="A27" s="198"/>
      <c r="B27" s="198" t="s">
        <v>338</v>
      </c>
      <c r="C27" s="198" t="s">
        <v>416</v>
      </c>
      <c r="D27" s="199">
        <v>-117</v>
      </c>
      <c r="E27" s="198"/>
      <c r="F27" s="199">
        <v>-9</v>
      </c>
      <c r="G27" s="198"/>
      <c r="H27" s="199">
        <v>495</v>
      </c>
      <c r="I27" s="201"/>
      <c r="J27" s="199">
        <v>39</v>
      </c>
      <c r="K27" s="198" t="s">
        <v>416</v>
      </c>
      <c r="L27" s="199">
        <v>144</v>
      </c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</row>
    <row r="28" spans="1:26" ht="12.75" customHeight="1">
      <c r="A28" s="198"/>
      <c r="B28" s="198" t="s">
        <v>339</v>
      </c>
      <c r="C28" s="198"/>
      <c r="D28" s="198"/>
      <c r="E28" s="198"/>
      <c r="F28" s="198"/>
      <c r="G28" s="198"/>
      <c r="H28" s="198"/>
      <c r="I28" s="201"/>
      <c r="J28" s="200"/>
      <c r="K28" s="200"/>
      <c r="L28" s="200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</row>
    <row r="29" spans="1:26" ht="12.75" customHeight="1">
      <c r="A29" s="198"/>
      <c r="B29" s="198" t="s">
        <v>70</v>
      </c>
      <c r="C29" s="198" t="s">
        <v>416</v>
      </c>
      <c r="D29" s="199">
        <v>559</v>
      </c>
      <c r="E29" s="198"/>
      <c r="F29" s="199">
        <v>-2068</v>
      </c>
      <c r="G29" s="198"/>
      <c r="H29" s="199">
        <v>1228</v>
      </c>
      <c r="I29" s="201"/>
      <c r="J29" s="199">
        <v>-4003</v>
      </c>
      <c r="K29" s="198" t="s">
        <v>416</v>
      </c>
      <c r="L29" s="199">
        <v>-1892</v>
      </c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</row>
    <row r="30" spans="1:26" ht="12.75" customHeight="1">
      <c r="A30" s="198"/>
      <c r="B30" s="198" t="s">
        <v>82</v>
      </c>
      <c r="C30" s="198" t="s">
        <v>416</v>
      </c>
      <c r="D30" s="199">
        <v>404</v>
      </c>
      <c r="E30" s="198"/>
      <c r="F30" s="199">
        <v>1938</v>
      </c>
      <c r="G30" s="198"/>
      <c r="H30" s="199">
        <v>-382</v>
      </c>
      <c r="I30" s="201"/>
      <c r="J30" s="199">
        <v>1891</v>
      </c>
      <c r="K30" s="198"/>
      <c r="L30" s="199">
        <v>1838</v>
      </c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</row>
    <row r="31" spans="1:26" ht="12.75" customHeight="1">
      <c r="A31" s="198"/>
      <c r="B31" s="198" t="s">
        <v>340</v>
      </c>
      <c r="C31" s="198" t="s">
        <v>416</v>
      </c>
      <c r="D31" s="199">
        <v>801</v>
      </c>
      <c r="E31" s="198"/>
      <c r="F31" s="199">
        <v>741</v>
      </c>
      <c r="G31" s="198"/>
      <c r="H31" s="199">
        <v>172</v>
      </c>
      <c r="I31" s="201"/>
      <c r="J31" s="199">
        <v>549</v>
      </c>
      <c r="K31" s="198"/>
      <c r="L31" s="199">
        <v>1057</v>
      </c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 spans="1:26" ht="12.75" customHeight="1">
      <c r="A32" s="204"/>
      <c r="B32" s="204" t="s">
        <v>341</v>
      </c>
      <c r="C32" s="204" t="s">
        <v>416</v>
      </c>
      <c r="D32" s="222">
        <v>13335</v>
      </c>
      <c r="E32" s="204"/>
      <c r="F32" s="222">
        <v>11339</v>
      </c>
      <c r="G32" s="204"/>
      <c r="H32" s="222">
        <v>11068</v>
      </c>
      <c r="I32" s="204"/>
      <c r="J32" s="222">
        <v>7392</v>
      </c>
      <c r="K32" s="204"/>
      <c r="L32" s="222">
        <v>8958</v>
      </c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</row>
    <row r="33" spans="1:26" ht="12.75" customHeight="1">
      <c r="A33" s="198"/>
      <c r="B33" s="198" t="s">
        <v>342</v>
      </c>
      <c r="C33" s="198"/>
      <c r="D33" s="198"/>
      <c r="E33" s="198"/>
      <c r="F33" s="198"/>
      <c r="G33" s="198"/>
      <c r="H33" s="198"/>
      <c r="I33" s="198"/>
      <c r="J33" s="200"/>
      <c r="K33" s="198"/>
      <c r="L33" s="200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</row>
    <row r="34" spans="1:26" ht="12.75" customHeight="1">
      <c r="A34" s="198"/>
      <c r="B34" s="198" t="s">
        <v>343</v>
      </c>
      <c r="C34" s="198" t="s">
        <v>416</v>
      </c>
      <c r="D34" s="199">
        <v>-5498</v>
      </c>
      <c r="E34" s="198"/>
      <c r="F34" s="199">
        <v>-4710</v>
      </c>
      <c r="G34" s="198"/>
      <c r="H34" s="199">
        <v>-4323</v>
      </c>
      <c r="I34" s="198"/>
      <c r="J34" s="199">
        <v>-3891</v>
      </c>
      <c r="K34" s="198"/>
      <c r="L34" s="199">
        <v>-3588</v>
      </c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</row>
    <row r="35" spans="1:26" ht="12.75" customHeight="1">
      <c r="A35" s="198"/>
      <c r="B35" s="198" t="s">
        <v>344</v>
      </c>
      <c r="C35" s="198" t="s">
        <v>416</v>
      </c>
      <c r="D35" s="199">
        <v>-1028</v>
      </c>
      <c r="E35" s="198"/>
      <c r="F35" s="199">
        <v>-1470</v>
      </c>
      <c r="G35" s="198"/>
      <c r="H35" s="199">
        <v>-1622</v>
      </c>
      <c r="I35" s="198"/>
      <c r="J35" s="199">
        <v>-1121</v>
      </c>
      <c r="K35" s="198"/>
      <c r="L35" s="199">
        <v>-1331</v>
      </c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</row>
    <row r="36" spans="1:26" ht="12.75" customHeight="1">
      <c r="A36" s="198"/>
      <c r="B36" s="198" t="s">
        <v>345</v>
      </c>
      <c r="C36" s="198" t="s">
        <v>416</v>
      </c>
      <c r="D36" s="199">
        <v>1141</v>
      </c>
      <c r="E36" s="198"/>
      <c r="F36" s="199">
        <v>1790</v>
      </c>
      <c r="G36" s="198"/>
      <c r="H36" s="199">
        <v>937</v>
      </c>
      <c r="I36" s="198"/>
      <c r="J36" s="199">
        <v>1145</v>
      </c>
      <c r="K36" s="198"/>
      <c r="L36" s="199">
        <v>1446</v>
      </c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 spans="1:26" ht="12.75" customHeight="1">
      <c r="A37" s="198"/>
      <c r="B37" s="198" t="s">
        <v>346</v>
      </c>
      <c r="C37" s="198" t="s">
        <v>416</v>
      </c>
      <c r="D37" s="199">
        <v>74</v>
      </c>
      <c r="E37" s="198"/>
      <c r="F37" s="199">
        <v>-19</v>
      </c>
      <c r="G37" s="198"/>
      <c r="H37" s="199">
        <v>36</v>
      </c>
      <c r="I37" s="198"/>
      <c r="J37" s="199">
        <v>-48</v>
      </c>
      <c r="K37" s="198"/>
      <c r="L37" s="199">
        <v>-62</v>
      </c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</row>
    <row r="38" spans="1:26" ht="12.75" customHeight="1">
      <c r="A38" s="204"/>
      <c r="B38" s="204" t="s">
        <v>347</v>
      </c>
      <c r="C38" s="204" t="s">
        <v>416</v>
      </c>
      <c r="D38" s="222">
        <v>-5311</v>
      </c>
      <c r="E38" s="204"/>
      <c r="F38" s="222">
        <v>-4409</v>
      </c>
      <c r="G38" s="204"/>
      <c r="H38" s="222">
        <v>-4972</v>
      </c>
      <c r="I38" s="204"/>
      <c r="J38" s="222">
        <v>-3915</v>
      </c>
      <c r="K38" s="204"/>
      <c r="L38" s="222">
        <v>-3535</v>
      </c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</row>
    <row r="39" spans="1:26" ht="12.75" customHeight="1">
      <c r="A39" s="198"/>
      <c r="B39" s="198" t="s">
        <v>348</v>
      </c>
      <c r="C39" s="198"/>
      <c r="D39" s="198"/>
      <c r="E39" s="198"/>
      <c r="F39" s="198"/>
      <c r="G39" s="198"/>
      <c r="H39" s="198"/>
      <c r="I39" s="198"/>
      <c r="J39" s="200"/>
      <c r="K39" s="198"/>
      <c r="L39" s="200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</row>
    <row r="40" spans="1:26" ht="12.75" customHeight="1">
      <c r="A40" s="198"/>
      <c r="B40" s="198" t="s">
        <v>349</v>
      </c>
      <c r="C40" s="198" t="s">
        <v>416</v>
      </c>
      <c r="D40" s="199">
        <v>-862</v>
      </c>
      <c r="E40" s="198"/>
      <c r="F40" s="199">
        <v>-920</v>
      </c>
      <c r="G40" s="198"/>
      <c r="H40" s="199">
        <v>-935</v>
      </c>
      <c r="I40" s="198"/>
      <c r="J40" s="199">
        <v>-6</v>
      </c>
      <c r="K40" s="198"/>
      <c r="L40" s="218">
        <v>0</v>
      </c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</row>
    <row r="41" spans="1:26" ht="12.75" customHeight="1">
      <c r="A41" s="198"/>
      <c r="B41" s="198" t="s">
        <v>350</v>
      </c>
      <c r="C41" s="198" t="s">
        <v>416</v>
      </c>
      <c r="D41" s="199">
        <v>816</v>
      </c>
      <c r="E41" s="198"/>
      <c r="F41" s="199">
        <v>928</v>
      </c>
      <c r="G41" s="198"/>
      <c r="H41" s="199">
        <v>917</v>
      </c>
      <c r="I41" s="198"/>
      <c r="J41" s="199">
        <v>53</v>
      </c>
      <c r="K41" s="198"/>
      <c r="L41" s="199">
        <v>41</v>
      </c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</row>
    <row r="42" spans="1:26" ht="12.75" customHeight="1">
      <c r="A42" s="198"/>
      <c r="B42" s="198" t="s">
        <v>352</v>
      </c>
      <c r="C42" s="198" t="s">
        <v>416</v>
      </c>
      <c r="D42" s="199">
        <v>-103</v>
      </c>
      <c r="E42" s="198"/>
      <c r="F42" s="199">
        <v>-1077</v>
      </c>
      <c r="G42" s="198"/>
      <c r="H42" s="199">
        <v>-75</v>
      </c>
      <c r="I42" s="198"/>
      <c r="J42" s="199">
        <v>-800</v>
      </c>
      <c r="K42" s="198"/>
      <c r="L42" s="199">
        <v>-94</v>
      </c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</row>
    <row r="43" spans="1:26" ht="12.75" customHeight="1">
      <c r="A43" s="198"/>
      <c r="B43" s="198" t="s">
        <v>354</v>
      </c>
      <c r="C43" s="198" t="s">
        <v>416</v>
      </c>
      <c r="D43" s="218">
        <v>0</v>
      </c>
      <c r="E43" s="198"/>
      <c r="F43" s="199">
        <v>498</v>
      </c>
      <c r="G43" s="198"/>
      <c r="H43" s="218">
        <v>0</v>
      </c>
      <c r="I43" s="198"/>
      <c r="J43" s="199"/>
      <c r="K43" s="198"/>
      <c r="L43" s="199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</row>
    <row r="44" spans="1:26" ht="12.75" customHeight="1">
      <c r="A44" s="198"/>
      <c r="B44" s="198" t="s">
        <v>355</v>
      </c>
      <c r="C44" s="198" t="s">
        <v>416</v>
      </c>
      <c r="D44" s="199">
        <v>-393</v>
      </c>
      <c r="E44" s="198"/>
      <c r="F44" s="199">
        <v>-315</v>
      </c>
      <c r="G44" s="198"/>
      <c r="H44" s="199">
        <v>-303</v>
      </c>
      <c r="I44" s="198"/>
      <c r="J44" s="199">
        <v>-363</v>
      </c>
      <c r="K44" s="198"/>
      <c r="L44" s="199">
        <v>-312</v>
      </c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</row>
    <row r="45" spans="1:26" ht="12.75" customHeight="1">
      <c r="A45" s="198"/>
      <c r="B45" s="198" t="s">
        <v>356</v>
      </c>
      <c r="C45" s="198" t="s">
        <v>416</v>
      </c>
      <c r="D45" s="199">
        <v>-903</v>
      </c>
      <c r="E45" s="198"/>
      <c r="F45" s="199">
        <v>-700</v>
      </c>
      <c r="G45" s="198"/>
      <c r="H45" s="199">
        <v>-676</v>
      </c>
      <c r="I45" s="198"/>
      <c r="J45" s="199">
        <v>-439</v>
      </c>
      <c r="K45" s="198"/>
      <c r="L45" s="199">
        <v>-496</v>
      </c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</row>
    <row r="46" spans="1:26" ht="12.75" customHeight="1">
      <c r="A46" s="198"/>
      <c r="B46" s="198" t="s">
        <v>357</v>
      </c>
      <c r="C46" s="198" t="s">
        <v>416</v>
      </c>
      <c r="D46" s="199">
        <v>-2183</v>
      </c>
      <c r="E46" s="198"/>
      <c r="F46" s="199">
        <v>-9041</v>
      </c>
      <c r="G46" s="198"/>
      <c r="H46" s="199">
        <v>-1251</v>
      </c>
      <c r="I46" s="198"/>
      <c r="J46" s="199">
        <v>-1498</v>
      </c>
      <c r="K46" s="198"/>
      <c r="L46" s="199">
        <v>-5748</v>
      </c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</row>
    <row r="47" spans="1:26" ht="12.75" customHeight="1">
      <c r="A47" s="198"/>
      <c r="B47" s="198" t="s">
        <v>338</v>
      </c>
      <c r="C47" s="198" t="s">
        <v>416</v>
      </c>
      <c r="D47" s="199">
        <v>-147</v>
      </c>
      <c r="E47" s="198"/>
      <c r="F47" s="199">
        <v>-137</v>
      </c>
      <c r="G47" s="198"/>
      <c r="H47" s="199">
        <v>-291</v>
      </c>
      <c r="I47" s="198"/>
      <c r="J47" s="199">
        <v>-176</v>
      </c>
      <c r="K47" s="198"/>
      <c r="L47" s="199">
        <v>-67</v>
      </c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</row>
    <row r="48" spans="1:26" ht="12.75" customHeight="1">
      <c r="A48" s="198"/>
      <c r="B48" s="198" t="s">
        <v>361</v>
      </c>
      <c r="C48" s="198"/>
      <c r="D48" s="218">
        <v>0</v>
      </c>
      <c r="E48" s="198"/>
      <c r="F48" s="218">
        <v>0</v>
      </c>
      <c r="G48" s="198"/>
      <c r="H48" s="218">
        <v>0</v>
      </c>
      <c r="I48" s="198"/>
      <c r="J48" s="199">
        <v>-208</v>
      </c>
      <c r="K48" s="198"/>
      <c r="L48" s="218">
        <v>0</v>
      </c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</row>
    <row r="49" spans="1:26" ht="12.75" customHeight="1">
      <c r="A49" s="198"/>
      <c r="B49" s="198" t="s">
        <v>362</v>
      </c>
      <c r="C49" s="198"/>
      <c r="D49" s="218">
        <v>0</v>
      </c>
      <c r="E49" s="198"/>
      <c r="F49" s="218">
        <v>0</v>
      </c>
      <c r="G49" s="198"/>
      <c r="H49" s="218">
        <v>0</v>
      </c>
      <c r="I49" s="198"/>
      <c r="J49" s="199">
        <v>-842</v>
      </c>
      <c r="K49" s="198"/>
      <c r="L49" s="218">
        <v>0</v>
      </c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</row>
    <row r="50" spans="1:26" ht="12.75" customHeight="1">
      <c r="A50" s="198"/>
      <c r="B50" s="198" t="s">
        <v>363</v>
      </c>
      <c r="C50" s="198"/>
      <c r="D50" s="218">
        <v>0</v>
      </c>
      <c r="E50" s="198"/>
      <c r="F50" s="218">
        <v>0</v>
      </c>
      <c r="G50" s="198"/>
      <c r="H50" s="218">
        <v>0</v>
      </c>
      <c r="I50" s="198"/>
      <c r="J50" s="199">
        <v>-4</v>
      </c>
      <c r="K50" s="198"/>
      <c r="L50" s="199">
        <v>188</v>
      </c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</row>
    <row r="51" spans="1:26" ht="12.75" customHeight="1">
      <c r="A51" s="204"/>
      <c r="B51" s="204" t="s">
        <v>364</v>
      </c>
      <c r="C51" s="204" t="s">
        <v>416</v>
      </c>
      <c r="D51" s="222">
        <v>-3775</v>
      </c>
      <c r="E51" s="204"/>
      <c r="F51" s="222">
        <v>-10764</v>
      </c>
      <c r="G51" s="204"/>
      <c r="H51" s="222">
        <v>-2614</v>
      </c>
      <c r="I51" s="204"/>
      <c r="J51" s="222">
        <v>-4283</v>
      </c>
      <c r="K51" s="204"/>
      <c r="L51" s="222">
        <v>-6488</v>
      </c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</row>
    <row r="52" spans="1:26" ht="12.75" customHeight="1">
      <c r="A52" s="198"/>
      <c r="B52" s="198" t="s">
        <v>365</v>
      </c>
      <c r="C52" s="198"/>
      <c r="D52" s="198"/>
      <c r="E52" s="198"/>
      <c r="F52" s="198"/>
      <c r="G52" s="198"/>
      <c r="H52" s="198"/>
      <c r="I52" s="198"/>
      <c r="J52" s="200"/>
      <c r="K52" s="198"/>
      <c r="L52" s="200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</row>
    <row r="53" spans="1:26" ht="12.75" customHeight="1">
      <c r="A53" s="198"/>
      <c r="B53" s="198" t="s">
        <v>366</v>
      </c>
      <c r="C53" s="198" t="s">
        <v>416</v>
      </c>
      <c r="D53" s="199">
        <v>6</v>
      </c>
      <c r="E53" s="198"/>
      <c r="F53" s="199">
        <v>40</v>
      </c>
      <c r="G53" s="198"/>
      <c r="H53" s="199">
        <v>15</v>
      </c>
      <c r="I53" s="198"/>
      <c r="J53" s="199">
        <v>-249</v>
      </c>
      <c r="K53" s="198"/>
      <c r="L53" s="199">
        <v>46</v>
      </c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</row>
    <row r="54" spans="1:26" ht="12.75" customHeight="1">
      <c r="A54" s="204"/>
      <c r="B54" s="204" t="s">
        <v>367</v>
      </c>
      <c r="C54" s="204" t="s">
        <v>416</v>
      </c>
      <c r="D54" s="222">
        <v>4255</v>
      </c>
      <c r="E54" s="204"/>
      <c r="F54" s="222">
        <v>-3794</v>
      </c>
      <c r="G54" s="204"/>
      <c r="H54" s="222">
        <v>3497</v>
      </c>
      <c r="I54" s="204"/>
      <c r="J54" s="222">
        <v>-1055</v>
      </c>
      <c r="K54" s="204"/>
      <c r="L54" s="222">
        <v>-1019</v>
      </c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</row>
    <row r="55" spans="1:26" ht="12.75" customHeight="1">
      <c r="A55" s="198"/>
      <c r="B55" s="198" t="s">
        <v>368</v>
      </c>
      <c r="C55" s="198" t="s">
        <v>416</v>
      </c>
      <c r="D55" s="199">
        <v>9906</v>
      </c>
      <c r="E55" s="198"/>
      <c r="F55" s="199">
        <v>13700</v>
      </c>
      <c r="G55" s="198"/>
      <c r="H55" s="199">
        <v>10203</v>
      </c>
      <c r="I55" s="198"/>
      <c r="J55" s="199">
        <v>11258</v>
      </c>
      <c r="K55" s="198"/>
      <c r="L55" s="199">
        <v>12277</v>
      </c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</row>
    <row r="56" spans="1:26" ht="12.75" customHeight="1">
      <c r="A56" s="204"/>
      <c r="B56" s="204" t="s">
        <v>369</v>
      </c>
      <c r="C56" s="204" t="s">
        <v>416</v>
      </c>
      <c r="D56" s="223">
        <v>14161</v>
      </c>
      <c r="E56" s="204"/>
      <c r="F56" s="223">
        <v>9906</v>
      </c>
      <c r="G56" s="204"/>
      <c r="H56" s="223">
        <v>13700</v>
      </c>
      <c r="I56" s="204"/>
      <c r="J56" s="223">
        <v>10203</v>
      </c>
      <c r="K56" s="204"/>
      <c r="L56" s="223">
        <v>11258</v>
      </c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</row>
    <row r="57" spans="1:26" ht="12.75" customHeight="1">
      <c r="A57" s="198"/>
      <c r="B57" s="198"/>
      <c r="C57" s="198"/>
      <c r="D57" s="198"/>
      <c r="E57" s="198"/>
      <c r="F57" s="198"/>
      <c r="G57" s="198"/>
      <c r="H57" s="198"/>
      <c r="I57" s="201"/>
      <c r="J57" s="200"/>
      <c r="K57" s="200"/>
      <c r="L57" s="200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</row>
    <row r="58" spans="1:26" ht="12.75" customHeight="1">
      <c r="A58" s="198"/>
      <c r="B58" s="198" t="s">
        <v>453</v>
      </c>
      <c r="C58" s="198"/>
      <c r="D58" s="198"/>
      <c r="E58" s="198"/>
      <c r="F58" s="198"/>
      <c r="G58" s="198"/>
      <c r="H58" s="198"/>
      <c r="I58" s="201"/>
      <c r="J58" s="200"/>
      <c r="K58" s="200"/>
      <c r="L58" s="200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</row>
    <row r="59" spans="1:26" ht="12.75" customHeight="1">
      <c r="A59" s="198"/>
      <c r="B59" s="198" t="s">
        <v>454</v>
      </c>
      <c r="C59" s="198"/>
      <c r="D59" s="198"/>
      <c r="E59" s="198"/>
      <c r="F59" s="198"/>
      <c r="G59" s="198"/>
      <c r="H59" s="198"/>
      <c r="I59" s="201"/>
      <c r="J59" s="200"/>
      <c r="K59" s="200"/>
      <c r="L59" s="200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</row>
    <row r="60" spans="1:26" ht="12.75" customHeight="1">
      <c r="A60" s="198"/>
      <c r="B60" s="198" t="s">
        <v>455</v>
      </c>
      <c r="C60" s="198" t="s">
        <v>416</v>
      </c>
      <c r="D60" s="201">
        <v>106</v>
      </c>
      <c r="E60" s="198" t="s">
        <v>416</v>
      </c>
      <c r="F60" s="201">
        <v>129</v>
      </c>
      <c r="G60" s="198"/>
      <c r="H60" s="201">
        <v>125</v>
      </c>
      <c r="I60" s="201"/>
      <c r="J60" s="201">
        <v>145</v>
      </c>
      <c r="K60" s="198"/>
      <c r="L60" s="201">
        <v>149</v>
      </c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</row>
    <row r="61" spans="1:26" ht="12.75" customHeight="1">
      <c r="A61" s="198"/>
      <c r="B61" s="198" t="s">
        <v>456</v>
      </c>
      <c r="C61" s="198" t="s">
        <v>416</v>
      </c>
      <c r="D61" s="201">
        <v>2917</v>
      </c>
      <c r="E61" s="198" t="s">
        <v>416</v>
      </c>
      <c r="F61" s="201">
        <v>2319</v>
      </c>
      <c r="G61" s="198"/>
      <c r="H61" s="201">
        <v>2234</v>
      </c>
      <c r="I61" s="201"/>
      <c r="J61" s="201">
        <v>1940</v>
      </c>
      <c r="K61" s="198" t="s">
        <v>416</v>
      </c>
      <c r="L61" s="201">
        <v>1527</v>
      </c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</row>
    <row r="62" spans="1:26" ht="12.75" customHeight="1">
      <c r="A62" s="198"/>
      <c r="B62" s="198" t="s">
        <v>457</v>
      </c>
      <c r="C62" s="198"/>
      <c r="D62" s="198"/>
      <c r="E62" s="198"/>
      <c r="F62" s="198"/>
      <c r="G62" s="198"/>
      <c r="H62" s="198"/>
      <c r="I62" s="201"/>
      <c r="J62" s="200"/>
      <c r="K62" s="200"/>
      <c r="L62" s="200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</row>
    <row r="63" spans="1:26" ht="12.75" customHeight="1">
      <c r="A63" s="198"/>
      <c r="B63" s="198" t="s">
        <v>458</v>
      </c>
      <c r="C63" s="198" t="s">
        <v>416</v>
      </c>
      <c r="D63" s="203">
        <v>0</v>
      </c>
      <c r="E63" s="198" t="s">
        <v>416</v>
      </c>
      <c r="F63" s="203">
        <v>0</v>
      </c>
      <c r="G63" s="198"/>
      <c r="H63" s="201">
        <v>452</v>
      </c>
      <c r="I63" s="201"/>
      <c r="J63" s="203">
        <v>0</v>
      </c>
      <c r="K63" s="198" t="s">
        <v>416</v>
      </c>
      <c r="L63" s="203">
        <v>0</v>
      </c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</row>
    <row r="64" spans="1:26" ht="12.75" customHeight="1">
      <c r="A64" s="198"/>
      <c r="B64" s="198" t="s">
        <v>459</v>
      </c>
      <c r="C64" s="198" t="s">
        <v>416</v>
      </c>
      <c r="D64" s="201">
        <v>193</v>
      </c>
      <c r="E64" s="198" t="s">
        <v>416</v>
      </c>
      <c r="F64" s="201">
        <v>203</v>
      </c>
      <c r="G64" s="198"/>
      <c r="H64" s="201">
        <v>170</v>
      </c>
      <c r="I64" s="201"/>
      <c r="J64" s="201">
        <v>156</v>
      </c>
      <c r="K64" s="198" t="s">
        <v>416</v>
      </c>
      <c r="L64" s="201">
        <v>184</v>
      </c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</row>
    <row r="65" spans="1:26" ht="12.75" customHeight="1">
      <c r="A65" s="198"/>
      <c r="B65" s="198"/>
      <c r="C65" s="198"/>
      <c r="D65" s="198"/>
      <c r="E65" s="198"/>
      <c r="F65" s="198"/>
      <c r="G65" s="198"/>
      <c r="H65" s="198"/>
      <c r="I65" s="200"/>
      <c r="J65" s="200"/>
      <c r="K65" s="200"/>
      <c r="L65" s="200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</row>
    <row r="66" spans="1:26" ht="12.75" customHeight="1">
      <c r="A66" s="198"/>
      <c r="B66" s="198"/>
      <c r="C66" s="198"/>
      <c r="D66" s="198"/>
      <c r="E66" s="198"/>
      <c r="F66" s="198"/>
      <c r="G66" s="198"/>
      <c r="H66" s="198"/>
      <c r="I66" s="198"/>
      <c r="J66" s="203"/>
      <c r="K66" s="198"/>
      <c r="L66" s="203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</row>
    <row r="67" spans="1:26" ht="12.75" customHeight="1">
      <c r="A67" s="198"/>
      <c r="B67" s="198"/>
      <c r="C67" s="198"/>
      <c r="D67" s="198"/>
      <c r="E67" s="198"/>
      <c r="F67" s="198"/>
      <c r="G67" s="198"/>
      <c r="H67" s="198"/>
      <c r="I67" s="198"/>
      <c r="J67" s="201"/>
      <c r="K67" s="198"/>
      <c r="L67" s="201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</row>
    <row r="68" spans="1:26" ht="12.75" customHeight="1">
      <c r="A68" s="198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</row>
    <row r="69" spans="1:26" ht="12.75" customHeight="1">
      <c r="A69" s="198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</row>
    <row r="70" spans="1:26" ht="12.75" customHeight="1">
      <c r="A70" s="198"/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</row>
    <row r="71" spans="1:26" ht="12.75" customHeight="1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</row>
    <row r="72" spans="1:26" ht="12.75" customHeight="1">
      <c r="A72" s="198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</row>
    <row r="73" spans="1:26" ht="12.75" customHeight="1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</row>
    <row r="74" spans="1:26" ht="12.75" customHeight="1">
      <c r="A74" s="198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</row>
    <row r="75" spans="1:26" ht="12.75" customHeight="1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</row>
    <row r="76" spans="1:26" ht="12.75" customHeight="1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</row>
    <row r="77" spans="1:26" ht="12.75" customHeight="1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</row>
    <row r="78" spans="1:26" ht="12.75" customHeight="1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</row>
    <row r="79" spans="1:26" ht="12.75" customHeight="1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</row>
    <row r="80" spans="1:26" ht="12.75" customHeight="1">
      <c r="A80" s="198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</row>
    <row r="81" spans="1:26" ht="12.75" customHeight="1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</row>
    <row r="82" spans="1:26" ht="12.75" customHeight="1">
      <c r="A82" s="198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</row>
    <row r="83" spans="1:26" ht="12.75" customHeight="1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</row>
    <row r="84" spans="1:26" ht="12.75" customHeight="1">
      <c r="A84" s="198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</row>
    <row r="85" spans="1:26" ht="12.75" customHeight="1">
      <c r="A85" s="198"/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</row>
    <row r="86" spans="1:26" ht="12.75" customHeight="1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</row>
    <row r="87" spans="1:26" ht="12.75" customHeight="1">
      <c r="A87" s="198"/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</row>
    <row r="88" spans="1:26" ht="12.75" customHeight="1">
      <c r="A88" s="198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</row>
    <row r="89" spans="1:26" ht="12.75" customHeight="1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</row>
    <row r="90" spans="1:26" ht="12.75" customHeight="1">
      <c r="A90" s="198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</row>
    <row r="91" spans="1:26" ht="12.75" customHeight="1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</row>
    <row r="92" spans="1:26" ht="12.75" customHeight="1">
      <c r="A92" s="198"/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</row>
    <row r="93" spans="1:26" ht="12.75" customHeight="1">
      <c r="A93" s="198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</row>
    <row r="94" spans="1:26" ht="12.75" customHeight="1">
      <c r="A94" s="198"/>
      <c r="B94" s="198"/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</row>
    <row r="95" spans="1:26" ht="12.75" customHeight="1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</row>
    <row r="96" spans="1:26" ht="12.75" customHeight="1">
      <c r="A96" s="198"/>
      <c r="B96" s="198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</row>
    <row r="97" spans="1:26" ht="12.75" customHeight="1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</row>
    <row r="98" spans="1:26" ht="12.75" customHeight="1">
      <c r="A98" s="198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</row>
    <row r="99" spans="1:26" ht="12.75" customHeight="1">
      <c r="A99" s="198"/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</row>
    <row r="100" spans="1:26" ht="12.75" customHeight="1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</row>
    <row r="101" spans="1:26" ht="12.75" customHeight="1">
      <c r="A101" s="198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</row>
    <row r="102" spans="1:26" ht="12.75" customHeight="1">
      <c r="A102" s="198"/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</row>
    <row r="103" spans="1:26" ht="12.75" customHeight="1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</row>
    <row r="104" spans="1:26" ht="12.75" customHeight="1">
      <c r="A104" s="198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</row>
    <row r="105" spans="1:26" ht="12.75" customHeight="1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</row>
    <row r="106" spans="1:26" ht="12.75" customHeight="1">
      <c r="A106" s="198"/>
      <c r="B106" s="198"/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</row>
    <row r="107" spans="1:26" ht="12.75" customHeight="1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</row>
    <row r="108" spans="1:26" ht="12.75" customHeight="1">
      <c r="A108" s="198"/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</row>
    <row r="109" spans="1:26" ht="12.75" customHeight="1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</row>
    <row r="110" spans="1:26" ht="12.75" customHeight="1">
      <c r="A110" s="198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</row>
    <row r="111" spans="1:26" ht="12.75" customHeight="1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</row>
    <row r="112" spans="1:26" ht="12.75" customHeight="1">
      <c r="A112" s="198"/>
      <c r="B112" s="198"/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</row>
    <row r="113" spans="1:26" ht="12.75" customHeight="1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</row>
    <row r="114" spans="1:26" ht="12.75" customHeight="1">
      <c r="A114" s="198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</row>
    <row r="115" spans="1:26" ht="12.75" customHeight="1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</row>
    <row r="116" spans="1:26" ht="12.75" customHeight="1">
      <c r="A116" s="198"/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</row>
    <row r="117" spans="1:26" ht="12.75" customHeight="1">
      <c r="A117" s="198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</row>
    <row r="118" spans="1:26" ht="12.75" customHeight="1">
      <c r="A118" s="198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</row>
    <row r="119" spans="1:26" ht="12.75" customHeight="1">
      <c r="A119" s="198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</row>
    <row r="120" spans="1:26" ht="12.75" customHeight="1">
      <c r="A120" s="198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</row>
    <row r="121" spans="1:26" ht="12.75" customHeight="1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</row>
    <row r="122" spans="1:26" ht="12.75" customHeight="1">
      <c r="A122" s="198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</row>
    <row r="123" spans="1:26" ht="12.75" customHeight="1">
      <c r="A123" s="198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</row>
    <row r="124" spans="1:26" ht="12.75" customHeight="1">
      <c r="A124" s="198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</row>
    <row r="125" spans="1:26" ht="12.75" customHeight="1">
      <c r="A125" s="198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</row>
    <row r="126" spans="1:26" ht="12.75" customHeight="1">
      <c r="A126" s="198"/>
      <c r="B126" s="198"/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</row>
    <row r="127" spans="1:26" ht="12.75" customHeight="1">
      <c r="A127" s="198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</row>
    <row r="128" spans="1:26" ht="12.75" customHeight="1">
      <c r="A128" s="198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</row>
    <row r="129" spans="1:26" ht="12.75" customHeight="1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</row>
    <row r="130" spans="1:26" ht="12.75" customHeight="1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</row>
    <row r="131" spans="1:26" ht="12.75" customHeight="1">
      <c r="A131" s="198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</row>
    <row r="132" spans="1:26" ht="12.75" customHeight="1">
      <c r="A132" s="198"/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</row>
    <row r="133" spans="1:26" ht="12.75" customHeight="1">
      <c r="A133" s="198"/>
      <c r="B133" s="198"/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</row>
    <row r="134" spans="1:26" ht="12.75" customHeight="1">
      <c r="A134" s="198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</row>
    <row r="135" spans="1:26" ht="12.75" customHeight="1">
      <c r="A135" s="198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</row>
    <row r="136" spans="1:26" ht="12.75" customHeight="1">
      <c r="A136" s="198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</row>
    <row r="137" spans="1:26" ht="12.75" customHeight="1">
      <c r="A137" s="198"/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</row>
    <row r="138" spans="1:26" ht="12.75" customHeight="1">
      <c r="A138" s="198"/>
      <c r="B138" s="198"/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</row>
    <row r="139" spans="1:26" ht="12.75" customHeight="1">
      <c r="A139" s="198"/>
      <c r="B139" s="198"/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</row>
    <row r="140" spans="1:26" ht="12.75" customHeight="1">
      <c r="A140" s="198"/>
      <c r="B140" s="198"/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</row>
    <row r="141" spans="1:26" ht="12.75" customHeight="1">
      <c r="A141" s="198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</row>
    <row r="142" spans="1:26" ht="12.75" customHeight="1">
      <c r="A142" s="198"/>
      <c r="B142" s="198"/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</row>
    <row r="143" spans="1:26" ht="12.75" customHeight="1">
      <c r="A143" s="198"/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</row>
    <row r="144" spans="1:26" ht="12.75" customHeight="1">
      <c r="A144" s="198"/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</row>
    <row r="145" spans="1:26" ht="12.75" customHeight="1">
      <c r="A145" s="198"/>
      <c r="B145" s="198"/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</row>
    <row r="146" spans="1:26" ht="12.75" customHeight="1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</row>
    <row r="147" spans="1:26" ht="12.75" customHeight="1">
      <c r="A147" s="198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</row>
    <row r="148" spans="1:26" ht="12.75" customHeight="1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</row>
    <row r="149" spans="1:26" ht="12.75" customHeight="1">
      <c r="A149" s="198"/>
      <c r="B149" s="198"/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</row>
    <row r="150" spans="1:26" ht="12.75" customHeight="1">
      <c r="A150" s="198"/>
      <c r="B150" s="198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</row>
    <row r="151" spans="1:26" ht="12.75" customHeight="1">
      <c r="A151" s="198"/>
      <c r="B151" s="198"/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</row>
    <row r="152" spans="1:26" ht="12.75" customHeight="1">
      <c r="A152" s="198"/>
      <c r="B152" s="198"/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</row>
    <row r="153" spans="1:26" ht="12.75" customHeight="1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</row>
    <row r="154" spans="1:26" ht="12.75" customHeight="1">
      <c r="A154" s="198"/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</row>
    <row r="155" spans="1:26" ht="12.75" customHeight="1">
      <c r="A155" s="198"/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</row>
    <row r="156" spans="1:26" ht="12.75" customHeight="1">
      <c r="A156" s="198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</row>
    <row r="157" spans="1:26" ht="12.75" customHeight="1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</row>
    <row r="158" spans="1:26" ht="12.75" customHeight="1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</row>
    <row r="159" spans="1:26" ht="12.75" customHeight="1">
      <c r="A159" s="198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</row>
    <row r="160" spans="1:26" ht="12.75" customHeight="1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</row>
    <row r="161" spans="1:26" ht="12.75" customHeight="1">
      <c r="A161" s="198"/>
      <c r="B161" s="198"/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</row>
    <row r="162" spans="1:26" ht="12.75" customHeight="1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</row>
    <row r="163" spans="1:26" ht="12.75" customHeight="1">
      <c r="A163" s="198"/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</row>
    <row r="164" spans="1:26" ht="12.75" customHeight="1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</row>
    <row r="165" spans="1:26" ht="12.75" customHeight="1">
      <c r="A165" s="198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</row>
    <row r="166" spans="1:26" ht="12.75" customHeight="1">
      <c r="A166" s="198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</row>
    <row r="167" spans="1:26" ht="12.75" customHeight="1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</row>
    <row r="168" spans="1:26" ht="12.75" customHeight="1">
      <c r="A168" s="198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</row>
    <row r="169" spans="1:26" ht="12.75" customHeight="1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</row>
    <row r="170" spans="1:26" ht="12.75" customHeight="1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</row>
    <row r="171" spans="1:26" ht="12.75" customHeight="1">
      <c r="A171" s="198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</row>
    <row r="172" spans="1:26" ht="12.75" customHeight="1">
      <c r="A172" s="198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</row>
    <row r="173" spans="1:26" ht="12.75" customHeight="1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</row>
    <row r="174" spans="1:26" ht="12.75" customHeight="1">
      <c r="A174" s="198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</row>
    <row r="175" spans="1:26" ht="12.75" customHeight="1">
      <c r="A175" s="198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</row>
    <row r="176" spans="1:26" ht="12.75" customHeight="1">
      <c r="A176" s="198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</row>
    <row r="177" spans="1:26" ht="12.75" customHeight="1">
      <c r="A177" s="198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</row>
    <row r="178" spans="1:26" ht="12.75" customHeight="1">
      <c r="A178" s="198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</row>
    <row r="179" spans="1:26" ht="12.75" customHeight="1">
      <c r="A179" s="198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</row>
    <row r="180" spans="1:26" ht="12.75" customHeight="1">
      <c r="A180" s="198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</row>
    <row r="181" spans="1:26" ht="12.75" customHeight="1">
      <c r="A181" s="198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</row>
    <row r="182" spans="1:26" ht="12.75" customHeight="1">
      <c r="A182" s="198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</row>
    <row r="183" spans="1:26" ht="12.75" customHeight="1">
      <c r="A183" s="198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</row>
    <row r="184" spans="1:26" ht="12.75" customHeight="1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</row>
    <row r="185" spans="1:26" ht="12.75" customHeight="1">
      <c r="A185" s="198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</row>
    <row r="186" spans="1:26" ht="12.75" customHeight="1">
      <c r="A186" s="198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</row>
    <row r="187" spans="1:26" ht="12.75" customHeight="1">
      <c r="A187" s="198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</row>
    <row r="188" spans="1:26" ht="12.75" customHeight="1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</row>
    <row r="189" spans="1:26" ht="12.75" customHeight="1">
      <c r="A189" s="198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</row>
    <row r="190" spans="1:26" ht="12.75" customHeight="1">
      <c r="A190" s="198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</row>
    <row r="191" spans="1:26" ht="12.75" customHeight="1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</row>
    <row r="192" spans="1:26" ht="12.75" customHeight="1">
      <c r="A192" s="198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</row>
    <row r="193" spans="1:26" ht="12.75" customHeight="1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</row>
    <row r="194" spans="1:26" ht="12.75" customHeight="1">
      <c r="A194" s="198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</row>
    <row r="195" spans="1:26" ht="12.75" customHeight="1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</row>
    <row r="196" spans="1:26" ht="12.75" customHeight="1">
      <c r="A196" s="198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</row>
    <row r="197" spans="1:26" ht="12.75" customHeight="1">
      <c r="A197" s="198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</row>
    <row r="198" spans="1:26" ht="12.75" customHeight="1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</row>
    <row r="199" spans="1:26" ht="12.75" customHeight="1">
      <c r="A199" s="198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</row>
    <row r="200" spans="1:26" ht="12.75" customHeight="1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</row>
    <row r="201" spans="1:26" ht="12.75" customHeight="1">
      <c r="A201" s="198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</row>
    <row r="202" spans="1:26" ht="12.75" customHeight="1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</row>
    <row r="203" spans="1:26" ht="12.75" customHeight="1">
      <c r="A203" s="198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</row>
    <row r="204" spans="1:26" ht="12.75" customHeight="1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</row>
    <row r="205" spans="1:26" ht="12.75" customHeight="1">
      <c r="A205" s="198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</row>
    <row r="206" spans="1:26" ht="12.75" customHeight="1">
      <c r="A206" s="198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</row>
    <row r="207" spans="1:26" ht="12.75" customHeight="1">
      <c r="A207" s="198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</row>
    <row r="208" spans="1:26" ht="12.75" customHeight="1">
      <c r="A208" s="198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</row>
    <row r="209" spans="1:26" ht="12.75" customHeight="1">
      <c r="A209" s="198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</row>
    <row r="210" spans="1:26" ht="12.75" customHeight="1">
      <c r="A210" s="198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</row>
    <row r="211" spans="1:26" ht="12.75" customHeight="1">
      <c r="A211" s="198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</row>
    <row r="212" spans="1:26" ht="12.75" customHeight="1">
      <c r="A212" s="198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</row>
    <row r="213" spans="1:26" ht="12.75" customHeight="1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</row>
    <row r="214" spans="1:26" ht="12.75" customHeight="1">
      <c r="A214" s="198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</row>
    <row r="215" spans="1:26" ht="12.75" customHeight="1">
      <c r="A215" s="198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</row>
    <row r="216" spans="1:26" ht="12.75" customHeight="1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</row>
    <row r="217" spans="1:26" ht="12.75" customHeight="1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</row>
    <row r="218" spans="1:26" ht="12.75" customHeight="1">
      <c r="A218" s="198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</row>
    <row r="219" spans="1:26" ht="12.75" customHeight="1">
      <c r="A219" s="198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</row>
    <row r="220" spans="1:26" ht="12.75" customHeight="1">
      <c r="A220" s="198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</row>
    <row r="221" spans="1:26" ht="12.75" customHeight="1">
      <c r="A221" s="198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</row>
    <row r="222" spans="1:26" ht="12.75" customHeight="1">
      <c r="A222" s="198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</row>
    <row r="223" spans="1:26" ht="12.75" customHeight="1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</row>
    <row r="224" spans="1:26" ht="12.75" customHeight="1">
      <c r="A224" s="198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</row>
    <row r="225" spans="1:26" ht="12.75" customHeight="1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</row>
    <row r="226" spans="1:26" ht="12.75" customHeight="1">
      <c r="A226" s="198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</row>
    <row r="227" spans="1:26" ht="12.75" customHeight="1">
      <c r="A227" s="198"/>
      <c r="B227" s="198"/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</row>
    <row r="228" spans="1:26" ht="12.75" customHeight="1">
      <c r="A228" s="198"/>
      <c r="B228" s="198"/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</row>
    <row r="229" spans="1:26" ht="12.75" customHeight="1">
      <c r="A229" s="198"/>
      <c r="B229" s="198"/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</row>
    <row r="230" spans="1:26" ht="12.75" customHeight="1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</row>
    <row r="231" spans="1:26" ht="12.75" customHeight="1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</row>
    <row r="232" spans="1:26" ht="12.75" customHeight="1">
      <c r="A232" s="198"/>
      <c r="B232" s="198"/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</row>
    <row r="233" spans="1:26" ht="12.75" customHeight="1">
      <c r="A233" s="198"/>
      <c r="B233" s="198"/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</row>
    <row r="234" spans="1:26" ht="12.75" customHeight="1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</row>
    <row r="235" spans="1:26" ht="12.75" customHeight="1">
      <c r="A235" s="198"/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</row>
    <row r="236" spans="1:26" ht="12.75" customHeight="1">
      <c r="A236" s="198"/>
      <c r="B236" s="198"/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</row>
    <row r="237" spans="1:26" ht="12.75" customHeight="1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</row>
    <row r="238" spans="1:26" ht="12.75" customHeight="1">
      <c r="A238" s="198"/>
      <c r="B238" s="198"/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</row>
    <row r="239" spans="1:26" ht="12.75" customHeight="1">
      <c r="A239" s="198"/>
      <c r="B239" s="198"/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</row>
    <row r="240" spans="1:26" ht="12.75" customHeight="1">
      <c r="A240" s="198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</row>
    <row r="241" spans="1:26" ht="12.75" customHeight="1">
      <c r="A241" s="198"/>
      <c r="B241" s="198"/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</row>
    <row r="242" spans="1:26" ht="12.75" customHeight="1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</row>
    <row r="243" spans="1:26" ht="12.75" customHeight="1">
      <c r="A243" s="198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</row>
    <row r="244" spans="1:26" ht="12.75" customHeight="1">
      <c r="A244" s="198"/>
      <c r="B244" s="198"/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</row>
    <row r="245" spans="1:26" ht="12.75" customHeight="1">
      <c r="A245" s="198"/>
      <c r="B245" s="198"/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</row>
    <row r="246" spans="1:26" ht="12.75" customHeight="1">
      <c r="A246" s="198"/>
      <c r="B246" s="198"/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</row>
    <row r="247" spans="1:26" ht="12.75" customHeight="1">
      <c r="A247" s="198"/>
      <c r="B247" s="198"/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</row>
    <row r="248" spans="1:26" ht="12.75" customHeight="1">
      <c r="A248" s="198"/>
      <c r="B248" s="198"/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</row>
    <row r="249" spans="1:26" ht="12.75" customHeight="1">
      <c r="A249" s="198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</row>
    <row r="250" spans="1:26" ht="12.75" customHeight="1">
      <c r="A250" s="198"/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</row>
    <row r="251" spans="1:26" ht="12.75" customHeight="1">
      <c r="A251" s="198"/>
      <c r="B251" s="198"/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</row>
    <row r="252" spans="1:26" ht="12.75" customHeight="1">
      <c r="A252" s="198"/>
      <c r="B252" s="198"/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</row>
    <row r="253" spans="1:26" ht="12.75" customHeight="1">
      <c r="A253" s="198"/>
      <c r="B253" s="198"/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</row>
    <row r="254" spans="1:26" ht="12.75" customHeight="1">
      <c r="A254" s="198"/>
      <c r="B254" s="198"/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</row>
    <row r="255" spans="1:26" ht="12.75" customHeight="1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</row>
    <row r="256" spans="1:26" ht="12.75" customHeight="1">
      <c r="A256" s="198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</row>
    <row r="257" spans="1:26" ht="12.75" customHeight="1">
      <c r="A257" s="198"/>
      <c r="B257" s="198"/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</row>
    <row r="258" spans="1:26" ht="12.75" customHeight="1">
      <c r="A258" s="198"/>
      <c r="B258" s="198"/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</row>
    <row r="259" spans="1:26" ht="12.75" customHeight="1">
      <c r="A259" s="198"/>
      <c r="B259" s="198"/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</row>
    <row r="260" spans="1:26" ht="12.75" customHeight="1">
      <c r="A260" s="198"/>
      <c r="B260" s="198"/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</row>
    <row r="261" spans="1:26" ht="12.75" customHeight="1">
      <c r="A261" s="198"/>
      <c r="B261" s="198"/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</row>
    <row r="262" spans="1:26" ht="12.75" customHeight="1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</row>
    <row r="263" spans="1:26" ht="12.75" customHeight="1">
      <c r="A263" s="198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</row>
    <row r="264" spans="1:26" ht="12.75" customHeight="1">
      <c r="A264" s="198"/>
      <c r="B264" s="198"/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</row>
    <row r="265" spans="1:26" ht="12.75" customHeight="1">
      <c r="A265" s="198"/>
      <c r="B265" s="198"/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</row>
    <row r="266" spans="1:26" ht="12.75" customHeight="1">
      <c r="A266" s="198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</row>
    <row r="267" spans="1:26" ht="12.75" customHeight="1">
      <c r="A267" s="198"/>
      <c r="B267" s="198"/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</row>
    <row r="268" spans="1:26" ht="12.75" customHeight="1">
      <c r="A268" s="198"/>
      <c r="B268" s="198"/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</row>
    <row r="269" spans="1:26" ht="12.75" customHeight="1">
      <c r="A269" s="198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</row>
    <row r="270" spans="1:26" ht="12.75" customHeight="1">
      <c r="A270" s="198"/>
      <c r="B270" s="198"/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</row>
    <row r="271" spans="1:26" ht="12.75" customHeight="1">
      <c r="A271" s="198"/>
      <c r="B271" s="198"/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</row>
    <row r="272" spans="1:26" ht="12.75" customHeight="1">
      <c r="A272" s="198"/>
      <c r="B272" s="198"/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</row>
    <row r="273" spans="1:26" ht="12.75" customHeight="1">
      <c r="A273" s="198"/>
      <c r="B273" s="198"/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</row>
    <row r="274" spans="1:26" ht="12.75" customHeight="1">
      <c r="A274" s="198"/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</row>
    <row r="275" spans="1:26" ht="12.75" customHeight="1">
      <c r="A275" s="198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</row>
    <row r="276" spans="1:26" ht="12.75" customHeight="1">
      <c r="A276" s="198"/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</row>
    <row r="277" spans="1:26" ht="12.75" customHeight="1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</row>
    <row r="278" spans="1:26" ht="12.75" customHeight="1">
      <c r="A278" s="198"/>
      <c r="B278" s="198"/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</row>
    <row r="279" spans="1:26" ht="12.75" customHeight="1">
      <c r="A279" s="198"/>
      <c r="B279" s="198"/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</row>
    <row r="280" spans="1:26" ht="12.75" customHeight="1">
      <c r="A280" s="198"/>
      <c r="B280" s="198"/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</row>
    <row r="281" spans="1:26" ht="12.75" customHeight="1">
      <c r="A281" s="198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</row>
    <row r="282" spans="1:26" ht="12.75" customHeight="1">
      <c r="A282" s="198"/>
      <c r="B282" s="198"/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</row>
    <row r="283" spans="1:26" ht="12.75" customHeight="1">
      <c r="A283" s="198"/>
      <c r="B283" s="198"/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</row>
    <row r="284" spans="1:26" ht="12.75" customHeight="1">
      <c r="A284" s="198"/>
      <c r="B284" s="198"/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</row>
    <row r="285" spans="1:26" ht="12.75" customHeight="1">
      <c r="A285" s="198"/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</row>
    <row r="286" spans="1:26" ht="12.75" customHeight="1">
      <c r="A286" s="198"/>
      <c r="B286" s="198"/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</row>
    <row r="287" spans="1:26" ht="12.75" customHeight="1">
      <c r="A287" s="198"/>
      <c r="B287" s="198"/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</row>
    <row r="288" spans="1:26" ht="12.75" customHeight="1">
      <c r="A288" s="198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</row>
    <row r="289" spans="1:26" ht="12.75" customHeight="1">
      <c r="A289" s="198"/>
      <c r="B289" s="198"/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</row>
    <row r="290" spans="1:26" ht="12.75" customHeight="1">
      <c r="A290" s="198"/>
      <c r="B290" s="198"/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</row>
    <row r="291" spans="1:26" ht="12.75" customHeight="1">
      <c r="A291" s="198"/>
      <c r="B291" s="198"/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</row>
    <row r="292" spans="1:26" ht="12.75" customHeight="1">
      <c r="A292" s="198"/>
      <c r="B292" s="198"/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</row>
    <row r="293" spans="1:26" ht="12.75" customHeight="1">
      <c r="A293" s="198"/>
      <c r="B293" s="198"/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</row>
    <row r="294" spans="1:26" ht="12.75" customHeight="1">
      <c r="A294" s="198"/>
      <c r="B294" s="198"/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</row>
    <row r="295" spans="1:26" ht="12.75" customHeight="1">
      <c r="A295" s="198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</row>
    <row r="296" spans="1:26" ht="12.75" customHeight="1">
      <c r="A296" s="198"/>
      <c r="B296" s="198"/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</row>
    <row r="297" spans="1:26" ht="12.75" customHeight="1">
      <c r="A297" s="198"/>
      <c r="B297" s="198"/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</row>
    <row r="298" spans="1:26" ht="12.75" customHeight="1">
      <c r="A298" s="198"/>
      <c r="B298" s="198"/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</row>
    <row r="299" spans="1:26" ht="12.75" customHeight="1">
      <c r="A299" s="198"/>
      <c r="B299" s="198"/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</row>
    <row r="300" spans="1:26" ht="12.75" customHeight="1">
      <c r="A300" s="198"/>
      <c r="B300" s="198"/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</row>
    <row r="301" spans="1:26" ht="12.75" customHeight="1">
      <c r="A301" s="198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</row>
    <row r="302" spans="1:26" ht="12.75" customHeight="1">
      <c r="A302" s="198"/>
      <c r="B302" s="198"/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</row>
    <row r="303" spans="1:26" ht="12.75" customHeight="1">
      <c r="A303" s="198"/>
      <c r="B303" s="198"/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</row>
    <row r="304" spans="1:26" ht="12.75" customHeight="1">
      <c r="A304" s="198"/>
      <c r="B304" s="198"/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</row>
    <row r="305" spans="1:26" ht="12.75" customHeight="1">
      <c r="A305" s="198"/>
      <c r="B305" s="198"/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</row>
    <row r="306" spans="1:26" ht="12.75" customHeight="1">
      <c r="A306" s="198"/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</row>
    <row r="307" spans="1:26" ht="12.75" customHeight="1">
      <c r="A307" s="198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</row>
    <row r="308" spans="1:26" ht="12.75" customHeight="1">
      <c r="A308" s="198"/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</row>
    <row r="309" spans="1:26" ht="12.75" customHeight="1">
      <c r="A309" s="198"/>
      <c r="B309" s="198"/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</row>
    <row r="310" spans="1:26" ht="12.75" customHeight="1">
      <c r="A310" s="198"/>
      <c r="B310" s="198"/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</row>
    <row r="311" spans="1:26" ht="12.75" customHeight="1">
      <c r="A311" s="198"/>
      <c r="B311" s="198"/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</row>
    <row r="312" spans="1:26" ht="12.75" customHeight="1">
      <c r="A312" s="198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</row>
    <row r="313" spans="1:26" ht="12.75" customHeight="1">
      <c r="A313" s="198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</row>
    <row r="314" spans="1:26" ht="12.75" customHeight="1">
      <c r="A314" s="198"/>
      <c r="B314" s="198"/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</row>
    <row r="315" spans="1:26" ht="12.75" customHeight="1">
      <c r="A315" s="198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</row>
    <row r="316" spans="1:26" ht="12.75" customHeight="1">
      <c r="A316" s="198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</row>
    <row r="317" spans="1:26" ht="12.75" customHeight="1">
      <c r="A317" s="198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</row>
    <row r="318" spans="1:26" ht="12.75" customHeight="1">
      <c r="A318" s="198"/>
      <c r="B318" s="198"/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</row>
    <row r="319" spans="1:26" ht="12.75" customHeight="1">
      <c r="A319" s="198"/>
      <c r="B319" s="198"/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</row>
    <row r="320" spans="1:26" ht="12.75" customHeight="1">
      <c r="A320" s="198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</row>
    <row r="321" spans="1:26" ht="12.75" customHeight="1">
      <c r="A321" s="198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</row>
    <row r="322" spans="1:26" ht="12.75" customHeight="1">
      <c r="A322" s="198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</row>
    <row r="323" spans="1:26" ht="12.75" customHeight="1">
      <c r="A323" s="198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</row>
    <row r="324" spans="1:26" ht="12.75" customHeight="1">
      <c r="A324" s="198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</row>
    <row r="325" spans="1:26" ht="12.75" customHeight="1">
      <c r="A325" s="198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</row>
    <row r="326" spans="1:26" ht="12.75" customHeight="1">
      <c r="A326" s="198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</row>
    <row r="327" spans="1:26" ht="12.75" customHeight="1">
      <c r="A327" s="198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</row>
    <row r="328" spans="1:26" ht="12.75" customHeight="1">
      <c r="A328" s="198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</row>
    <row r="329" spans="1:26" ht="12.75" customHeight="1">
      <c r="A329" s="198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</row>
    <row r="330" spans="1:26" ht="12.75" customHeight="1">
      <c r="A330" s="198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</row>
    <row r="331" spans="1:26" ht="12.75" customHeight="1">
      <c r="A331" s="198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</row>
    <row r="332" spans="1:26" ht="12.75" customHeight="1">
      <c r="A332" s="198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</row>
    <row r="333" spans="1:26" ht="12.75" customHeight="1">
      <c r="A333" s="198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</row>
    <row r="334" spans="1:26" ht="12.75" customHeight="1">
      <c r="A334" s="198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</row>
    <row r="335" spans="1:26" ht="12.75" customHeight="1">
      <c r="A335" s="198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</row>
    <row r="336" spans="1:26" ht="12.75" customHeight="1">
      <c r="A336" s="198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</row>
    <row r="337" spans="1:26" ht="12.75" customHeight="1">
      <c r="A337" s="198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</row>
    <row r="338" spans="1:26" ht="12.75" customHeight="1">
      <c r="A338" s="198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</row>
    <row r="339" spans="1:26" ht="12.75" customHeight="1">
      <c r="A339" s="198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</row>
    <row r="340" spans="1:26" ht="12.75" customHeight="1">
      <c r="A340" s="198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</row>
    <row r="341" spans="1:26" ht="12.75" customHeight="1">
      <c r="A341" s="198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</row>
    <row r="342" spans="1:26" ht="12.75" customHeight="1">
      <c r="A342" s="198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</row>
    <row r="343" spans="1:26" ht="12.75" customHeight="1">
      <c r="A343" s="198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</row>
    <row r="344" spans="1:26" ht="12.75" customHeight="1">
      <c r="A344" s="198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</row>
    <row r="345" spans="1:26" ht="12.75" customHeight="1">
      <c r="A345" s="198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</row>
    <row r="346" spans="1:26" ht="12.75" customHeight="1">
      <c r="A346" s="198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</row>
    <row r="347" spans="1:26" ht="12.75" customHeight="1">
      <c r="A347" s="198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</row>
    <row r="348" spans="1:26" ht="12.75" customHeight="1">
      <c r="A348" s="198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</row>
    <row r="349" spans="1:26" ht="12.75" customHeight="1">
      <c r="A349" s="198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</row>
    <row r="350" spans="1:26" ht="12.75" customHeight="1">
      <c r="A350" s="198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</row>
    <row r="351" spans="1:26" ht="12.75" customHeight="1">
      <c r="A351" s="198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</row>
    <row r="352" spans="1:26" ht="12.75" customHeight="1">
      <c r="A352" s="198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</row>
    <row r="353" spans="1:26" ht="12.75" customHeight="1">
      <c r="A353" s="198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</row>
    <row r="354" spans="1:26" ht="12.75" customHeight="1">
      <c r="A354" s="198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</row>
    <row r="355" spans="1:26" ht="12.75" customHeight="1">
      <c r="A355" s="198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</row>
    <row r="356" spans="1:26" ht="12.75" customHeight="1">
      <c r="A356" s="198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</row>
    <row r="357" spans="1:26" ht="12.75" customHeight="1">
      <c r="A357" s="198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</row>
    <row r="358" spans="1:26" ht="12.75" customHeight="1">
      <c r="A358" s="198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</row>
    <row r="359" spans="1:26" ht="12.75" customHeight="1">
      <c r="A359" s="198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</row>
    <row r="360" spans="1:26" ht="12.75" customHeight="1">
      <c r="A360" s="198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</row>
    <row r="361" spans="1:26" ht="12.75" customHeight="1">
      <c r="A361" s="198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</row>
    <row r="362" spans="1:26" ht="12.75" customHeight="1">
      <c r="A362" s="198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</row>
    <row r="363" spans="1:26" ht="12.75" customHeight="1">
      <c r="A363" s="198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</row>
    <row r="364" spans="1:26" ht="12.75" customHeight="1">
      <c r="A364" s="198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</row>
    <row r="365" spans="1:26" ht="12.75" customHeight="1">
      <c r="A365" s="198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</row>
    <row r="366" spans="1:26" ht="12.75" customHeight="1">
      <c r="A366" s="198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</row>
    <row r="367" spans="1:26" ht="12.75" customHeight="1">
      <c r="A367" s="198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</row>
    <row r="368" spans="1:26" ht="12.75" customHeight="1">
      <c r="A368" s="198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</row>
    <row r="369" spans="1:26" ht="12.75" customHeight="1">
      <c r="A369" s="198"/>
      <c r="B369" s="198"/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</row>
    <row r="370" spans="1:26" ht="12.75" customHeight="1">
      <c r="A370" s="198"/>
      <c r="B370" s="198"/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</row>
    <row r="371" spans="1:26" ht="12.75" customHeight="1">
      <c r="A371" s="198"/>
      <c r="B371" s="198"/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</row>
    <row r="372" spans="1:26" ht="12.75" customHeight="1">
      <c r="A372" s="198"/>
      <c r="B372" s="198"/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</row>
    <row r="373" spans="1:26" ht="12.75" customHeight="1">
      <c r="A373" s="198"/>
      <c r="B373" s="198"/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</row>
    <row r="374" spans="1:26" ht="12.75" customHeight="1">
      <c r="A374" s="198"/>
      <c r="B374" s="198"/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</row>
    <row r="375" spans="1:26" ht="12.75" customHeight="1">
      <c r="A375" s="198"/>
      <c r="B375" s="198"/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</row>
    <row r="376" spans="1:26" ht="12.75" customHeight="1">
      <c r="A376" s="198"/>
      <c r="B376" s="198"/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</row>
    <row r="377" spans="1:26" ht="12.75" customHeight="1">
      <c r="A377" s="198"/>
      <c r="B377" s="198"/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</row>
    <row r="378" spans="1:26" ht="12.75" customHeight="1">
      <c r="A378" s="198"/>
      <c r="B378" s="198"/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</row>
    <row r="379" spans="1:26" ht="12.75" customHeight="1">
      <c r="A379" s="198"/>
      <c r="B379" s="198"/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</row>
    <row r="380" spans="1:26" ht="12.75" customHeight="1">
      <c r="A380" s="198"/>
      <c r="B380" s="198"/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</row>
    <row r="381" spans="1:26" ht="12.75" customHeight="1">
      <c r="A381" s="198"/>
      <c r="B381" s="198"/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</row>
    <row r="382" spans="1:26" ht="12.75" customHeight="1">
      <c r="A382" s="198"/>
      <c r="B382" s="198"/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</row>
    <row r="383" spans="1:26" ht="12.75" customHeight="1">
      <c r="A383" s="198"/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</row>
    <row r="384" spans="1:26" ht="12.75" customHeight="1">
      <c r="A384" s="198"/>
      <c r="B384" s="198"/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</row>
    <row r="385" spans="1:26" ht="12.75" customHeight="1">
      <c r="A385" s="198"/>
      <c r="B385" s="198"/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</row>
    <row r="386" spans="1:26" ht="12.75" customHeight="1">
      <c r="A386" s="198"/>
      <c r="B386" s="198"/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</row>
    <row r="387" spans="1:26" ht="12.75" customHeight="1">
      <c r="A387" s="198"/>
      <c r="B387" s="198"/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</row>
    <row r="388" spans="1:26" ht="12.75" customHeight="1">
      <c r="A388" s="198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</row>
    <row r="389" spans="1:26" ht="12.75" customHeight="1">
      <c r="A389" s="198"/>
      <c r="B389" s="198"/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</row>
    <row r="390" spans="1:26" ht="12.75" customHeight="1">
      <c r="A390" s="198"/>
      <c r="B390" s="198"/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</row>
    <row r="391" spans="1:26" ht="12.75" customHeight="1">
      <c r="A391" s="198"/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</row>
    <row r="392" spans="1:26" ht="12.75" customHeight="1">
      <c r="A392" s="198"/>
      <c r="B392" s="198"/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</row>
    <row r="393" spans="1:26" ht="12.75" customHeight="1">
      <c r="A393" s="198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</row>
    <row r="394" spans="1:26" ht="12.75" customHeight="1">
      <c r="A394" s="198"/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</row>
    <row r="395" spans="1:26" ht="12.75" customHeight="1">
      <c r="A395" s="198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</row>
    <row r="396" spans="1:26" ht="12.75" customHeight="1">
      <c r="A396" s="198"/>
      <c r="B396" s="198"/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</row>
    <row r="397" spans="1:26" ht="12.75" customHeight="1">
      <c r="A397" s="198"/>
      <c r="B397" s="198"/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</row>
    <row r="398" spans="1:26" ht="12.75" customHeight="1">
      <c r="A398" s="198"/>
      <c r="B398" s="198"/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</row>
    <row r="399" spans="1:26" ht="12.75" customHeight="1">
      <c r="A399" s="198"/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</row>
    <row r="400" spans="1:26" ht="12.75" customHeight="1">
      <c r="A400" s="198"/>
      <c r="B400" s="198"/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</row>
    <row r="401" spans="1:26" ht="12.75" customHeight="1">
      <c r="A401" s="198"/>
      <c r="B401" s="198"/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</row>
    <row r="402" spans="1:26" ht="12.75" customHeight="1">
      <c r="A402" s="198"/>
      <c r="B402" s="198"/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</row>
    <row r="403" spans="1:26" ht="12.75" customHeight="1">
      <c r="A403" s="198"/>
      <c r="B403" s="198"/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</row>
    <row r="404" spans="1:26" ht="12.75" customHeight="1">
      <c r="A404" s="198"/>
      <c r="B404" s="198"/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</row>
    <row r="405" spans="1:26" ht="12.75" customHeight="1">
      <c r="A405" s="198"/>
      <c r="B405" s="198"/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</row>
    <row r="406" spans="1:26" ht="12.75" customHeight="1">
      <c r="A406" s="198"/>
      <c r="B406" s="198"/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</row>
    <row r="407" spans="1:26" ht="12.75" customHeight="1">
      <c r="A407" s="198"/>
      <c r="B407" s="198"/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</row>
    <row r="408" spans="1:26" ht="12.75" customHeight="1">
      <c r="A408" s="198"/>
      <c r="B408" s="198"/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</row>
    <row r="409" spans="1:26" ht="12.75" customHeight="1">
      <c r="A409" s="198"/>
      <c r="B409" s="198"/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</row>
    <row r="410" spans="1:26" ht="12.75" customHeight="1">
      <c r="A410" s="198"/>
      <c r="B410" s="198"/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</row>
    <row r="411" spans="1:26" ht="12.75" customHeight="1">
      <c r="A411" s="198"/>
      <c r="B411" s="198"/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</row>
    <row r="412" spans="1:26" ht="12.75" customHeight="1">
      <c r="A412" s="198"/>
      <c r="B412" s="198"/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</row>
    <row r="413" spans="1:26" ht="12.75" customHeight="1">
      <c r="A413" s="198"/>
      <c r="B413" s="198"/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</row>
    <row r="414" spans="1:26" ht="12.75" customHeight="1">
      <c r="A414" s="198"/>
      <c r="B414" s="198"/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</row>
    <row r="415" spans="1:26" ht="12.75" customHeight="1">
      <c r="A415" s="198"/>
      <c r="B415" s="198"/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</row>
    <row r="416" spans="1:26" ht="12.75" customHeight="1">
      <c r="A416" s="198"/>
      <c r="B416" s="198"/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</row>
    <row r="417" spans="1:26" ht="12.75" customHeight="1">
      <c r="A417" s="198"/>
      <c r="B417" s="198"/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</row>
    <row r="418" spans="1:26" ht="12.75" customHeight="1">
      <c r="A418" s="198"/>
      <c r="B418" s="198"/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</row>
    <row r="419" spans="1:26" ht="12.75" customHeight="1">
      <c r="A419" s="198"/>
      <c r="B419" s="198"/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</row>
    <row r="420" spans="1:26" ht="12.75" customHeight="1">
      <c r="A420" s="198"/>
      <c r="B420" s="198"/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</row>
    <row r="421" spans="1:26" ht="12.75" customHeight="1">
      <c r="A421" s="198"/>
      <c r="B421" s="198"/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</row>
    <row r="422" spans="1:26" ht="12.75" customHeight="1">
      <c r="A422" s="198"/>
      <c r="B422" s="198"/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</row>
    <row r="423" spans="1:26" ht="12.75" customHeight="1">
      <c r="A423" s="198"/>
      <c r="B423" s="198"/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</row>
    <row r="424" spans="1:26" ht="12.75" customHeight="1">
      <c r="A424" s="198"/>
      <c r="B424" s="198"/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</row>
    <row r="425" spans="1:26" ht="12.75" customHeight="1">
      <c r="A425" s="198"/>
      <c r="B425" s="198"/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</row>
    <row r="426" spans="1:26" ht="12.75" customHeight="1">
      <c r="A426" s="198"/>
      <c r="B426" s="198"/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</row>
    <row r="427" spans="1:26" ht="12.75" customHeight="1">
      <c r="A427" s="198"/>
      <c r="B427" s="198"/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</row>
    <row r="428" spans="1:26" ht="12.75" customHeight="1">
      <c r="A428" s="198"/>
      <c r="B428" s="198"/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</row>
    <row r="429" spans="1:26" ht="12.75" customHeight="1">
      <c r="A429" s="198"/>
      <c r="B429" s="198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</row>
    <row r="430" spans="1:26" ht="12.75" customHeight="1">
      <c r="A430" s="198"/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</row>
    <row r="431" spans="1:26" ht="12.75" customHeight="1">
      <c r="A431" s="198"/>
      <c r="B431" s="198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</row>
    <row r="432" spans="1:26" ht="12.75" customHeight="1">
      <c r="A432" s="198"/>
      <c r="B432" s="198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</row>
    <row r="433" spans="1:26" ht="12.75" customHeight="1">
      <c r="A433" s="198"/>
      <c r="B433" s="198"/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</row>
    <row r="434" spans="1:26" ht="12.75" customHeight="1">
      <c r="A434" s="198"/>
      <c r="B434" s="198"/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</row>
    <row r="435" spans="1:26" ht="12.75" customHeight="1">
      <c r="A435" s="198"/>
      <c r="B435" s="198"/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</row>
    <row r="436" spans="1:26" ht="12.75" customHeight="1">
      <c r="A436" s="198"/>
      <c r="B436" s="198"/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</row>
    <row r="437" spans="1:26" ht="12.75" customHeight="1">
      <c r="A437" s="198"/>
      <c r="B437" s="198"/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</row>
    <row r="438" spans="1:26" ht="12.75" customHeight="1">
      <c r="A438" s="198"/>
      <c r="B438" s="198"/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</row>
    <row r="439" spans="1:26" ht="12.75" customHeight="1">
      <c r="A439" s="198"/>
      <c r="B439" s="198"/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</row>
    <row r="440" spans="1:26" ht="12.75" customHeight="1">
      <c r="A440" s="198"/>
      <c r="B440" s="198"/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</row>
    <row r="441" spans="1:26" ht="12.75" customHeight="1">
      <c r="A441" s="198"/>
      <c r="B441" s="198"/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</row>
    <row r="442" spans="1:26" ht="12.75" customHeight="1">
      <c r="A442" s="198"/>
      <c r="B442" s="198"/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</row>
    <row r="443" spans="1:26" ht="12.75" customHeight="1">
      <c r="A443" s="198"/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</row>
    <row r="444" spans="1:26" ht="12.75" customHeight="1">
      <c r="A444" s="198"/>
      <c r="B444" s="198"/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</row>
    <row r="445" spans="1:26" ht="12.75" customHeight="1">
      <c r="A445" s="198"/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</row>
    <row r="446" spans="1:26" ht="12.75" customHeight="1">
      <c r="A446" s="198"/>
      <c r="B446" s="198"/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</row>
    <row r="447" spans="1:26" ht="12.75" customHeight="1">
      <c r="A447" s="198"/>
      <c r="B447" s="198"/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</row>
    <row r="448" spans="1:26" ht="12.75" customHeight="1">
      <c r="A448" s="198"/>
      <c r="B448" s="198"/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</row>
    <row r="449" spans="1:26" ht="12.75" customHeight="1">
      <c r="A449" s="198"/>
      <c r="B449" s="198"/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</row>
    <row r="450" spans="1:26" ht="12.75" customHeight="1">
      <c r="A450" s="198"/>
      <c r="B450" s="198"/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</row>
    <row r="451" spans="1:26" ht="12.75" customHeight="1">
      <c r="A451" s="198"/>
      <c r="B451" s="198"/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</row>
    <row r="452" spans="1:26" ht="12.75" customHeight="1">
      <c r="A452" s="198"/>
      <c r="B452" s="198"/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</row>
    <row r="453" spans="1:26" ht="12.75" customHeight="1">
      <c r="A453" s="198"/>
      <c r="B453" s="198"/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</row>
    <row r="454" spans="1:26" ht="12.75" customHeight="1">
      <c r="A454" s="198"/>
      <c r="B454" s="198"/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</row>
    <row r="455" spans="1:26" ht="12.75" customHeight="1">
      <c r="A455" s="198"/>
      <c r="B455" s="198"/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</row>
    <row r="456" spans="1:26" ht="12.75" customHeight="1">
      <c r="A456" s="198"/>
      <c r="B456" s="198"/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</row>
    <row r="457" spans="1:26" ht="12.75" customHeight="1">
      <c r="A457" s="198"/>
      <c r="B457" s="198"/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</row>
    <row r="458" spans="1:26" ht="12.75" customHeight="1">
      <c r="A458" s="198"/>
      <c r="B458" s="198"/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</row>
    <row r="459" spans="1:26" ht="12.75" customHeight="1">
      <c r="A459" s="198"/>
      <c r="B459" s="198"/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</row>
    <row r="460" spans="1:26" ht="12.75" customHeight="1">
      <c r="A460" s="198"/>
      <c r="B460" s="198"/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</row>
    <row r="461" spans="1:26" ht="12.75" customHeight="1">
      <c r="A461" s="198"/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</row>
    <row r="462" spans="1:26" ht="12.75" customHeight="1">
      <c r="A462" s="198"/>
      <c r="B462" s="198"/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</row>
    <row r="463" spans="1:26" ht="12.75" customHeight="1">
      <c r="A463" s="198"/>
      <c r="B463" s="198"/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</row>
    <row r="464" spans="1:26" ht="12.75" customHeight="1">
      <c r="A464" s="198"/>
      <c r="B464" s="198"/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</row>
    <row r="465" spans="1:26" ht="12.75" customHeight="1">
      <c r="A465" s="198"/>
      <c r="B465" s="198"/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</row>
    <row r="466" spans="1:26" ht="12.75" customHeight="1">
      <c r="A466" s="198"/>
      <c r="B466" s="198"/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</row>
    <row r="467" spans="1:26" ht="12.75" customHeight="1">
      <c r="A467" s="198"/>
      <c r="B467" s="198"/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</row>
    <row r="468" spans="1:26" ht="12.75" customHeight="1">
      <c r="A468" s="198"/>
      <c r="B468" s="198"/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</row>
    <row r="469" spans="1:26" ht="12.75" customHeight="1">
      <c r="A469" s="198"/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</row>
    <row r="470" spans="1:26" ht="12.75" customHeight="1">
      <c r="A470" s="198"/>
      <c r="B470" s="198"/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</row>
    <row r="471" spans="1:26" ht="12.75" customHeight="1">
      <c r="A471" s="198"/>
      <c r="B471" s="198"/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</row>
    <row r="472" spans="1:26" ht="12.75" customHeight="1">
      <c r="A472" s="198"/>
      <c r="B472" s="198"/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</row>
    <row r="473" spans="1:26" ht="12.75" customHeight="1">
      <c r="A473" s="198"/>
      <c r="B473" s="198"/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</row>
    <row r="474" spans="1:26" ht="12.75" customHeight="1">
      <c r="A474" s="198"/>
      <c r="B474" s="198"/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</row>
    <row r="475" spans="1:26" ht="12.75" customHeight="1">
      <c r="A475" s="198"/>
      <c r="B475" s="198"/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</row>
    <row r="476" spans="1:26" ht="12.75" customHeight="1">
      <c r="A476" s="198"/>
      <c r="B476" s="198"/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</row>
    <row r="477" spans="1:26" ht="12.75" customHeight="1">
      <c r="A477" s="198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</row>
    <row r="478" spans="1:26" ht="12.75" customHeight="1">
      <c r="A478" s="198"/>
      <c r="B478" s="198"/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</row>
    <row r="479" spans="1:26" ht="12.75" customHeight="1">
      <c r="A479" s="198"/>
      <c r="B479" s="198"/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</row>
    <row r="480" spans="1:26" ht="12.75" customHeight="1">
      <c r="A480" s="198"/>
      <c r="B480" s="198"/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</row>
    <row r="481" spans="1:26" ht="12.75" customHeight="1">
      <c r="A481" s="198"/>
      <c r="B481" s="198"/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</row>
    <row r="482" spans="1:26" ht="12.75" customHeight="1">
      <c r="A482" s="198"/>
      <c r="B482" s="198"/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</row>
    <row r="483" spans="1:26" ht="12.75" customHeight="1">
      <c r="A483" s="198"/>
      <c r="B483" s="198"/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</row>
    <row r="484" spans="1:26" ht="12.75" customHeight="1">
      <c r="A484" s="198"/>
      <c r="B484" s="198"/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</row>
    <row r="485" spans="1:26" ht="12.75" customHeight="1">
      <c r="A485" s="198"/>
      <c r="B485" s="198"/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</row>
    <row r="486" spans="1:26" ht="12.75" customHeight="1">
      <c r="A486" s="198"/>
      <c r="B486" s="198"/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</row>
    <row r="487" spans="1:26" ht="12.75" customHeight="1">
      <c r="A487" s="198"/>
      <c r="B487" s="198"/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</row>
    <row r="488" spans="1:26" ht="12.75" customHeight="1">
      <c r="A488" s="198"/>
      <c r="B488" s="198"/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</row>
    <row r="489" spans="1:26" ht="12.75" customHeight="1">
      <c r="A489" s="198"/>
      <c r="B489" s="198"/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</row>
    <row r="490" spans="1:26" ht="12.75" customHeight="1">
      <c r="A490" s="198"/>
      <c r="B490" s="198"/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</row>
    <row r="491" spans="1:26" ht="12.75" customHeight="1">
      <c r="A491" s="198"/>
      <c r="B491" s="198"/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</row>
    <row r="492" spans="1:26" ht="12.75" customHeight="1">
      <c r="A492" s="198"/>
      <c r="B492" s="198"/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</row>
    <row r="493" spans="1:26" ht="12.75" customHeight="1">
      <c r="A493" s="198"/>
      <c r="B493" s="198"/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</row>
    <row r="494" spans="1:26" ht="12.75" customHeight="1">
      <c r="A494" s="198"/>
      <c r="B494" s="198"/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</row>
    <row r="495" spans="1:26" ht="12.75" customHeight="1">
      <c r="A495" s="198"/>
      <c r="B495" s="198"/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</row>
    <row r="496" spans="1:26" ht="12.75" customHeight="1">
      <c r="A496" s="198"/>
      <c r="B496" s="198"/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</row>
    <row r="497" spans="1:26" ht="12.75" customHeight="1">
      <c r="A497" s="198"/>
      <c r="B497" s="198"/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</row>
    <row r="498" spans="1:26" ht="12.75" customHeight="1">
      <c r="A498" s="198"/>
      <c r="B498" s="198"/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</row>
    <row r="499" spans="1:26" ht="12.75" customHeight="1">
      <c r="A499" s="198"/>
      <c r="B499" s="198"/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</row>
    <row r="500" spans="1:26" ht="12.75" customHeight="1">
      <c r="A500" s="198"/>
      <c r="B500" s="198"/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</row>
    <row r="501" spans="1:26" ht="12.75" customHeight="1">
      <c r="A501" s="198"/>
      <c r="B501" s="198"/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</row>
    <row r="502" spans="1:26" ht="12.75" customHeight="1">
      <c r="A502" s="198"/>
      <c r="B502" s="198"/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</row>
    <row r="503" spans="1:26" ht="12.75" customHeight="1">
      <c r="A503" s="198"/>
      <c r="B503" s="198"/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</row>
    <row r="504" spans="1:26" ht="12.75" customHeight="1">
      <c r="A504" s="198"/>
      <c r="B504" s="198"/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</row>
    <row r="505" spans="1:26" ht="12.75" customHeight="1">
      <c r="A505" s="198"/>
      <c r="B505" s="198"/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</row>
    <row r="506" spans="1:26" ht="12.75" customHeight="1">
      <c r="A506" s="198"/>
      <c r="B506" s="198"/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</row>
    <row r="507" spans="1:26" ht="12.75" customHeight="1">
      <c r="A507" s="198"/>
      <c r="B507" s="198"/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</row>
    <row r="508" spans="1:26" ht="12.75" customHeight="1">
      <c r="A508" s="198"/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</row>
    <row r="509" spans="1:26" ht="12.75" customHeight="1">
      <c r="A509" s="198"/>
      <c r="B509" s="198"/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</row>
    <row r="510" spans="1:26" ht="12.75" customHeight="1">
      <c r="A510" s="198"/>
      <c r="B510" s="198"/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</row>
    <row r="511" spans="1:26" ht="12.75" customHeight="1">
      <c r="A511" s="198"/>
      <c r="B511" s="198"/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</row>
    <row r="512" spans="1:26" ht="12.75" customHeight="1">
      <c r="A512" s="198"/>
      <c r="B512" s="198"/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</row>
    <row r="513" spans="1:26" ht="12.75" customHeight="1">
      <c r="A513" s="198"/>
      <c r="B513" s="198"/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</row>
    <row r="514" spans="1:26" ht="12.75" customHeight="1">
      <c r="A514" s="198"/>
      <c r="B514" s="198"/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</row>
    <row r="515" spans="1:26" ht="12.75" customHeight="1">
      <c r="A515" s="198"/>
      <c r="B515" s="198"/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</row>
    <row r="516" spans="1:26" ht="12.75" customHeight="1">
      <c r="A516" s="198"/>
      <c r="B516" s="198"/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</row>
    <row r="517" spans="1:26" ht="12.75" customHeight="1">
      <c r="A517" s="198"/>
      <c r="B517" s="198"/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</row>
    <row r="518" spans="1:26" ht="12.75" customHeight="1">
      <c r="A518" s="198"/>
      <c r="B518" s="198"/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</row>
    <row r="519" spans="1:26" ht="12.75" customHeight="1">
      <c r="A519" s="198"/>
      <c r="B519" s="198"/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</row>
    <row r="520" spans="1:26" ht="12.75" customHeight="1">
      <c r="A520" s="198"/>
      <c r="B520" s="198"/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</row>
    <row r="521" spans="1:26" ht="12.75" customHeight="1">
      <c r="A521" s="198"/>
      <c r="B521" s="198"/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</row>
    <row r="522" spans="1:26" ht="12.75" customHeight="1">
      <c r="A522" s="198"/>
      <c r="B522" s="198"/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</row>
    <row r="523" spans="1:26" ht="12.75" customHeight="1">
      <c r="A523" s="198"/>
      <c r="B523" s="198"/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</row>
    <row r="524" spans="1:26" ht="12.75" customHeight="1">
      <c r="A524" s="198"/>
      <c r="B524" s="198"/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</row>
    <row r="525" spans="1:26" ht="12.75" customHeight="1">
      <c r="A525" s="198"/>
      <c r="B525" s="198"/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</row>
    <row r="526" spans="1:26" ht="12.75" customHeight="1">
      <c r="A526" s="198"/>
      <c r="B526" s="198"/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</row>
    <row r="527" spans="1:26" ht="12.75" customHeight="1">
      <c r="A527" s="198"/>
      <c r="B527" s="198"/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</row>
    <row r="528" spans="1:26" ht="12.75" customHeight="1">
      <c r="A528" s="198"/>
      <c r="B528" s="198"/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</row>
    <row r="529" spans="1:26" ht="12.75" customHeight="1">
      <c r="A529" s="198"/>
      <c r="B529" s="198"/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</row>
    <row r="530" spans="1:26" ht="12.75" customHeight="1">
      <c r="A530" s="198"/>
      <c r="B530" s="198"/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</row>
    <row r="531" spans="1:26" ht="12.75" customHeight="1">
      <c r="A531" s="198"/>
      <c r="B531" s="198"/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</row>
    <row r="532" spans="1:26" ht="12.75" customHeight="1">
      <c r="A532" s="198"/>
      <c r="B532" s="198"/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</row>
    <row r="533" spans="1:26" ht="12.75" customHeight="1">
      <c r="A533" s="198"/>
      <c r="B533" s="198"/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</row>
    <row r="534" spans="1:26" ht="12.75" customHeight="1">
      <c r="A534" s="198"/>
      <c r="B534" s="198"/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</row>
    <row r="535" spans="1:26" ht="12.75" customHeight="1">
      <c r="A535" s="198"/>
      <c r="B535" s="198"/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</row>
    <row r="536" spans="1:26" ht="12.75" customHeight="1">
      <c r="A536" s="198"/>
      <c r="B536" s="198"/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</row>
    <row r="537" spans="1:26" ht="12.75" customHeight="1">
      <c r="A537" s="198"/>
      <c r="B537" s="198"/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</row>
    <row r="538" spans="1:26" ht="12.75" customHeight="1">
      <c r="A538" s="198"/>
      <c r="B538" s="198"/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</row>
    <row r="539" spans="1:26" ht="12.75" customHeight="1">
      <c r="A539" s="198"/>
      <c r="B539" s="198"/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</row>
    <row r="540" spans="1:26" ht="12.75" customHeight="1">
      <c r="A540" s="198"/>
      <c r="B540" s="198"/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</row>
    <row r="541" spans="1:26" ht="12.75" customHeight="1">
      <c r="A541" s="198"/>
      <c r="B541" s="198"/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</row>
    <row r="542" spans="1:26" ht="12.75" customHeight="1">
      <c r="A542" s="198"/>
      <c r="B542" s="198"/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</row>
    <row r="543" spans="1:26" ht="12.75" customHeight="1">
      <c r="A543" s="198"/>
      <c r="B543" s="198"/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</row>
    <row r="544" spans="1:26" ht="12.75" customHeight="1">
      <c r="A544" s="198"/>
      <c r="B544" s="198"/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</row>
    <row r="545" spans="1:26" ht="12.75" customHeight="1">
      <c r="A545" s="198"/>
      <c r="B545" s="198"/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</row>
    <row r="546" spans="1:26" ht="12.75" customHeight="1">
      <c r="A546" s="198"/>
      <c r="B546" s="198"/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</row>
    <row r="547" spans="1:26" ht="12.75" customHeight="1">
      <c r="A547" s="198"/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</row>
    <row r="548" spans="1:26" ht="12.75" customHeight="1">
      <c r="A548" s="198"/>
      <c r="B548" s="198"/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</row>
    <row r="549" spans="1:26" ht="12.75" customHeight="1">
      <c r="A549" s="198"/>
      <c r="B549" s="198"/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</row>
    <row r="550" spans="1:26" ht="12.75" customHeight="1">
      <c r="A550" s="198"/>
      <c r="B550" s="198"/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</row>
    <row r="551" spans="1:26" ht="12.75" customHeight="1">
      <c r="A551" s="198"/>
      <c r="B551" s="198"/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</row>
    <row r="552" spans="1:26" ht="12.75" customHeight="1">
      <c r="A552" s="198"/>
      <c r="B552" s="198"/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</row>
    <row r="553" spans="1:26" ht="12.75" customHeight="1">
      <c r="A553" s="198"/>
      <c r="B553" s="198"/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</row>
    <row r="554" spans="1:26" ht="12.75" customHeight="1">
      <c r="A554" s="198"/>
      <c r="B554" s="198"/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</row>
    <row r="555" spans="1:26" ht="12.75" customHeight="1">
      <c r="A555" s="198"/>
      <c r="B555" s="198"/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</row>
    <row r="556" spans="1:26" ht="12.75" customHeight="1">
      <c r="A556" s="198"/>
      <c r="B556" s="198"/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</row>
    <row r="557" spans="1:26" ht="12.75" customHeight="1">
      <c r="A557" s="198"/>
      <c r="B557" s="198"/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</row>
    <row r="558" spans="1:26" ht="12.75" customHeight="1">
      <c r="A558" s="198"/>
      <c r="B558" s="198"/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</row>
    <row r="559" spans="1:26" ht="12.75" customHeight="1">
      <c r="A559" s="198"/>
      <c r="B559" s="198"/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</row>
    <row r="560" spans="1:26" ht="12.75" customHeight="1">
      <c r="A560" s="198"/>
      <c r="B560" s="198"/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</row>
    <row r="561" spans="1:26" ht="12.75" customHeight="1">
      <c r="A561" s="198"/>
      <c r="B561" s="198"/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</row>
    <row r="562" spans="1:26" ht="12.75" customHeight="1">
      <c r="A562" s="198"/>
      <c r="B562" s="198"/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</row>
    <row r="563" spans="1:26" ht="12.75" customHeight="1">
      <c r="A563" s="198"/>
      <c r="B563" s="198"/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</row>
    <row r="564" spans="1:26" ht="12.75" customHeight="1">
      <c r="A564" s="198"/>
      <c r="B564" s="198"/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</row>
    <row r="565" spans="1:26" ht="12.75" customHeight="1">
      <c r="A565" s="198"/>
      <c r="B565" s="198"/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</row>
    <row r="566" spans="1:26" ht="12.75" customHeight="1">
      <c r="A566" s="198"/>
      <c r="B566" s="198"/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</row>
    <row r="567" spans="1:26" ht="12.75" customHeight="1">
      <c r="A567" s="198"/>
      <c r="B567" s="198"/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</row>
    <row r="568" spans="1:26" ht="12.75" customHeight="1">
      <c r="A568" s="198"/>
      <c r="B568" s="198"/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</row>
    <row r="569" spans="1:26" ht="12.75" customHeight="1">
      <c r="A569" s="198"/>
      <c r="B569" s="198"/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</row>
    <row r="570" spans="1:26" ht="12.75" customHeight="1">
      <c r="A570" s="198"/>
      <c r="B570" s="198"/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</row>
    <row r="571" spans="1:26" ht="12.75" customHeight="1">
      <c r="A571" s="198"/>
      <c r="B571" s="198"/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</row>
    <row r="572" spans="1:26" ht="12.75" customHeight="1">
      <c r="A572" s="198"/>
      <c r="B572" s="198"/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</row>
    <row r="573" spans="1:26" ht="12.75" customHeight="1">
      <c r="A573" s="198"/>
      <c r="B573" s="198"/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</row>
    <row r="574" spans="1:26" ht="12.75" customHeight="1">
      <c r="A574" s="198"/>
      <c r="B574" s="198"/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</row>
    <row r="575" spans="1:26" ht="12.75" customHeight="1">
      <c r="A575" s="198"/>
      <c r="B575" s="198"/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</row>
    <row r="576" spans="1:26" ht="12.75" customHeight="1">
      <c r="A576" s="198"/>
      <c r="B576" s="198"/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</row>
    <row r="577" spans="1:26" ht="12.75" customHeight="1">
      <c r="A577" s="198"/>
      <c r="B577" s="198"/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</row>
    <row r="578" spans="1:26" ht="12.75" customHeight="1">
      <c r="A578" s="198"/>
      <c r="B578" s="198"/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</row>
    <row r="579" spans="1:26" ht="12.75" customHeight="1">
      <c r="A579" s="198"/>
      <c r="B579" s="198"/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</row>
    <row r="580" spans="1:26" ht="12.75" customHeight="1">
      <c r="A580" s="198"/>
      <c r="B580" s="198"/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</row>
    <row r="581" spans="1:26" ht="12.75" customHeight="1">
      <c r="A581" s="198"/>
      <c r="B581" s="198"/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</row>
    <row r="582" spans="1:26" ht="12.75" customHeight="1">
      <c r="A582" s="198"/>
      <c r="B582" s="198"/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</row>
    <row r="583" spans="1:26" ht="12.75" customHeight="1">
      <c r="A583" s="198"/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</row>
    <row r="584" spans="1:26" ht="12.75" customHeight="1">
      <c r="A584" s="198"/>
      <c r="B584" s="198"/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</row>
    <row r="585" spans="1:26" ht="12.75" customHeight="1">
      <c r="A585" s="198"/>
      <c r="B585" s="198"/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</row>
    <row r="586" spans="1:26" ht="12.75" customHeight="1">
      <c r="A586" s="198"/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</row>
    <row r="587" spans="1:26" ht="12.75" customHeight="1">
      <c r="A587" s="198"/>
      <c r="B587" s="198"/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</row>
    <row r="588" spans="1:26" ht="12.75" customHeight="1">
      <c r="A588" s="198"/>
      <c r="B588" s="198"/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</row>
    <row r="589" spans="1:26" ht="12.75" customHeight="1">
      <c r="A589" s="198"/>
      <c r="B589" s="198"/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</row>
    <row r="590" spans="1:26" ht="12.75" customHeight="1">
      <c r="A590" s="198"/>
      <c r="B590" s="198"/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</row>
    <row r="591" spans="1:26" ht="12.75" customHeight="1">
      <c r="A591" s="198"/>
      <c r="B591" s="198"/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</row>
    <row r="592" spans="1:26" ht="12.75" customHeight="1">
      <c r="A592" s="198"/>
      <c r="B592" s="198"/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</row>
    <row r="593" spans="1:26" ht="12.75" customHeight="1">
      <c r="A593" s="198"/>
      <c r="B593" s="198"/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</row>
    <row r="594" spans="1:26" ht="12.75" customHeight="1">
      <c r="A594" s="198"/>
      <c r="B594" s="198"/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</row>
    <row r="595" spans="1:26" ht="12.75" customHeight="1">
      <c r="A595" s="198"/>
      <c r="B595" s="198"/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</row>
    <row r="596" spans="1:26" ht="12.75" customHeight="1">
      <c r="A596" s="198"/>
      <c r="B596" s="198"/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</row>
    <row r="597" spans="1:26" ht="12.75" customHeight="1">
      <c r="A597" s="198"/>
      <c r="B597" s="198"/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</row>
    <row r="598" spans="1:26" ht="12.75" customHeight="1">
      <c r="A598" s="198"/>
      <c r="B598" s="198"/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</row>
    <row r="599" spans="1:26" ht="12.75" customHeight="1">
      <c r="A599" s="198"/>
      <c r="B599" s="198"/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</row>
    <row r="600" spans="1:26" ht="12.75" customHeight="1">
      <c r="A600" s="198"/>
      <c r="B600" s="198"/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</row>
    <row r="601" spans="1:26" ht="12.75" customHeight="1">
      <c r="A601" s="198"/>
      <c r="B601" s="198"/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</row>
    <row r="602" spans="1:26" ht="12.75" customHeight="1">
      <c r="A602" s="198"/>
      <c r="B602" s="198"/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</row>
    <row r="603" spans="1:26" ht="12.75" customHeight="1">
      <c r="A603" s="198"/>
      <c r="B603" s="198"/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</row>
    <row r="604" spans="1:26" ht="12.75" customHeight="1">
      <c r="A604" s="198"/>
      <c r="B604" s="198"/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</row>
    <row r="605" spans="1:26" ht="12.75" customHeight="1">
      <c r="A605" s="198"/>
      <c r="B605" s="198"/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</row>
    <row r="606" spans="1:26" ht="12.75" customHeight="1">
      <c r="A606" s="198"/>
      <c r="B606" s="198"/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</row>
    <row r="607" spans="1:26" ht="12.75" customHeight="1">
      <c r="A607" s="198"/>
      <c r="B607" s="198"/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</row>
    <row r="608" spans="1:26" ht="12.75" customHeight="1">
      <c r="A608" s="198"/>
      <c r="B608" s="198"/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</row>
    <row r="609" spans="1:26" ht="12.75" customHeight="1">
      <c r="A609" s="198"/>
      <c r="B609" s="198"/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</row>
    <row r="610" spans="1:26" ht="12.75" customHeight="1">
      <c r="A610" s="198"/>
      <c r="B610" s="198"/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</row>
    <row r="611" spans="1:26" ht="12.75" customHeight="1">
      <c r="A611" s="198"/>
      <c r="B611" s="198"/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</row>
    <row r="612" spans="1:26" ht="12.75" customHeight="1">
      <c r="A612" s="198"/>
      <c r="B612" s="198"/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</row>
    <row r="613" spans="1:26" ht="12.75" customHeight="1">
      <c r="A613" s="198"/>
      <c r="B613" s="198"/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</row>
    <row r="614" spans="1:26" ht="12.75" customHeight="1">
      <c r="A614" s="198"/>
      <c r="B614" s="198"/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</row>
    <row r="615" spans="1:26" ht="12.75" customHeight="1">
      <c r="A615" s="198"/>
      <c r="B615" s="198"/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</row>
    <row r="616" spans="1:26" ht="12.75" customHeight="1">
      <c r="A616" s="198"/>
      <c r="B616" s="198"/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</row>
    <row r="617" spans="1:26" ht="12.75" customHeight="1">
      <c r="A617" s="198"/>
      <c r="B617" s="198"/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</row>
    <row r="618" spans="1:26" ht="12.75" customHeight="1">
      <c r="A618" s="198"/>
      <c r="B618" s="198"/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</row>
    <row r="619" spans="1:26" ht="12.75" customHeight="1">
      <c r="A619" s="198"/>
      <c r="B619" s="198"/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</row>
    <row r="620" spans="1:26" ht="12.75" customHeight="1">
      <c r="A620" s="198"/>
      <c r="B620" s="198"/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</row>
    <row r="621" spans="1:26" ht="12.75" customHeight="1">
      <c r="A621" s="198"/>
      <c r="B621" s="198"/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</row>
    <row r="622" spans="1:26" ht="12.75" customHeight="1">
      <c r="A622" s="198"/>
      <c r="B622" s="198"/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</row>
    <row r="623" spans="1:26" ht="12.75" customHeight="1">
      <c r="A623" s="198"/>
      <c r="B623" s="198"/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</row>
    <row r="624" spans="1:26" ht="12.75" customHeight="1">
      <c r="A624" s="198"/>
      <c r="B624" s="198"/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</row>
    <row r="625" spans="1:26" ht="12.75" customHeight="1">
      <c r="A625" s="198"/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</row>
    <row r="626" spans="1:26" ht="12.75" customHeight="1">
      <c r="A626" s="198"/>
      <c r="B626" s="198"/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</row>
    <row r="627" spans="1:26" ht="12.75" customHeight="1">
      <c r="A627" s="198"/>
      <c r="B627" s="198"/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</row>
    <row r="628" spans="1:26" ht="12.75" customHeight="1">
      <c r="A628" s="198"/>
      <c r="B628" s="198"/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</row>
    <row r="629" spans="1:26" ht="12.75" customHeight="1">
      <c r="A629" s="198"/>
      <c r="B629" s="198"/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</row>
    <row r="630" spans="1:26" ht="12.75" customHeight="1">
      <c r="A630" s="198"/>
      <c r="B630" s="198"/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</row>
    <row r="631" spans="1:26" ht="12.75" customHeight="1">
      <c r="A631" s="198"/>
      <c r="B631" s="198"/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</row>
    <row r="632" spans="1:26" ht="12.75" customHeight="1">
      <c r="A632" s="198"/>
      <c r="B632" s="198"/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</row>
    <row r="633" spans="1:26" ht="12.75" customHeight="1">
      <c r="A633" s="198"/>
      <c r="B633" s="198"/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</row>
    <row r="634" spans="1:26" ht="12.75" customHeight="1">
      <c r="A634" s="198"/>
      <c r="B634" s="198"/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</row>
    <row r="635" spans="1:26" ht="12.75" customHeight="1">
      <c r="A635" s="198"/>
      <c r="B635" s="198"/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</row>
    <row r="636" spans="1:26" ht="12.75" customHeight="1">
      <c r="A636" s="198"/>
      <c r="B636" s="198"/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</row>
    <row r="637" spans="1:26" ht="12.75" customHeight="1">
      <c r="A637" s="198"/>
      <c r="B637" s="198"/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</row>
    <row r="638" spans="1:26" ht="12.75" customHeight="1">
      <c r="A638" s="198"/>
      <c r="B638" s="198"/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</row>
    <row r="639" spans="1:26" ht="12.75" customHeight="1">
      <c r="A639" s="198"/>
      <c r="B639" s="198"/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</row>
    <row r="640" spans="1:26" ht="12.75" customHeight="1">
      <c r="A640" s="198"/>
      <c r="B640" s="198"/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</row>
    <row r="641" spans="1:26" ht="12.75" customHeight="1">
      <c r="A641" s="198"/>
      <c r="B641" s="198"/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</row>
    <row r="642" spans="1:26" ht="12.75" customHeight="1">
      <c r="A642" s="198"/>
      <c r="B642" s="198"/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</row>
    <row r="643" spans="1:26" ht="12.75" customHeight="1">
      <c r="A643" s="198"/>
      <c r="B643" s="198"/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</row>
    <row r="644" spans="1:26" ht="12.75" customHeight="1">
      <c r="A644" s="198"/>
      <c r="B644" s="198"/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</row>
    <row r="645" spans="1:26" ht="12.75" customHeight="1">
      <c r="A645" s="198"/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</row>
    <row r="646" spans="1:26" ht="12.75" customHeight="1">
      <c r="A646" s="198"/>
      <c r="B646" s="198"/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</row>
    <row r="647" spans="1:26" ht="12.75" customHeight="1">
      <c r="A647" s="198"/>
      <c r="B647" s="198"/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</row>
    <row r="648" spans="1:26" ht="12.75" customHeight="1">
      <c r="A648" s="198"/>
      <c r="B648" s="198"/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</row>
    <row r="649" spans="1:26" ht="12.75" customHeight="1">
      <c r="A649" s="198"/>
      <c r="B649" s="198"/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</row>
    <row r="650" spans="1:26" ht="12.75" customHeight="1">
      <c r="A650" s="198"/>
      <c r="B650" s="198"/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</row>
    <row r="651" spans="1:26" ht="12.75" customHeight="1">
      <c r="A651" s="198"/>
      <c r="B651" s="198"/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</row>
    <row r="652" spans="1:26" ht="12.75" customHeight="1">
      <c r="A652" s="198"/>
      <c r="B652" s="198"/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</row>
    <row r="653" spans="1:26" ht="12.75" customHeight="1">
      <c r="A653" s="198"/>
      <c r="B653" s="198"/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</row>
    <row r="654" spans="1:26" ht="12.75" customHeight="1">
      <c r="A654" s="198"/>
      <c r="B654" s="198"/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</row>
    <row r="655" spans="1:26" ht="12.75" customHeight="1">
      <c r="A655" s="198"/>
      <c r="B655" s="198"/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</row>
    <row r="656" spans="1:26" ht="12.75" customHeight="1">
      <c r="A656" s="198"/>
      <c r="B656" s="198"/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</row>
    <row r="657" spans="1:26" ht="12.75" customHeight="1">
      <c r="A657" s="198"/>
      <c r="B657" s="198"/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</row>
    <row r="658" spans="1:26" ht="12.75" customHeight="1">
      <c r="A658" s="198"/>
      <c r="B658" s="198"/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</row>
    <row r="659" spans="1:26" ht="12.75" customHeight="1">
      <c r="A659" s="198"/>
      <c r="B659" s="198"/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</row>
    <row r="660" spans="1:26" ht="12.75" customHeight="1">
      <c r="A660" s="198"/>
      <c r="B660" s="198"/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</row>
    <row r="661" spans="1:26" ht="12.75" customHeight="1">
      <c r="A661" s="198"/>
      <c r="B661" s="198"/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</row>
    <row r="662" spans="1:26" ht="12.75" customHeight="1">
      <c r="A662" s="198"/>
      <c r="B662" s="198"/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</row>
    <row r="663" spans="1:26" ht="12.75" customHeight="1">
      <c r="A663" s="198"/>
      <c r="B663" s="198"/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</row>
    <row r="664" spans="1:26" ht="12.75" customHeight="1">
      <c r="A664" s="198"/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</row>
    <row r="665" spans="1:26" ht="12.75" customHeight="1">
      <c r="A665" s="198"/>
      <c r="B665" s="198"/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</row>
    <row r="666" spans="1:26" ht="12.75" customHeight="1">
      <c r="A666" s="198"/>
      <c r="B666" s="198"/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</row>
    <row r="667" spans="1:26" ht="12.75" customHeight="1">
      <c r="A667" s="198"/>
      <c r="B667" s="198"/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</row>
    <row r="668" spans="1:26" ht="12.75" customHeight="1">
      <c r="A668" s="198"/>
      <c r="B668" s="198"/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</row>
    <row r="669" spans="1:26" ht="12.75" customHeight="1">
      <c r="A669" s="198"/>
      <c r="B669" s="198"/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</row>
    <row r="670" spans="1:26" ht="12.75" customHeight="1">
      <c r="A670" s="198"/>
      <c r="B670" s="198"/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</row>
    <row r="671" spans="1:26" ht="12.75" customHeight="1">
      <c r="A671" s="198"/>
      <c r="B671" s="198"/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</row>
    <row r="672" spans="1:26" ht="12.75" customHeight="1">
      <c r="A672" s="198"/>
      <c r="B672" s="198"/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</row>
    <row r="673" spans="1:26" ht="12.75" customHeight="1">
      <c r="A673" s="198"/>
      <c r="B673" s="198"/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</row>
    <row r="674" spans="1:26" ht="12.75" customHeight="1">
      <c r="A674" s="198"/>
      <c r="B674" s="198"/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</row>
    <row r="675" spans="1:26" ht="12.75" customHeight="1">
      <c r="A675" s="198"/>
      <c r="B675" s="198"/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</row>
    <row r="676" spans="1:26" ht="12.75" customHeight="1">
      <c r="A676" s="198"/>
      <c r="B676" s="198"/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</row>
    <row r="677" spans="1:26" ht="12.75" customHeight="1">
      <c r="A677" s="198"/>
      <c r="B677" s="198"/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</row>
    <row r="678" spans="1:26" ht="12.75" customHeight="1">
      <c r="A678" s="198"/>
      <c r="B678" s="198"/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</row>
    <row r="679" spans="1:26" ht="12.75" customHeight="1">
      <c r="A679" s="198"/>
      <c r="B679" s="198"/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</row>
    <row r="680" spans="1:26" ht="12.75" customHeight="1">
      <c r="A680" s="198"/>
      <c r="B680" s="198"/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</row>
    <row r="681" spans="1:26" ht="12.75" customHeight="1">
      <c r="A681" s="198"/>
      <c r="B681" s="198"/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</row>
    <row r="682" spans="1:26" ht="12.75" customHeight="1">
      <c r="A682" s="198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</row>
    <row r="683" spans="1:26" ht="12.75" customHeight="1">
      <c r="A683" s="198"/>
      <c r="B683" s="198"/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</row>
    <row r="684" spans="1:26" ht="12.75" customHeight="1">
      <c r="A684" s="198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</row>
    <row r="685" spans="1:26" ht="12.75" customHeight="1">
      <c r="A685" s="198"/>
      <c r="B685" s="198"/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</row>
    <row r="686" spans="1:26" ht="12.75" customHeight="1">
      <c r="A686" s="198"/>
      <c r="B686" s="198"/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</row>
    <row r="687" spans="1:26" ht="12.75" customHeight="1">
      <c r="A687" s="198"/>
      <c r="B687" s="198"/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</row>
    <row r="688" spans="1:26" ht="12.75" customHeight="1">
      <c r="A688" s="198"/>
      <c r="B688" s="198"/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</row>
    <row r="689" spans="1:26" ht="12.75" customHeight="1">
      <c r="A689" s="198"/>
      <c r="B689" s="198"/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</row>
    <row r="690" spans="1:26" ht="12.75" customHeight="1">
      <c r="A690" s="198"/>
      <c r="B690" s="198"/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</row>
    <row r="691" spans="1:26" ht="12.75" customHeight="1">
      <c r="A691" s="198"/>
      <c r="B691" s="198"/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</row>
    <row r="692" spans="1:26" ht="12.75" customHeight="1">
      <c r="A692" s="198"/>
      <c r="B692" s="198"/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</row>
    <row r="693" spans="1:26" ht="12.75" customHeight="1">
      <c r="A693" s="198"/>
      <c r="B693" s="198"/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</row>
    <row r="694" spans="1:26" ht="12.75" customHeight="1">
      <c r="A694" s="198"/>
      <c r="B694" s="198"/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</row>
    <row r="695" spans="1:26" ht="12.75" customHeight="1">
      <c r="A695" s="198"/>
      <c r="B695" s="198"/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</row>
    <row r="696" spans="1:26" ht="12.75" customHeight="1">
      <c r="A696" s="198"/>
      <c r="B696" s="198"/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  <c r="X696" s="198"/>
      <c r="Y696" s="198"/>
      <c r="Z696" s="198"/>
    </row>
    <row r="697" spans="1:26" ht="12.75" customHeight="1">
      <c r="A697" s="198"/>
      <c r="B697" s="198"/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  <c r="X697" s="198"/>
      <c r="Y697" s="198"/>
      <c r="Z697" s="198"/>
    </row>
    <row r="698" spans="1:26" ht="12.75" customHeight="1">
      <c r="A698" s="198"/>
      <c r="B698" s="198"/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  <c r="X698" s="198"/>
      <c r="Y698" s="198"/>
      <c r="Z698" s="198"/>
    </row>
    <row r="699" spans="1:26" ht="12.75" customHeight="1">
      <c r="A699" s="198"/>
      <c r="B699" s="198"/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  <c r="X699" s="198"/>
      <c r="Y699" s="198"/>
      <c r="Z699" s="198"/>
    </row>
    <row r="700" spans="1:26" ht="12.75" customHeight="1">
      <c r="A700" s="198"/>
      <c r="B700" s="198"/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  <c r="X700" s="198"/>
      <c r="Y700" s="198"/>
      <c r="Z700" s="198"/>
    </row>
    <row r="701" spans="1:26" ht="12.75" customHeight="1">
      <c r="A701" s="198"/>
      <c r="B701" s="198"/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  <c r="X701" s="198"/>
      <c r="Y701" s="198"/>
      <c r="Z701" s="198"/>
    </row>
    <row r="702" spans="1:26" ht="12.75" customHeight="1">
      <c r="A702" s="198"/>
      <c r="B702" s="198"/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  <c r="X702" s="198"/>
      <c r="Y702" s="198"/>
      <c r="Z702" s="198"/>
    </row>
    <row r="703" spans="1:26" ht="12.75" customHeight="1">
      <c r="A703" s="198"/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  <c r="Y703" s="198"/>
      <c r="Z703" s="198"/>
    </row>
    <row r="704" spans="1:26" ht="12.75" customHeight="1">
      <c r="A704" s="198"/>
      <c r="B704" s="198"/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  <c r="X704" s="198"/>
      <c r="Y704" s="198"/>
      <c r="Z704" s="198"/>
    </row>
    <row r="705" spans="1:26" ht="12.75" customHeight="1">
      <c r="A705" s="198"/>
      <c r="B705" s="198"/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  <c r="X705" s="198"/>
      <c r="Y705" s="198"/>
      <c r="Z705" s="198"/>
    </row>
    <row r="706" spans="1:26" ht="12.75" customHeight="1">
      <c r="A706" s="198"/>
      <c r="B706" s="198"/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  <c r="X706" s="198"/>
      <c r="Y706" s="198"/>
      <c r="Z706" s="198"/>
    </row>
    <row r="707" spans="1:26" ht="12.75" customHeight="1">
      <c r="A707" s="198"/>
      <c r="B707" s="198"/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  <c r="X707" s="198"/>
      <c r="Y707" s="198"/>
      <c r="Z707" s="198"/>
    </row>
    <row r="708" spans="1:26" ht="12.75" customHeight="1">
      <c r="A708" s="198"/>
      <c r="B708" s="198"/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  <c r="X708" s="198"/>
      <c r="Y708" s="198"/>
      <c r="Z708" s="198"/>
    </row>
    <row r="709" spans="1:26" ht="12.75" customHeight="1">
      <c r="A709" s="198"/>
      <c r="B709" s="198"/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  <c r="X709" s="198"/>
      <c r="Y709" s="198"/>
      <c r="Z709" s="198"/>
    </row>
    <row r="710" spans="1:26" ht="12.75" customHeight="1">
      <c r="A710" s="198"/>
      <c r="B710" s="198"/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  <c r="X710" s="198"/>
      <c r="Y710" s="198"/>
      <c r="Z710" s="198"/>
    </row>
    <row r="711" spans="1:26" ht="12.75" customHeight="1">
      <c r="A711" s="198"/>
      <c r="B711" s="198"/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  <c r="X711" s="198"/>
      <c r="Y711" s="198"/>
      <c r="Z711" s="198"/>
    </row>
    <row r="712" spans="1:26" ht="12.75" customHeight="1">
      <c r="A712" s="198"/>
      <c r="B712" s="198"/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  <c r="X712" s="198"/>
      <c r="Y712" s="198"/>
      <c r="Z712" s="198"/>
    </row>
    <row r="713" spans="1:26" ht="12.75" customHeight="1">
      <c r="A713" s="198"/>
      <c r="B713" s="198"/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  <c r="X713" s="198"/>
      <c r="Y713" s="198"/>
      <c r="Z713" s="198"/>
    </row>
    <row r="714" spans="1:26" ht="12.75" customHeight="1">
      <c r="A714" s="198"/>
      <c r="B714" s="198"/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  <c r="X714" s="198"/>
      <c r="Y714" s="198"/>
      <c r="Z714" s="198"/>
    </row>
    <row r="715" spans="1:26" ht="12.75" customHeight="1">
      <c r="A715" s="198"/>
      <c r="B715" s="198"/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  <c r="X715" s="198"/>
      <c r="Y715" s="198"/>
      <c r="Z715" s="198"/>
    </row>
    <row r="716" spans="1:26" ht="12.75" customHeight="1">
      <c r="A716" s="198"/>
      <c r="B716" s="198"/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  <c r="X716" s="198"/>
      <c r="Y716" s="198"/>
      <c r="Z716" s="198"/>
    </row>
    <row r="717" spans="1:26" ht="12.75" customHeight="1">
      <c r="A717" s="198"/>
      <c r="B717" s="198"/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  <c r="X717" s="198"/>
      <c r="Y717" s="198"/>
      <c r="Z717" s="198"/>
    </row>
    <row r="718" spans="1:26" ht="12.75" customHeight="1">
      <c r="A718" s="198"/>
      <c r="B718" s="198"/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  <c r="X718" s="198"/>
      <c r="Y718" s="198"/>
      <c r="Z718" s="198"/>
    </row>
    <row r="719" spans="1:26" ht="12.75" customHeight="1">
      <c r="A719" s="198"/>
      <c r="B719" s="198"/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  <c r="X719" s="198"/>
      <c r="Y719" s="198"/>
      <c r="Z719" s="198"/>
    </row>
    <row r="720" spans="1:26" ht="12.75" customHeight="1">
      <c r="A720" s="198"/>
      <c r="B720" s="198"/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  <c r="X720" s="198"/>
      <c r="Y720" s="198"/>
      <c r="Z720" s="198"/>
    </row>
    <row r="721" spans="1:26" ht="12.75" customHeight="1">
      <c r="A721" s="198"/>
      <c r="B721" s="198"/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  <c r="X721" s="198"/>
      <c r="Y721" s="198"/>
      <c r="Z721" s="198"/>
    </row>
    <row r="722" spans="1:26" ht="12.75" customHeight="1">
      <c r="A722" s="198"/>
      <c r="B722" s="198"/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  <c r="X722" s="198"/>
      <c r="Y722" s="198"/>
      <c r="Z722" s="198"/>
    </row>
    <row r="723" spans="1:26" ht="12.75" customHeight="1">
      <c r="A723" s="198"/>
      <c r="B723" s="198"/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  <c r="X723" s="198"/>
      <c r="Y723" s="198"/>
      <c r="Z723" s="198"/>
    </row>
    <row r="724" spans="1:26" ht="12.75" customHeight="1">
      <c r="A724" s="198"/>
      <c r="B724" s="198"/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  <c r="X724" s="198"/>
      <c r="Y724" s="198"/>
      <c r="Z724" s="198"/>
    </row>
    <row r="725" spans="1:26" ht="12.75" customHeight="1">
      <c r="A725" s="198"/>
      <c r="B725" s="198"/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  <c r="X725" s="198"/>
      <c r="Y725" s="198"/>
      <c r="Z725" s="198"/>
    </row>
    <row r="726" spans="1:26" ht="12.75" customHeight="1">
      <c r="A726" s="198"/>
      <c r="B726" s="198"/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  <c r="X726" s="198"/>
      <c r="Y726" s="198"/>
      <c r="Z726" s="198"/>
    </row>
    <row r="727" spans="1:26" ht="12.75" customHeight="1">
      <c r="A727" s="198"/>
      <c r="B727" s="198"/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  <c r="X727" s="198"/>
      <c r="Y727" s="198"/>
      <c r="Z727" s="198"/>
    </row>
    <row r="728" spans="1:26" ht="12.75" customHeight="1">
      <c r="A728" s="198"/>
      <c r="B728" s="198"/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  <c r="X728" s="198"/>
      <c r="Y728" s="198"/>
      <c r="Z728" s="198"/>
    </row>
    <row r="729" spans="1:26" ht="12.75" customHeight="1">
      <c r="A729" s="198"/>
      <c r="B729" s="198"/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  <c r="X729" s="198"/>
      <c r="Y729" s="198"/>
      <c r="Z729" s="198"/>
    </row>
    <row r="730" spans="1:26" ht="12.75" customHeight="1">
      <c r="A730" s="198"/>
      <c r="B730" s="198"/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  <c r="X730" s="198"/>
      <c r="Y730" s="198"/>
      <c r="Z730" s="198"/>
    </row>
    <row r="731" spans="1:26" ht="12.75" customHeight="1">
      <c r="A731" s="198"/>
      <c r="B731" s="198"/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  <c r="X731" s="198"/>
      <c r="Y731" s="198"/>
      <c r="Z731" s="198"/>
    </row>
    <row r="732" spans="1:26" ht="12.75" customHeight="1">
      <c r="A732" s="198"/>
      <c r="B732" s="198"/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  <c r="X732" s="198"/>
      <c r="Y732" s="198"/>
      <c r="Z732" s="198"/>
    </row>
    <row r="733" spans="1:26" ht="12.75" customHeight="1">
      <c r="A733" s="198"/>
      <c r="B733" s="198"/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  <c r="X733" s="198"/>
      <c r="Y733" s="198"/>
      <c r="Z733" s="198"/>
    </row>
    <row r="734" spans="1:26" ht="12.75" customHeight="1">
      <c r="A734" s="198"/>
      <c r="B734" s="198"/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  <c r="X734" s="198"/>
      <c r="Y734" s="198"/>
      <c r="Z734" s="198"/>
    </row>
    <row r="735" spans="1:26" ht="12.75" customHeight="1">
      <c r="A735" s="198"/>
      <c r="B735" s="198"/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  <c r="X735" s="198"/>
      <c r="Y735" s="198"/>
      <c r="Z735" s="198"/>
    </row>
    <row r="736" spans="1:26" ht="12.75" customHeight="1">
      <c r="A736" s="198"/>
      <c r="B736" s="198"/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  <c r="X736" s="198"/>
      <c r="Y736" s="198"/>
      <c r="Z736" s="198"/>
    </row>
    <row r="737" spans="1:26" ht="12.75" customHeight="1">
      <c r="A737" s="198"/>
      <c r="B737" s="198"/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  <c r="X737" s="198"/>
      <c r="Y737" s="198"/>
      <c r="Z737" s="198"/>
    </row>
    <row r="738" spans="1:26" ht="12.75" customHeight="1">
      <c r="A738" s="198"/>
      <c r="B738" s="198"/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  <c r="X738" s="198"/>
      <c r="Y738" s="198"/>
      <c r="Z738" s="198"/>
    </row>
    <row r="739" spans="1:26" ht="12.75" customHeight="1">
      <c r="A739" s="198"/>
      <c r="B739" s="198"/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  <c r="X739" s="198"/>
      <c r="Y739" s="198"/>
      <c r="Z739" s="198"/>
    </row>
    <row r="740" spans="1:26" ht="12.75" customHeight="1">
      <c r="A740" s="198"/>
      <c r="B740" s="198"/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  <c r="X740" s="198"/>
      <c r="Y740" s="198"/>
      <c r="Z740" s="198"/>
    </row>
    <row r="741" spans="1:26" ht="12.75" customHeight="1">
      <c r="A741" s="198"/>
      <c r="B741" s="198"/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  <c r="X741" s="198"/>
      <c r="Y741" s="198"/>
      <c r="Z741" s="198"/>
    </row>
    <row r="742" spans="1:26" ht="12.75" customHeight="1">
      <c r="A742" s="198"/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  <c r="Y742" s="198"/>
      <c r="Z742" s="198"/>
    </row>
    <row r="743" spans="1:26" ht="12.75" customHeight="1">
      <c r="A743" s="198"/>
      <c r="B743" s="198"/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  <c r="X743" s="198"/>
      <c r="Y743" s="198"/>
      <c r="Z743" s="198"/>
    </row>
    <row r="744" spans="1:26" ht="12.75" customHeight="1">
      <c r="A744" s="198"/>
      <c r="B744" s="198"/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  <c r="X744" s="198"/>
      <c r="Y744" s="198"/>
      <c r="Z744" s="198"/>
    </row>
    <row r="745" spans="1:26" ht="12.75" customHeight="1">
      <c r="A745" s="198"/>
      <c r="B745" s="198"/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  <c r="X745" s="198"/>
      <c r="Y745" s="198"/>
      <c r="Z745" s="198"/>
    </row>
    <row r="746" spans="1:26" ht="12.75" customHeight="1">
      <c r="A746" s="198"/>
      <c r="B746" s="198"/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  <c r="X746" s="198"/>
      <c r="Y746" s="198"/>
      <c r="Z746" s="198"/>
    </row>
    <row r="747" spans="1:26" ht="12.75" customHeight="1">
      <c r="A747" s="198"/>
      <c r="B747" s="198"/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  <c r="X747" s="198"/>
      <c r="Y747" s="198"/>
      <c r="Z747" s="198"/>
    </row>
    <row r="748" spans="1:26" ht="12.75" customHeight="1">
      <c r="A748" s="198"/>
      <c r="B748" s="198"/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  <c r="X748" s="198"/>
      <c r="Y748" s="198"/>
      <c r="Z748" s="198"/>
    </row>
    <row r="749" spans="1:26" ht="12.75" customHeight="1">
      <c r="A749" s="198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  <c r="X749" s="198"/>
      <c r="Y749" s="198"/>
      <c r="Z749" s="198"/>
    </row>
    <row r="750" spans="1:26" ht="12.75" customHeight="1">
      <c r="A750" s="198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  <c r="X750" s="198"/>
      <c r="Y750" s="198"/>
      <c r="Z750" s="198"/>
    </row>
    <row r="751" spans="1:26" ht="12.75" customHeight="1">
      <c r="A751" s="198"/>
      <c r="B751" s="198"/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  <c r="X751" s="198"/>
      <c r="Y751" s="198"/>
      <c r="Z751" s="198"/>
    </row>
    <row r="752" spans="1:26" ht="12.75" customHeight="1">
      <c r="A752" s="198"/>
      <c r="B752" s="198"/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  <c r="X752" s="198"/>
      <c r="Y752" s="198"/>
      <c r="Z752" s="198"/>
    </row>
    <row r="753" spans="1:26" ht="12.75" customHeight="1">
      <c r="A753" s="198"/>
      <c r="B753" s="198"/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  <c r="X753" s="198"/>
      <c r="Y753" s="198"/>
      <c r="Z753" s="198"/>
    </row>
    <row r="754" spans="1:26" ht="12.75" customHeight="1">
      <c r="A754" s="198"/>
      <c r="B754" s="198"/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  <c r="X754" s="198"/>
      <c r="Y754" s="198"/>
      <c r="Z754" s="198"/>
    </row>
    <row r="755" spans="1:26" ht="12.75" customHeight="1">
      <c r="A755" s="198"/>
      <c r="B755" s="198"/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</row>
    <row r="756" spans="1:26" ht="12.75" customHeight="1">
      <c r="A756" s="198"/>
      <c r="B756" s="198"/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  <c r="X756" s="198"/>
      <c r="Y756" s="198"/>
      <c r="Z756" s="198"/>
    </row>
    <row r="757" spans="1:26" ht="12.75" customHeight="1">
      <c r="A757" s="198"/>
      <c r="B757" s="198"/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</row>
    <row r="758" spans="1:26" ht="12.75" customHeight="1">
      <c r="A758" s="198"/>
      <c r="B758" s="198"/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  <c r="X758" s="198"/>
      <c r="Y758" s="198"/>
      <c r="Z758" s="198"/>
    </row>
    <row r="759" spans="1:26" ht="12.75" customHeight="1">
      <c r="A759" s="198"/>
      <c r="B759" s="198"/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  <c r="X759" s="198"/>
      <c r="Y759" s="198"/>
      <c r="Z759" s="198"/>
    </row>
    <row r="760" spans="1:26" ht="12.75" customHeight="1">
      <c r="A760" s="198"/>
      <c r="B760" s="198"/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  <c r="X760" s="198"/>
      <c r="Y760" s="198"/>
      <c r="Z760" s="198"/>
    </row>
    <row r="761" spans="1:26" ht="12.75" customHeight="1">
      <c r="A761" s="198"/>
      <c r="B761" s="198"/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  <c r="X761" s="198"/>
      <c r="Y761" s="198"/>
      <c r="Z761" s="198"/>
    </row>
    <row r="762" spans="1:26" ht="12.75" customHeight="1">
      <c r="A762" s="198"/>
      <c r="B762" s="198"/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  <c r="X762" s="198"/>
      <c r="Y762" s="198"/>
      <c r="Z762" s="198"/>
    </row>
    <row r="763" spans="1:26" ht="12.75" customHeight="1">
      <c r="A763" s="198"/>
      <c r="B763" s="198"/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  <c r="X763" s="198"/>
      <c r="Y763" s="198"/>
      <c r="Z763" s="198"/>
    </row>
    <row r="764" spans="1:26" ht="12.75" customHeight="1">
      <c r="A764" s="198"/>
      <c r="B764" s="198"/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  <c r="X764" s="198"/>
      <c r="Y764" s="198"/>
      <c r="Z764" s="198"/>
    </row>
    <row r="765" spans="1:26" ht="12.75" customHeight="1">
      <c r="A765" s="198"/>
      <c r="B765" s="198"/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  <c r="X765" s="198"/>
      <c r="Y765" s="198"/>
      <c r="Z765" s="198"/>
    </row>
    <row r="766" spans="1:26" ht="12.75" customHeight="1">
      <c r="A766" s="198"/>
      <c r="B766" s="198"/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  <c r="X766" s="198"/>
      <c r="Y766" s="198"/>
      <c r="Z766" s="198"/>
    </row>
    <row r="767" spans="1:26" ht="12.75" customHeight="1">
      <c r="A767" s="198"/>
      <c r="B767" s="198"/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  <c r="X767" s="198"/>
      <c r="Y767" s="198"/>
      <c r="Z767" s="198"/>
    </row>
    <row r="768" spans="1:26" ht="12.75" customHeight="1">
      <c r="A768" s="198"/>
      <c r="B768" s="198"/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  <c r="X768" s="198"/>
      <c r="Y768" s="198"/>
      <c r="Z768" s="198"/>
    </row>
    <row r="769" spans="1:26" ht="12.75" customHeight="1">
      <c r="A769" s="198"/>
      <c r="B769" s="198"/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  <c r="X769" s="198"/>
      <c r="Y769" s="198"/>
      <c r="Z769" s="198"/>
    </row>
    <row r="770" spans="1:26" ht="12.75" customHeight="1">
      <c r="A770" s="198"/>
      <c r="B770" s="198"/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  <c r="X770" s="198"/>
      <c r="Y770" s="198"/>
      <c r="Z770" s="198"/>
    </row>
    <row r="771" spans="1:26" ht="12.75" customHeight="1">
      <c r="A771" s="198"/>
      <c r="B771" s="198"/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  <c r="X771" s="198"/>
      <c r="Y771" s="198"/>
      <c r="Z771" s="198"/>
    </row>
    <row r="772" spans="1:26" ht="12.75" customHeight="1">
      <c r="A772" s="198"/>
      <c r="B772" s="198"/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  <c r="X772" s="198"/>
      <c r="Y772" s="198"/>
      <c r="Z772" s="198"/>
    </row>
    <row r="773" spans="1:26" ht="12.75" customHeight="1">
      <c r="A773" s="198"/>
      <c r="B773" s="198"/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  <c r="X773" s="198"/>
      <c r="Y773" s="198"/>
      <c r="Z773" s="198"/>
    </row>
    <row r="774" spans="1:26" ht="12.75" customHeight="1">
      <c r="A774" s="198"/>
      <c r="B774" s="198"/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  <c r="X774" s="198"/>
      <c r="Y774" s="198"/>
      <c r="Z774" s="198"/>
    </row>
    <row r="775" spans="1:26" ht="12.75" customHeight="1">
      <c r="A775" s="198"/>
      <c r="B775" s="198"/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  <c r="X775" s="198"/>
      <c r="Y775" s="198"/>
      <c r="Z775" s="198"/>
    </row>
    <row r="776" spans="1:26" ht="12.75" customHeight="1">
      <c r="A776" s="198"/>
      <c r="B776" s="198"/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  <c r="X776" s="198"/>
      <c r="Y776" s="198"/>
      <c r="Z776" s="198"/>
    </row>
    <row r="777" spans="1:26" ht="12.75" customHeight="1">
      <c r="A777" s="198"/>
      <c r="B777" s="198"/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  <c r="X777" s="198"/>
      <c r="Y777" s="198"/>
      <c r="Z777" s="198"/>
    </row>
    <row r="778" spans="1:26" ht="12.75" customHeight="1">
      <c r="A778" s="198"/>
      <c r="B778" s="198"/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  <c r="X778" s="198"/>
      <c r="Y778" s="198"/>
      <c r="Z778" s="198"/>
    </row>
    <row r="779" spans="1:26" ht="12.75" customHeight="1">
      <c r="A779" s="198"/>
      <c r="B779" s="198"/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  <c r="X779" s="198"/>
      <c r="Y779" s="198"/>
      <c r="Z779" s="198"/>
    </row>
    <row r="780" spans="1:26" ht="12.75" customHeight="1">
      <c r="A780" s="198"/>
      <c r="B780" s="198"/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  <c r="X780" s="198"/>
      <c r="Y780" s="198"/>
      <c r="Z780" s="198"/>
    </row>
    <row r="781" spans="1:26" ht="12.75" customHeight="1">
      <c r="A781" s="198"/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  <c r="Y781" s="198"/>
      <c r="Z781" s="198"/>
    </row>
    <row r="782" spans="1:26" ht="12.75" customHeight="1">
      <c r="A782" s="198"/>
      <c r="B782" s="198"/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  <c r="X782" s="198"/>
      <c r="Y782" s="198"/>
      <c r="Z782" s="198"/>
    </row>
    <row r="783" spans="1:26" ht="12.75" customHeight="1">
      <c r="A783" s="198"/>
      <c r="B783" s="198"/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  <c r="X783" s="198"/>
      <c r="Y783" s="198"/>
      <c r="Z783" s="198"/>
    </row>
    <row r="784" spans="1:26" ht="12.75" customHeight="1">
      <c r="A784" s="198"/>
      <c r="B784" s="198"/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  <c r="X784" s="198"/>
      <c r="Y784" s="198"/>
      <c r="Z784" s="198"/>
    </row>
    <row r="785" spans="1:26" ht="12.75" customHeight="1">
      <c r="A785" s="198"/>
      <c r="B785" s="198"/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  <c r="X785" s="198"/>
      <c r="Y785" s="198"/>
      <c r="Z785" s="198"/>
    </row>
    <row r="786" spans="1:26" ht="12.75" customHeight="1">
      <c r="A786" s="198"/>
      <c r="B786" s="198"/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  <c r="X786" s="198"/>
      <c r="Y786" s="198"/>
      <c r="Z786" s="198"/>
    </row>
    <row r="787" spans="1:26" ht="12.75" customHeight="1">
      <c r="A787" s="198"/>
      <c r="B787" s="198"/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  <c r="X787" s="198"/>
      <c r="Y787" s="198"/>
      <c r="Z787" s="198"/>
    </row>
    <row r="788" spans="1:26" ht="12.75" customHeight="1">
      <c r="A788" s="198"/>
      <c r="B788" s="198"/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  <c r="X788" s="198"/>
      <c r="Y788" s="198"/>
      <c r="Z788" s="198"/>
    </row>
    <row r="789" spans="1:26" ht="12.75" customHeight="1">
      <c r="A789" s="198"/>
      <c r="B789" s="198"/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  <c r="X789" s="198"/>
      <c r="Y789" s="198"/>
      <c r="Z789" s="198"/>
    </row>
    <row r="790" spans="1:26" ht="12.75" customHeight="1">
      <c r="A790" s="198"/>
      <c r="B790" s="198"/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  <c r="X790" s="198"/>
      <c r="Y790" s="198"/>
      <c r="Z790" s="198"/>
    </row>
    <row r="791" spans="1:26" ht="12.75" customHeight="1">
      <c r="A791" s="198"/>
      <c r="B791" s="198"/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  <c r="X791" s="198"/>
      <c r="Y791" s="198"/>
      <c r="Z791" s="198"/>
    </row>
    <row r="792" spans="1:26" ht="12.75" customHeight="1">
      <c r="A792" s="198"/>
      <c r="B792" s="198"/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  <c r="X792" s="198"/>
      <c r="Y792" s="198"/>
      <c r="Z792" s="198"/>
    </row>
    <row r="793" spans="1:26" ht="12.75" customHeight="1">
      <c r="A793" s="198"/>
      <c r="B793" s="198"/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  <c r="X793" s="198"/>
      <c r="Y793" s="198"/>
      <c r="Z793" s="198"/>
    </row>
    <row r="794" spans="1:26" ht="12.75" customHeight="1">
      <c r="A794" s="198"/>
      <c r="B794" s="198"/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  <c r="X794" s="198"/>
      <c r="Y794" s="198"/>
      <c r="Z794" s="198"/>
    </row>
    <row r="795" spans="1:26" ht="12.75" customHeight="1">
      <c r="A795" s="198"/>
      <c r="B795" s="198"/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  <c r="X795" s="198"/>
      <c r="Y795" s="198"/>
      <c r="Z795" s="198"/>
    </row>
    <row r="796" spans="1:26" ht="12.75" customHeight="1">
      <c r="A796" s="198"/>
      <c r="B796" s="198"/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</row>
    <row r="797" spans="1:26" ht="12.75" customHeight="1">
      <c r="A797" s="198"/>
      <c r="B797" s="198"/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</row>
    <row r="798" spans="1:26" ht="12.75" customHeight="1">
      <c r="A798" s="198"/>
      <c r="B798" s="198"/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  <c r="X798" s="198"/>
      <c r="Y798" s="198"/>
      <c r="Z798" s="198"/>
    </row>
    <row r="799" spans="1:26" ht="12.75" customHeight="1">
      <c r="A799" s="198"/>
      <c r="B799" s="198"/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  <c r="X799" s="198"/>
      <c r="Y799" s="198"/>
      <c r="Z799" s="198"/>
    </row>
    <row r="800" spans="1:26" ht="12.75" customHeight="1">
      <c r="A800" s="198"/>
      <c r="B800" s="198"/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  <c r="X800" s="198"/>
      <c r="Y800" s="198"/>
      <c r="Z800" s="198"/>
    </row>
    <row r="801" spans="1:26" ht="12.75" customHeight="1">
      <c r="A801" s="198"/>
      <c r="B801" s="198"/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  <c r="X801" s="198"/>
      <c r="Y801" s="198"/>
      <c r="Z801" s="198"/>
    </row>
    <row r="802" spans="1:26" ht="12.75" customHeight="1">
      <c r="A802" s="198"/>
      <c r="B802" s="198"/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  <c r="X802" s="198"/>
      <c r="Y802" s="198"/>
      <c r="Z802" s="198"/>
    </row>
    <row r="803" spans="1:26" ht="12.75" customHeight="1">
      <c r="A803" s="198"/>
      <c r="B803" s="198"/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  <c r="X803" s="198"/>
      <c r="Y803" s="198"/>
      <c r="Z803" s="198"/>
    </row>
    <row r="804" spans="1:26" ht="12.75" customHeight="1">
      <c r="A804" s="198"/>
      <c r="B804" s="198"/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  <c r="X804" s="198"/>
      <c r="Y804" s="198"/>
      <c r="Z804" s="198"/>
    </row>
    <row r="805" spans="1:26" ht="12.75" customHeight="1">
      <c r="A805" s="198"/>
      <c r="B805" s="198"/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  <c r="X805" s="198"/>
      <c r="Y805" s="198"/>
      <c r="Z805" s="198"/>
    </row>
    <row r="806" spans="1:26" ht="12.75" customHeight="1">
      <c r="A806" s="198"/>
      <c r="B806" s="198"/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  <c r="X806" s="198"/>
      <c r="Y806" s="198"/>
      <c r="Z806" s="198"/>
    </row>
    <row r="807" spans="1:26" ht="12.75" customHeight="1">
      <c r="A807" s="198"/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  <c r="X807" s="198"/>
      <c r="Y807" s="198"/>
      <c r="Z807" s="198"/>
    </row>
    <row r="808" spans="1:26" ht="12.75" customHeight="1">
      <c r="A808" s="198"/>
      <c r="B808" s="198"/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  <c r="X808" s="198"/>
      <c r="Y808" s="198"/>
      <c r="Z808" s="198"/>
    </row>
    <row r="809" spans="1:26" ht="12.75" customHeight="1">
      <c r="A809" s="198"/>
      <c r="B809" s="198"/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  <c r="X809" s="198"/>
      <c r="Y809" s="198"/>
      <c r="Z809" s="198"/>
    </row>
    <row r="810" spans="1:26" ht="12.75" customHeight="1">
      <c r="A810" s="198"/>
      <c r="B810" s="198"/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  <c r="X810" s="198"/>
      <c r="Y810" s="198"/>
      <c r="Z810" s="198"/>
    </row>
    <row r="811" spans="1:26" ht="12.75" customHeight="1">
      <c r="A811" s="198"/>
      <c r="B811" s="198"/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  <c r="X811" s="198"/>
      <c r="Y811" s="198"/>
      <c r="Z811" s="198"/>
    </row>
    <row r="812" spans="1:26" ht="12.75" customHeight="1">
      <c r="A812" s="198"/>
      <c r="B812" s="198"/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  <c r="X812" s="198"/>
      <c r="Y812" s="198"/>
      <c r="Z812" s="198"/>
    </row>
    <row r="813" spans="1:26" ht="12.75" customHeight="1">
      <c r="A813" s="198"/>
      <c r="B813" s="198"/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  <c r="X813" s="198"/>
      <c r="Y813" s="198"/>
      <c r="Z813" s="198"/>
    </row>
    <row r="814" spans="1:26" ht="12.75" customHeight="1">
      <c r="A814" s="198"/>
      <c r="B814" s="198"/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  <c r="X814" s="198"/>
      <c r="Y814" s="198"/>
      <c r="Z814" s="198"/>
    </row>
    <row r="815" spans="1:26" ht="12.75" customHeight="1">
      <c r="A815" s="198"/>
      <c r="B815" s="198"/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  <c r="X815" s="198"/>
      <c r="Y815" s="198"/>
      <c r="Z815" s="198"/>
    </row>
    <row r="816" spans="1:26" ht="12.75" customHeight="1">
      <c r="A816" s="198"/>
      <c r="B816" s="198"/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  <c r="X816" s="198"/>
      <c r="Y816" s="198"/>
      <c r="Z816" s="198"/>
    </row>
    <row r="817" spans="1:26" ht="12.75" customHeight="1">
      <c r="A817" s="198"/>
      <c r="B817" s="198"/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  <c r="X817" s="198"/>
      <c r="Y817" s="198"/>
      <c r="Z817" s="198"/>
    </row>
    <row r="818" spans="1:26" ht="12.75" customHeight="1">
      <c r="A818" s="198"/>
      <c r="B818" s="198"/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  <c r="X818" s="198"/>
      <c r="Y818" s="198"/>
      <c r="Z818" s="198"/>
    </row>
    <row r="819" spans="1:26" ht="12.75" customHeight="1">
      <c r="A819" s="198"/>
      <c r="B819" s="198"/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  <c r="X819" s="198"/>
      <c r="Y819" s="198"/>
      <c r="Z819" s="198"/>
    </row>
    <row r="820" spans="1:26" ht="12.75" customHeight="1">
      <c r="A820" s="198"/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  <c r="Y820" s="198"/>
      <c r="Z820" s="198"/>
    </row>
    <row r="821" spans="1:26" ht="12.75" customHeight="1">
      <c r="A821" s="198"/>
      <c r="B821" s="198"/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  <c r="X821" s="198"/>
      <c r="Y821" s="198"/>
      <c r="Z821" s="198"/>
    </row>
    <row r="822" spans="1:26" ht="12.75" customHeight="1">
      <c r="A822" s="198"/>
      <c r="B822" s="198"/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  <c r="X822" s="198"/>
      <c r="Y822" s="198"/>
      <c r="Z822" s="198"/>
    </row>
    <row r="823" spans="1:26" ht="12.75" customHeight="1">
      <c r="A823" s="198"/>
      <c r="B823" s="198"/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  <c r="X823" s="198"/>
      <c r="Y823" s="198"/>
      <c r="Z823" s="198"/>
    </row>
    <row r="824" spans="1:26" ht="12.75" customHeight="1">
      <c r="A824" s="198"/>
      <c r="B824" s="198"/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  <c r="X824" s="198"/>
      <c r="Y824" s="198"/>
      <c r="Z824" s="198"/>
    </row>
    <row r="825" spans="1:26" ht="12.75" customHeight="1">
      <c r="A825" s="198"/>
      <c r="B825" s="198"/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  <c r="X825" s="198"/>
      <c r="Y825" s="198"/>
      <c r="Z825" s="198"/>
    </row>
    <row r="826" spans="1:26" ht="12.75" customHeight="1">
      <c r="A826" s="198"/>
      <c r="B826" s="198"/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  <c r="X826" s="198"/>
      <c r="Y826" s="198"/>
      <c r="Z826" s="198"/>
    </row>
    <row r="827" spans="1:26" ht="12.75" customHeight="1">
      <c r="A827" s="198"/>
      <c r="B827" s="198"/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</row>
    <row r="828" spans="1:26" ht="12.75" customHeight="1">
      <c r="A828" s="198"/>
      <c r="B828" s="198"/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</row>
    <row r="829" spans="1:26" ht="12.75" customHeight="1">
      <c r="A829" s="198"/>
      <c r="B829" s="198"/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  <c r="X829" s="198"/>
      <c r="Y829" s="198"/>
      <c r="Z829" s="198"/>
    </row>
    <row r="830" spans="1:26" ht="12.75" customHeight="1">
      <c r="A830" s="198"/>
      <c r="B830" s="198"/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  <c r="X830" s="198"/>
      <c r="Y830" s="198"/>
      <c r="Z830" s="198"/>
    </row>
    <row r="831" spans="1:26" ht="12.75" customHeight="1">
      <c r="A831" s="198"/>
      <c r="B831" s="198"/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  <c r="X831" s="198"/>
      <c r="Y831" s="198"/>
      <c r="Z831" s="198"/>
    </row>
    <row r="832" spans="1:26" ht="12.75" customHeight="1">
      <c r="A832" s="198"/>
      <c r="B832" s="198"/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  <c r="X832" s="198"/>
      <c r="Y832" s="198"/>
      <c r="Z832" s="198"/>
    </row>
    <row r="833" spans="1:26" ht="12.75" customHeight="1">
      <c r="A833" s="198"/>
      <c r="B833" s="198"/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  <c r="X833" s="198"/>
      <c r="Y833" s="198"/>
      <c r="Z833" s="198"/>
    </row>
    <row r="834" spans="1:26" ht="12.75" customHeight="1">
      <c r="A834" s="198"/>
      <c r="B834" s="198"/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  <c r="X834" s="198"/>
      <c r="Y834" s="198"/>
      <c r="Z834" s="198"/>
    </row>
    <row r="835" spans="1:26" ht="12.75" customHeight="1">
      <c r="A835" s="198"/>
      <c r="B835" s="198"/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  <c r="X835" s="198"/>
      <c r="Y835" s="198"/>
      <c r="Z835" s="198"/>
    </row>
    <row r="836" spans="1:26" ht="12.75" customHeight="1">
      <c r="A836" s="198"/>
      <c r="B836" s="198"/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  <c r="X836" s="198"/>
      <c r="Y836" s="198"/>
      <c r="Z836" s="198"/>
    </row>
    <row r="837" spans="1:26" ht="12.75" customHeight="1">
      <c r="A837" s="198"/>
      <c r="B837" s="198"/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  <c r="X837" s="198"/>
      <c r="Y837" s="198"/>
      <c r="Z837" s="198"/>
    </row>
    <row r="838" spans="1:26" ht="12.75" customHeight="1">
      <c r="A838" s="198"/>
      <c r="B838" s="198"/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  <c r="X838" s="198"/>
      <c r="Y838" s="198"/>
      <c r="Z838" s="198"/>
    </row>
    <row r="839" spans="1:26" ht="12.75" customHeight="1">
      <c r="A839" s="198"/>
      <c r="B839" s="198"/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  <c r="X839" s="198"/>
      <c r="Y839" s="198"/>
      <c r="Z839" s="198"/>
    </row>
    <row r="840" spans="1:26" ht="12.75" customHeight="1">
      <c r="A840" s="198"/>
      <c r="B840" s="198"/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  <c r="X840" s="198"/>
      <c r="Y840" s="198"/>
      <c r="Z840" s="198"/>
    </row>
    <row r="841" spans="1:26" ht="12.75" customHeight="1">
      <c r="A841" s="198"/>
      <c r="B841" s="198"/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  <c r="X841" s="198"/>
      <c r="Y841" s="198"/>
      <c r="Z841" s="198"/>
    </row>
    <row r="842" spans="1:26" ht="12.75" customHeight="1">
      <c r="A842" s="198"/>
      <c r="B842" s="198"/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  <c r="X842" s="198"/>
      <c r="Y842" s="198"/>
      <c r="Z842" s="198"/>
    </row>
    <row r="843" spans="1:26" ht="12.75" customHeight="1">
      <c r="A843" s="198"/>
      <c r="B843" s="198"/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  <c r="X843" s="198"/>
      <c r="Y843" s="198"/>
      <c r="Z843" s="198"/>
    </row>
    <row r="844" spans="1:26" ht="12.75" customHeight="1">
      <c r="A844" s="198"/>
      <c r="B844" s="198"/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  <c r="X844" s="198"/>
      <c r="Y844" s="198"/>
      <c r="Z844" s="198"/>
    </row>
    <row r="845" spans="1:26" ht="12.75" customHeight="1">
      <c r="A845" s="198"/>
      <c r="B845" s="198"/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  <c r="X845" s="198"/>
      <c r="Y845" s="198"/>
      <c r="Z845" s="198"/>
    </row>
    <row r="846" spans="1:26" ht="12.75" customHeight="1">
      <c r="A846" s="198"/>
      <c r="B846" s="198"/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  <c r="X846" s="198"/>
      <c r="Y846" s="198"/>
      <c r="Z846" s="198"/>
    </row>
    <row r="847" spans="1:26" ht="12.75" customHeight="1">
      <c r="A847" s="198"/>
      <c r="B847" s="198"/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  <c r="X847" s="198"/>
      <c r="Y847" s="198"/>
      <c r="Z847" s="198"/>
    </row>
    <row r="848" spans="1:26" ht="12.75" customHeight="1">
      <c r="A848" s="198"/>
      <c r="B848" s="198"/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  <c r="X848" s="198"/>
      <c r="Y848" s="198"/>
      <c r="Z848" s="198"/>
    </row>
    <row r="849" spans="1:26" ht="12.75" customHeight="1">
      <c r="A849" s="198"/>
      <c r="B849" s="198"/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  <c r="X849" s="198"/>
      <c r="Y849" s="198"/>
      <c r="Z849" s="198"/>
    </row>
    <row r="850" spans="1:26" ht="12.75" customHeight="1">
      <c r="A850" s="198"/>
      <c r="B850" s="198"/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  <c r="X850" s="198"/>
      <c r="Y850" s="198"/>
      <c r="Z850" s="198"/>
    </row>
    <row r="851" spans="1:26" ht="12.75" customHeight="1">
      <c r="A851" s="198"/>
      <c r="B851" s="198"/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  <c r="X851" s="198"/>
      <c r="Y851" s="198"/>
      <c r="Z851" s="198"/>
    </row>
    <row r="852" spans="1:26" ht="12.75" customHeight="1">
      <c r="A852" s="198"/>
      <c r="B852" s="198"/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  <c r="X852" s="198"/>
      <c r="Y852" s="198"/>
      <c r="Z852" s="198"/>
    </row>
    <row r="853" spans="1:26" ht="12.75" customHeight="1">
      <c r="A853" s="198"/>
      <c r="B853" s="198"/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  <c r="X853" s="198"/>
      <c r="Y853" s="198"/>
      <c r="Z853" s="198"/>
    </row>
    <row r="854" spans="1:26" ht="12.75" customHeight="1">
      <c r="A854" s="198"/>
      <c r="B854" s="198"/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  <c r="X854" s="198"/>
      <c r="Y854" s="198"/>
      <c r="Z854" s="198"/>
    </row>
    <row r="855" spans="1:26" ht="12.75" customHeight="1">
      <c r="A855" s="198"/>
      <c r="B855" s="198"/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  <c r="X855" s="198"/>
      <c r="Y855" s="198"/>
      <c r="Z855" s="198"/>
    </row>
    <row r="856" spans="1:26" ht="12.75" customHeight="1">
      <c r="A856" s="198"/>
      <c r="B856" s="198"/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  <c r="X856" s="198"/>
      <c r="Y856" s="198"/>
      <c r="Z856" s="198"/>
    </row>
    <row r="857" spans="1:26" ht="12.75" customHeight="1">
      <c r="A857" s="198"/>
      <c r="B857" s="198"/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</row>
    <row r="858" spans="1:26" ht="12.75" customHeight="1">
      <c r="A858" s="198"/>
      <c r="B858" s="198"/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</row>
    <row r="859" spans="1:26" ht="12.75" customHeight="1">
      <c r="A859" s="198"/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  <c r="Y859" s="198"/>
      <c r="Z859" s="198"/>
    </row>
    <row r="860" spans="1:26" ht="12.75" customHeight="1">
      <c r="A860" s="198"/>
      <c r="B860" s="198"/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  <c r="X860" s="198"/>
      <c r="Y860" s="198"/>
      <c r="Z860" s="198"/>
    </row>
    <row r="861" spans="1:26" ht="12.75" customHeight="1">
      <c r="A861" s="198"/>
      <c r="B861" s="198"/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  <c r="X861" s="198"/>
      <c r="Y861" s="198"/>
      <c r="Z861" s="198"/>
    </row>
    <row r="862" spans="1:26" ht="12.75" customHeight="1">
      <c r="A862" s="198"/>
      <c r="B862" s="198"/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  <c r="X862" s="198"/>
      <c r="Y862" s="198"/>
      <c r="Z862" s="198"/>
    </row>
    <row r="863" spans="1:26" ht="12.75" customHeight="1">
      <c r="A863" s="198"/>
      <c r="B863" s="198"/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  <c r="X863" s="198"/>
      <c r="Y863" s="198"/>
      <c r="Z863" s="198"/>
    </row>
    <row r="864" spans="1:26" ht="12.75" customHeight="1">
      <c r="A864" s="198"/>
      <c r="B864" s="198"/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  <c r="X864" s="198"/>
      <c r="Y864" s="198"/>
      <c r="Z864" s="198"/>
    </row>
    <row r="865" spans="1:26" ht="12.75" customHeight="1">
      <c r="A865" s="198"/>
      <c r="B865" s="198"/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  <c r="X865" s="198"/>
      <c r="Y865" s="198"/>
      <c r="Z865" s="198"/>
    </row>
    <row r="866" spans="1:26" ht="12.75" customHeight="1">
      <c r="A866" s="198"/>
      <c r="B866" s="198"/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  <c r="X866" s="198"/>
      <c r="Y866" s="198"/>
      <c r="Z866" s="198"/>
    </row>
    <row r="867" spans="1:26" ht="12.75" customHeight="1">
      <c r="A867" s="198"/>
      <c r="B867" s="198"/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  <c r="X867" s="198"/>
      <c r="Y867" s="198"/>
      <c r="Z867" s="198"/>
    </row>
    <row r="868" spans="1:26" ht="12.75" customHeight="1">
      <c r="A868" s="198"/>
      <c r="B868" s="198"/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  <c r="X868" s="198"/>
      <c r="Y868" s="198"/>
      <c r="Z868" s="198"/>
    </row>
    <row r="869" spans="1:26" ht="12.75" customHeight="1">
      <c r="A869" s="198"/>
      <c r="B869" s="198"/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  <c r="X869" s="198"/>
      <c r="Y869" s="198"/>
      <c r="Z869" s="198"/>
    </row>
    <row r="870" spans="1:26" ht="12.75" customHeight="1">
      <c r="A870" s="198"/>
      <c r="B870" s="198"/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  <c r="X870" s="198"/>
      <c r="Y870" s="198"/>
      <c r="Z870" s="198"/>
    </row>
    <row r="871" spans="1:26" ht="12.75" customHeight="1">
      <c r="A871" s="198"/>
      <c r="B871" s="198"/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  <c r="X871" s="198"/>
      <c r="Y871" s="198"/>
      <c r="Z871" s="198"/>
    </row>
    <row r="872" spans="1:26" ht="12.75" customHeight="1">
      <c r="A872" s="198"/>
      <c r="B872" s="198"/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  <c r="X872" s="198"/>
      <c r="Y872" s="198"/>
      <c r="Z872" s="198"/>
    </row>
    <row r="873" spans="1:26" ht="12.75" customHeight="1">
      <c r="A873" s="198"/>
      <c r="B873" s="198"/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  <c r="X873" s="198"/>
      <c r="Y873" s="198"/>
      <c r="Z873" s="198"/>
    </row>
    <row r="874" spans="1:26" ht="12.75" customHeight="1">
      <c r="A874" s="198"/>
      <c r="B874" s="198"/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  <c r="X874" s="198"/>
      <c r="Y874" s="198"/>
      <c r="Z874" s="198"/>
    </row>
    <row r="875" spans="1:26" ht="12.75" customHeight="1">
      <c r="A875" s="198"/>
      <c r="B875" s="198"/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  <c r="X875" s="198"/>
      <c r="Y875" s="198"/>
      <c r="Z875" s="198"/>
    </row>
    <row r="876" spans="1:26" ht="12.75" customHeight="1">
      <c r="A876" s="198"/>
      <c r="B876" s="198"/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  <c r="X876" s="198"/>
      <c r="Y876" s="198"/>
      <c r="Z876" s="198"/>
    </row>
    <row r="877" spans="1:26" ht="12.75" customHeight="1">
      <c r="A877" s="198"/>
      <c r="B877" s="198"/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  <c r="X877" s="198"/>
      <c r="Y877" s="198"/>
      <c r="Z877" s="198"/>
    </row>
    <row r="878" spans="1:26" ht="12.75" customHeight="1">
      <c r="A878" s="198"/>
      <c r="B878" s="198"/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  <c r="X878" s="198"/>
      <c r="Y878" s="198"/>
      <c r="Z878" s="198"/>
    </row>
    <row r="879" spans="1:26" ht="12.75" customHeight="1">
      <c r="A879" s="198"/>
      <c r="B879" s="198"/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  <c r="X879" s="198"/>
      <c r="Y879" s="198"/>
      <c r="Z879" s="198"/>
    </row>
    <row r="880" spans="1:26" ht="12.75" customHeight="1">
      <c r="A880" s="198"/>
      <c r="B880" s="198"/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  <c r="X880" s="198"/>
      <c r="Y880" s="198"/>
      <c r="Z880" s="198"/>
    </row>
    <row r="881" spans="1:26" ht="12.75" customHeight="1">
      <c r="A881" s="198"/>
      <c r="B881" s="198"/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  <c r="X881" s="198"/>
      <c r="Y881" s="198"/>
      <c r="Z881" s="198"/>
    </row>
    <row r="882" spans="1:26" ht="12.75" customHeight="1">
      <c r="A882" s="198"/>
      <c r="B882" s="198"/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  <c r="X882" s="198"/>
      <c r="Y882" s="198"/>
      <c r="Z882" s="198"/>
    </row>
    <row r="883" spans="1:26" ht="12.75" customHeight="1">
      <c r="A883" s="198"/>
      <c r="B883" s="198"/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  <c r="X883" s="198"/>
      <c r="Y883" s="198"/>
      <c r="Z883" s="198"/>
    </row>
    <row r="884" spans="1:26" ht="12.75" customHeight="1">
      <c r="A884" s="198"/>
      <c r="B884" s="198"/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  <c r="X884" s="198"/>
      <c r="Y884" s="198"/>
      <c r="Z884" s="198"/>
    </row>
    <row r="885" spans="1:26" ht="12.75" customHeight="1">
      <c r="A885" s="198"/>
      <c r="B885" s="198"/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  <c r="X885" s="198"/>
      <c r="Y885" s="198"/>
      <c r="Z885" s="198"/>
    </row>
    <row r="886" spans="1:26" ht="12.75" customHeight="1">
      <c r="A886" s="198"/>
      <c r="B886" s="198"/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  <c r="X886" s="198"/>
      <c r="Y886" s="198"/>
      <c r="Z886" s="198"/>
    </row>
    <row r="887" spans="1:26" ht="12.75" customHeight="1">
      <c r="A887" s="198"/>
      <c r="B887" s="198"/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  <c r="X887" s="198"/>
      <c r="Y887" s="198"/>
      <c r="Z887" s="198"/>
    </row>
    <row r="888" spans="1:26" ht="12.75" customHeight="1">
      <c r="A888" s="198"/>
      <c r="B888" s="198"/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  <c r="X888" s="198"/>
      <c r="Y888" s="198"/>
      <c r="Z888" s="198"/>
    </row>
    <row r="889" spans="1:26" ht="12.75" customHeight="1">
      <c r="A889" s="198"/>
      <c r="B889" s="198"/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  <c r="X889" s="198"/>
      <c r="Y889" s="198"/>
      <c r="Z889" s="198"/>
    </row>
    <row r="890" spans="1:26" ht="12.75" customHeight="1">
      <c r="A890" s="198"/>
      <c r="B890" s="198"/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  <c r="X890" s="198"/>
      <c r="Y890" s="198"/>
      <c r="Z890" s="198"/>
    </row>
    <row r="891" spans="1:26" ht="12.75" customHeight="1">
      <c r="A891" s="198"/>
      <c r="B891" s="198"/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  <c r="X891" s="198"/>
      <c r="Y891" s="198"/>
      <c r="Z891" s="198"/>
    </row>
    <row r="892" spans="1:26" ht="12.75" customHeight="1">
      <c r="A892" s="198"/>
      <c r="B892" s="198"/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  <c r="X892" s="198"/>
      <c r="Y892" s="198"/>
      <c r="Z892" s="198"/>
    </row>
    <row r="893" spans="1:26" ht="12.75" customHeight="1">
      <c r="A893" s="198"/>
      <c r="B893" s="198"/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</row>
    <row r="894" spans="1:26" ht="12.75" customHeight="1">
      <c r="A894" s="198"/>
      <c r="B894" s="198"/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</row>
    <row r="895" spans="1:26" ht="12.75" customHeight="1">
      <c r="A895" s="198"/>
      <c r="B895" s="198"/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  <c r="X895" s="198"/>
      <c r="Y895" s="198"/>
      <c r="Z895" s="198"/>
    </row>
    <row r="896" spans="1:26" ht="12.75" customHeight="1">
      <c r="A896" s="198"/>
      <c r="B896" s="198"/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  <c r="X896" s="198"/>
      <c r="Y896" s="198"/>
      <c r="Z896" s="198"/>
    </row>
    <row r="897" spans="1:26" ht="12.75" customHeight="1">
      <c r="A897" s="198"/>
      <c r="B897" s="198"/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  <c r="X897" s="198"/>
      <c r="Y897" s="198"/>
      <c r="Z897" s="198"/>
    </row>
    <row r="898" spans="1:26" ht="12.75" customHeight="1">
      <c r="A898" s="198"/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  <c r="Y898" s="198"/>
      <c r="Z898" s="198"/>
    </row>
    <row r="899" spans="1:26" ht="12.75" customHeight="1">
      <c r="A899" s="198"/>
      <c r="B899" s="198"/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  <c r="X899" s="198"/>
      <c r="Y899" s="198"/>
      <c r="Z899" s="198"/>
    </row>
    <row r="900" spans="1:26" ht="12.75" customHeight="1">
      <c r="A900" s="198"/>
      <c r="B900" s="198"/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  <c r="X900" s="198"/>
      <c r="Y900" s="198"/>
      <c r="Z900" s="198"/>
    </row>
    <row r="901" spans="1:26" ht="12.75" customHeight="1">
      <c r="A901" s="198"/>
      <c r="B901" s="198"/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  <c r="X901" s="198"/>
      <c r="Y901" s="198"/>
      <c r="Z901" s="198"/>
    </row>
    <row r="902" spans="1:26" ht="12.75" customHeight="1">
      <c r="A902" s="198"/>
      <c r="B902" s="198"/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  <c r="X902" s="198"/>
      <c r="Y902" s="198"/>
      <c r="Z902" s="198"/>
    </row>
    <row r="903" spans="1:26" ht="12.75" customHeight="1">
      <c r="A903" s="198"/>
      <c r="B903" s="198"/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  <c r="X903" s="198"/>
      <c r="Y903" s="198"/>
      <c r="Z903" s="198"/>
    </row>
    <row r="904" spans="1:26" ht="12.75" customHeight="1">
      <c r="A904" s="198"/>
      <c r="B904" s="198"/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  <c r="X904" s="198"/>
      <c r="Y904" s="198"/>
      <c r="Z904" s="198"/>
    </row>
    <row r="905" spans="1:26" ht="12.75" customHeight="1">
      <c r="A905" s="198"/>
      <c r="B905" s="198"/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  <c r="X905" s="198"/>
      <c r="Y905" s="198"/>
      <c r="Z905" s="198"/>
    </row>
    <row r="906" spans="1:26" ht="12.75" customHeight="1">
      <c r="A906" s="198"/>
      <c r="B906" s="198"/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  <c r="X906" s="198"/>
      <c r="Y906" s="198"/>
      <c r="Z906" s="198"/>
    </row>
    <row r="907" spans="1:26" ht="12.75" customHeight="1">
      <c r="A907" s="198"/>
      <c r="B907" s="198"/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  <c r="X907" s="198"/>
      <c r="Y907" s="198"/>
      <c r="Z907" s="198"/>
    </row>
    <row r="908" spans="1:26" ht="12.75" customHeight="1">
      <c r="A908" s="198"/>
      <c r="B908" s="198"/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  <c r="X908" s="198"/>
      <c r="Y908" s="198"/>
      <c r="Z908" s="198"/>
    </row>
    <row r="909" spans="1:26" ht="12.75" customHeight="1">
      <c r="A909" s="198"/>
      <c r="B909" s="198"/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  <c r="X909" s="198"/>
      <c r="Y909" s="198"/>
      <c r="Z909" s="198"/>
    </row>
    <row r="910" spans="1:26" ht="12.75" customHeight="1">
      <c r="A910" s="198"/>
      <c r="B910" s="198"/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  <c r="X910" s="198"/>
      <c r="Y910" s="198"/>
      <c r="Z910" s="198"/>
    </row>
    <row r="911" spans="1:26" ht="12.75" customHeight="1">
      <c r="A911" s="198"/>
      <c r="B911" s="198"/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  <c r="X911" s="198"/>
      <c r="Y911" s="198"/>
      <c r="Z911" s="198"/>
    </row>
    <row r="912" spans="1:26" ht="12.75" customHeight="1">
      <c r="A912" s="198"/>
      <c r="B912" s="198"/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  <c r="X912" s="198"/>
      <c r="Y912" s="198"/>
      <c r="Z912" s="198"/>
    </row>
    <row r="913" spans="1:26" ht="12.75" customHeight="1">
      <c r="A913" s="198"/>
      <c r="B913" s="198"/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  <c r="X913" s="198"/>
      <c r="Y913" s="198"/>
      <c r="Z913" s="198"/>
    </row>
    <row r="914" spans="1:26" ht="12.75" customHeight="1">
      <c r="A914" s="198"/>
      <c r="B914" s="198"/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  <c r="X914" s="198"/>
      <c r="Y914" s="198"/>
      <c r="Z914" s="198"/>
    </row>
    <row r="915" spans="1:26" ht="12.75" customHeight="1">
      <c r="A915" s="198"/>
      <c r="B915" s="198"/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  <c r="X915" s="198"/>
      <c r="Y915" s="198"/>
      <c r="Z915" s="198"/>
    </row>
    <row r="916" spans="1:26" ht="12.75" customHeight="1">
      <c r="A916" s="198"/>
      <c r="B916" s="198"/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  <c r="X916" s="198"/>
      <c r="Y916" s="198"/>
      <c r="Z916" s="198"/>
    </row>
    <row r="917" spans="1:26" ht="12.75" customHeight="1">
      <c r="A917" s="198"/>
      <c r="B917" s="198"/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  <c r="X917" s="198"/>
      <c r="Y917" s="198"/>
      <c r="Z917" s="198"/>
    </row>
    <row r="918" spans="1:26" ht="12.75" customHeight="1">
      <c r="A918" s="198"/>
      <c r="B918" s="198"/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  <c r="X918" s="198"/>
      <c r="Y918" s="198"/>
      <c r="Z918" s="198"/>
    </row>
    <row r="919" spans="1:26" ht="12.75" customHeight="1">
      <c r="A919" s="198"/>
      <c r="B919" s="198"/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  <c r="X919" s="198"/>
      <c r="Y919" s="198"/>
      <c r="Z919" s="198"/>
    </row>
    <row r="920" spans="1:26" ht="12.75" customHeight="1">
      <c r="A920" s="198"/>
      <c r="B920" s="198"/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  <c r="X920" s="198"/>
      <c r="Y920" s="198"/>
      <c r="Z920" s="198"/>
    </row>
    <row r="921" spans="1:26" ht="12.75" customHeight="1">
      <c r="A921" s="198"/>
      <c r="B921" s="198"/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  <c r="X921" s="198"/>
      <c r="Y921" s="198"/>
      <c r="Z921" s="198"/>
    </row>
    <row r="922" spans="1:26" ht="12.75" customHeight="1">
      <c r="A922" s="198"/>
      <c r="B922" s="198"/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  <c r="X922" s="198"/>
      <c r="Y922" s="198"/>
      <c r="Z922" s="198"/>
    </row>
    <row r="923" spans="1:26" ht="12.75" customHeight="1">
      <c r="A923" s="198"/>
      <c r="B923" s="198"/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  <c r="X923" s="198"/>
      <c r="Y923" s="198"/>
      <c r="Z923" s="198"/>
    </row>
    <row r="924" spans="1:26" ht="12.75" customHeight="1">
      <c r="A924" s="198"/>
      <c r="B924" s="198"/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  <c r="X924" s="198"/>
      <c r="Y924" s="198"/>
      <c r="Z924" s="198"/>
    </row>
    <row r="925" spans="1:26" ht="12.75" customHeight="1">
      <c r="A925" s="198"/>
      <c r="B925" s="198"/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  <c r="X925" s="198"/>
      <c r="Y925" s="198"/>
      <c r="Z925" s="198"/>
    </row>
    <row r="926" spans="1:26" ht="12.75" customHeight="1">
      <c r="A926" s="198"/>
      <c r="B926" s="198"/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  <c r="X926" s="198"/>
      <c r="Y926" s="198"/>
      <c r="Z926" s="198"/>
    </row>
    <row r="927" spans="1:26" ht="12.75" customHeight="1">
      <c r="A927" s="198"/>
      <c r="B927" s="198"/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  <c r="X927" s="198"/>
      <c r="Y927" s="198"/>
      <c r="Z927" s="198"/>
    </row>
    <row r="928" spans="1:26" ht="12.75" customHeight="1">
      <c r="A928" s="198"/>
      <c r="B928" s="198"/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  <c r="X928" s="198"/>
      <c r="Y928" s="198"/>
      <c r="Z928" s="198"/>
    </row>
    <row r="929" spans="1:26" ht="12.75" customHeight="1">
      <c r="A929" s="198"/>
      <c r="B929" s="198"/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  <c r="X929" s="198"/>
      <c r="Y929" s="198"/>
      <c r="Z929" s="198"/>
    </row>
    <row r="930" spans="1:26" ht="12.75" customHeight="1">
      <c r="A930" s="198"/>
      <c r="B930" s="198"/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  <c r="X930" s="198"/>
      <c r="Y930" s="198"/>
      <c r="Z930" s="198"/>
    </row>
    <row r="931" spans="1:26" ht="12.75" customHeight="1">
      <c r="A931" s="198"/>
      <c r="B931" s="198"/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  <c r="X931" s="198"/>
      <c r="Y931" s="198"/>
      <c r="Z931" s="198"/>
    </row>
    <row r="932" spans="1:26" ht="12.75" customHeight="1">
      <c r="A932" s="198"/>
      <c r="B932" s="198"/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  <c r="X932" s="198"/>
      <c r="Y932" s="198"/>
      <c r="Z932" s="198"/>
    </row>
    <row r="933" spans="1:26" ht="12.75" customHeight="1">
      <c r="A933" s="198"/>
      <c r="B933" s="198"/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  <c r="X933" s="198"/>
      <c r="Y933" s="198"/>
      <c r="Z933" s="198"/>
    </row>
    <row r="934" spans="1:26" ht="12.75" customHeight="1">
      <c r="A934" s="198"/>
      <c r="B934" s="198"/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  <c r="X934" s="198"/>
      <c r="Y934" s="198"/>
      <c r="Z934" s="198"/>
    </row>
    <row r="935" spans="1:26" ht="12.75" customHeight="1">
      <c r="A935" s="198"/>
      <c r="B935" s="198"/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  <c r="X935" s="198"/>
      <c r="Y935" s="198"/>
      <c r="Z935" s="198"/>
    </row>
    <row r="936" spans="1:26" ht="12.75" customHeight="1">
      <c r="A936" s="198"/>
      <c r="B936" s="198"/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  <c r="X936" s="198"/>
      <c r="Y936" s="198"/>
      <c r="Z936" s="198"/>
    </row>
    <row r="937" spans="1:26" ht="12.75" customHeight="1">
      <c r="A937" s="198"/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  <c r="Y937" s="198"/>
      <c r="Z937" s="198"/>
    </row>
    <row r="938" spans="1:26" ht="12.75" customHeight="1">
      <c r="A938" s="198"/>
      <c r="B938" s="198"/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  <c r="X938" s="198"/>
      <c r="Y938" s="198"/>
      <c r="Z938" s="198"/>
    </row>
    <row r="939" spans="1:26" ht="12.75" customHeight="1">
      <c r="A939" s="198"/>
      <c r="B939" s="198"/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  <c r="X939" s="198"/>
      <c r="Y939" s="198"/>
      <c r="Z939" s="198"/>
    </row>
    <row r="940" spans="1:26" ht="12.75" customHeight="1">
      <c r="A940" s="198"/>
      <c r="B940" s="198"/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  <c r="X940" s="198"/>
      <c r="Y940" s="198"/>
      <c r="Z940" s="198"/>
    </row>
    <row r="941" spans="1:26" ht="12.75" customHeight="1">
      <c r="A941" s="198"/>
      <c r="B941" s="198"/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  <c r="X941" s="198"/>
      <c r="Y941" s="198"/>
      <c r="Z941" s="198"/>
    </row>
    <row r="942" spans="1:26" ht="12.75" customHeight="1">
      <c r="A942" s="198"/>
      <c r="B942" s="198"/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  <c r="X942" s="198"/>
      <c r="Y942" s="198"/>
      <c r="Z942" s="198"/>
    </row>
    <row r="943" spans="1:26" ht="12.75" customHeight="1">
      <c r="A943" s="198"/>
      <c r="B943" s="198"/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  <c r="X943" s="198"/>
      <c r="Y943" s="198"/>
      <c r="Z943" s="198"/>
    </row>
    <row r="944" spans="1:26" ht="12.75" customHeight="1">
      <c r="A944" s="198"/>
      <c r="B944" s="198"/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  <c r="X944" s="198"/>
      <c r="Y944" s="198"/>
      <c r="Z944" s="198"/>
    </row>
    <row r="945" spans="1:26" ht="12.75" customHeight="1">
      <c r="A945" s="198"/>
      <c r="B945" s="198"/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  <c r="X945" s="198"/>
      <c r="Y945" s="198"/>
      <c r="Z945" s="198"/>
    </row>
    <row r="946" spans="1:26" ht="12.75" customHeight="1">
      <c r="A946" s="198"/>
      <c r="B946" s="198"/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  <c r="X946" s="198"/>
      <c r="Y946" s="198"/>
      <c r="Z946" s="198"/>
    </row>
    <row r="947" spans="1:26" ht="12.75" customHeight="1">
      <c r="A947" s="198"/>
      <c r="B947" s="198"/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  <c r="X947" s="198"/>
      <c r="Y947" s="198"/>
      <c r="Z947" s="198"/>
    </row>
    <row r="948" spans="1:26" ht="12.75" customHeight="1">
      <c r="A948" s="198"/>
      <c r="B948" s="198"/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  <c r="X948" s="198"/>
      <c r="Y948" s="198"/>
      <c r="Z948" s="198"/>
    </row>
    <row r="949" spans="1:26" ht="12.75" customHeight="1">
      <c r="A949" s="198"/>
      <c r="B949" s="198"/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  <c r="X949" s="198"/>
      <c r="Y949" s="198"/>
      <c r="Z949" s="198"/>
    </row>
    <row r="950" spans="1:26" ht="12.75" customHeight="1">
      <c r="A950" s="198"/>
      <c r="B950" s="198"/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  <c r="X950" s="198"/>
      <c r="Y950" s="198"/>
      <c r="Z950" s="198"/>
    </row>
    <row r="951" spans="1:26" ht="12.75" customHeight="1">
      <c r="A951" s="198"/>
      <c r="B951" s="198"/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  <c r="X951" s="198"/>
      <c r="Y951" s="198"/>
      <c r="Z951" s="198"/>
    </row>
    <row r="952" spans="1:26" ht="12.75" customHeight="1">
      <c r="A952" s="198"/>
      <c r="B952" s="198"/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  <c r="X952" s="198"/>
      <c r="Y952" s="198"/>
      <c r="Z952" s="198"/>
    </row>
    <row r="953" spans="1:26" ht="12.75" customHeight="1">
      <c r="A953" s="198"/>
      <c r="B953" s="198"/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  <c r="X953" s="198"/>
      <c r="Y953" s="198"/>
      <c r="Z953" s="198"/>
    </row>
    <row r="954" spans="1:26" ht="12.75" customHeight="1">
      <c r="A954" s="198"/>
      <c r="B954" s="198"/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  <c r="X954" s="198"/>
      <c r="Y954" s="198"/>
      <c r="Z954" s="198"/>
    </row>
    <row r="955" spans="1:26" ht="12.75" customHeight="1">
      <c r="A955" s="198"/>
      <c r="B955" s="198"/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  <c r="X955" s="198"/>
      <c r="Y955" s="198"/>
      <c r="Z955" s="198"/>
    </row>
    <row r="956" spans="1:26" ht="12.75" customHeight="1">
      <c r="A956" s="198"/>
      <c r="B956" s="198"/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  <c r="X956" s="198"/>
      <c r="Y956" s="198"/>
      <c r="Z956" s="198"/>
    </row>
    <row r="957" spans="1:26" ht="12.75" customHeight="1">
      <c r="A957" s="198"/>
      <c r="B957" s="198"/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  <c r="X957" s="198"/>
      <c r="Y957" s="198"/>
      <c r="Z957" s="198"/>
    </row>
    <row r="958" spans="1:26" ht="12.75" customHeight="1">
      <c r="A958" s="198"/>
      <c r="B958" s="198"/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  <c r="X958" s="198"/>
      <c r="Y958" s="198"/>
      <c r="Z958" s="198"/>
    </row>
    <row r="959" spans="1:26" ht="12.75" customHeight="1">
      <c r="A959" s="198"/>
      <c r="B959" s="198"/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  <c r="X959" s="198"/>
      <c r="Y959" s="198"/>
      <c r="Z959" s="198"/>
    </row>
    <row r="960" spans="1:26" ht="12.75" customHeight="1">
      <c r="A960" s="198"/>
      <c r="B960" s="198"/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  <c r="X960" s="198"/>
      <c r="Y960" s="198"/>
      <c r="Z960" s="198"/>
    </row>
    <row r="961" spans="1:26" ht="12.75" customHeight="1">
      <c r="A961" s="198"/>
      <c r="B961" s="198"/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  <c r="X961" s="198"/>
      <c r="Y961" s="198"/>
      <c r="Z961" s="198"/>
    </row>
    <row r="962" spans="1:26" ht="12.75" customHeight="1">
      <c r="A962" s="198"/>
      <c r="B962" s="198"/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  <c r="X962" s="198"/>
      <c r="Y962" s="198"/>
      <c r="Z962" s="198"/>
    </row>
    <row r="963" spans="1:26" ht="12.75" customHeight="1">
      <c r="A963" s="198"/>
      <c r="B963" s="198"/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  <c r="X963" s="198"/>
      <c r="Y963" s="198"/>
      <c r="Z963" s="198"/>
    </row>
    <row r="964" spans="1:26" ht="12.75" customHeight="1">
      <c r="A964" s="198"/>
      <c r="B964" s="198"/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  <c r="X964" s="198"/>
      <c r="Y964" s="198"/>
      <c r="Z964" s="198"/>
    </row>
    <row r="965" spans="1:26" ht="12.75" customHeight="1">
      <c r="A965" s="198"/>
      <c r="B965" s="198"/>
      <c r="C965" s="198"/>
      <c r="D965" s="198"/>
      <c r="E965" s="198"/>
      <c r="F965" s="198"/>
      <c r="G965" s="198"/>
      <c r="H965" s="198"/>
      <c r="I965" s="198"/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  <c r="T965" s="198"/>
      <c r="U965" s="198"/>
      <c r="V965" s="198"/>
      <c r="W965" s="198"/>
      <c r="X965" s="198"/>
      <c r="Y965" s="198"/>
      <c r="Z965" s="198"/>
    </row>
    <row r="966" spans="1:26" ht="12.75" customHeight="1">
      <c r="A966" s="198"/>
      <c r="B966" s="198"/>
      <c r="C966" s="198"/>
      <c r="D966" s="198"/>
      <c r="E966" s="198"/>
      <c r="F966" s="198"/>
      <c r="G966" s="198"/>
      <c r="H966" s="198"/>
      <c r="I966" s="198"/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  <c r="T966" s="198"/>
      <c r="U966" s="198"/>
      <c r="V966" s="198"/>
      <c r="W966" s="198"/>
      <c r="X966" s="198"/>
      <c r="Y966" s="198"/>
      <c r="Z966" s="198"/>
    </row>
    <row r="967" spans="1:26" ht="12.75" customHeight="1">
      <c r="A967" s="198"/>
      <c r="B967" s="198"/>
      <c r="C967" s="198"/>
      <c r="D967" s="198"/>
      <c r="E967" s="198"/>
      <c r="F967" s="198"/>
      <c r="G967" s="198"/>
      <c r="H967" s="198"/>
      <c r="I967" s="19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  <c r="T967" s="198"/>
      <c r="U967" s="198"/>
      <c r="V967" s="198"/>
      <c r="W967" s="198"/>
      <c r="X967" s="198"/>
      <c r="Y967" s="198"/>
      <c r="Z967" s="198"/>
    </row>
    <row r="968" spans="1:26" ht="12.75" customHeight="1">
      <c r="A968" s="198"/>
      <c r="B968" s="198"/>
      <c r="C968" s="198"/>
      <c r="D968" s="198"/>
      <c r="E968" s="198"/>
      <c r="F968" s="198"/>
      <c r="G968" s="198"/>
      <c r="H968" s="198"/>
      <c r="I968" s="198"/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  <c r="T968" s="198"/>
      <c r="U968" s="198"/>
      <c r="V968" s="198"/>
      <c r="W968" s="198"/>
      <c r="X968" s="198"/>
      <c r="Y968" s="198"/>
      <c r="Z968" s="198"/>
    </row>
    <row r="969" spans="1:26" ht="12.75" customHeight="1">
      <c r="A969" s="198"/>
      <c r="B969" s="198"/>
      <c r="C969" s="198"/>
      <c r="D969" s="198"/>
      <c r="E969" s="198"/>
      <c r="F969" s="198"/>
      <c r="G969" s="198"/>
      <c r="H969" s="198"/>
      <c r="I969" s="198"/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  <c r="T969" s="198"/>
      <c r="U969" s="198"/>
      <c r="V969" s="198"/>
      <c r="W969" s="198"/>
      <c r="X969" s="198"/>
      <c r="Y969" s="198"/>
      <c r="Z969" s="198"/>
    </row>
    <row r="970" spans="1:26" ht="12.75" customHeight="1">
      <c r="A970" s="198"/>
      <c r="B970" s="198"/>
      <c r="C970" s="198"/>
      <c r="D970" s="198"/>
      <c r="E970" s="198"/>
      <c r="F970" s="198"/>
      <c r="G970" s="198"/>
      <c r="H970" s="198"/>
      <c r="I970" s="19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  <c r="T970" s="198"/>
      <c r="U970" s="198"/>
      <c r="V970" s="198"/>
      <c r="W970" s="198"/>
      <c r="X970" s="198"/>
      <c r="Y970" s="198"/>
      <c r="Z970" s="198"/>
    </row>
    <row r="971" spans="1:26" ht="12.75" customHeight="1">
      <c r="A971" s="198"/>
      <c r="B971" s="198"/>
      <c r="C971" s="198"/>
      <c r="D971" s="198"/>
      <c r="E971" s="198"/>
      <c r="F971" s="198"/>
      <c r="G971" s="198"/>
      <c r="H971" s="198"/>
      <c r="I971" s="198"/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  <c r="T971" s="198"/>
      <c r="U971" s="198"/>
      <c r="V971" s="198"/>
      <c r="W971" s="198"/>
      <c r="X971" s="198"/>
      <c r="Y971" s="198"/>
      <c r="Z971" s="198"/>
    </row>
    <row r="972" spans="1:26" ht="12.75" customHeight="1">
      <c r="A972" s="198"/>
      <c r="B972" s="198"/>
      <c r="C972" s="198"/>
      <c r="D972" s="198"/>
      <c r="E972" s="198"/>
      <c r="F972" s="198"/>
      <c r="G972" s="198"/>
      <c r="H972" s="198"/>
      <c r="I972" s="198"/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  <c r="T972" s="198"/>
      <c r="U972" s="198"/>
      <c r="V972" s="198"/>
      <c r="W972" s="198"/>
      <c r="X972" s="198"/>
      <c r="Y972" s="198"/>
      <c r="Z972" s="198"/>
    </row>
    <row r="973" spans="1:26" ht="12.75" customHeight="1">
      <c r="A973" s="198"/>
      <c r="B973" s="198"/>
      <c r="C973" s="198"/>
      <c r="D973" s="198"/>
      <c r="E973" s="198"/>
      <c r="F973" s="198"/>
      <c r="G973" s="198"/>
      <c r="H973" s="198"/>
      <c r="I973" s="19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  <c r="T973" s="198"/>
      <c r="U973" s="198"/>
      <c r="V973" s="198"/>
      <c r="W973" s="198"/>
      <c r="X973" s="198"/>
      <c r="Y973" s="198"/>
      <c r="Z973" s="198"/>
    </row>
    <row r="974" spans="1:26" ht="12.75" customHeight="1">
      <c r="A974" s="198"/>
      <c r="B974" s="198"/>
      <c r="C974" s="198"/>
      <c r="D974" s="198"/>
      <c r="E974" s="198"/>
      <c r="F974" s="198"/>
      <c r="G974" s="198"/>
      <c r="H974" s="198"/>
      <c r="I974" s="198"/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  <c r="T974" s="198"/>
      <c r="U974" s="198"/>
      <c r="V974" s="198"/>
      <c r="W974" s="198"/>
      <c r="X974" s="198"/>
      <c r="Y974" s="198"/>
      <c r="Z974" s="198"/>
    </row>
    <row r="975" spans="1:26" ht="12.75" customHeight="1">
      <c r="A975" s="198"/>
      <c r="B975" s="198"/>
      <c r="C975" s="198"/>
      <c r="D975" s="198"/>
      <c r="E975" s="198"/>
      <c r="F975" s="198"/>
      <c r="G975" s="198"/>
      <c r="H975" s="198"/>
      <c r="I975" s="198"/>
      <c r="J975" s="198"/>
      <c r="K975" s="198"/>
      <c r="L975" s="198"/>
      <c r="M975" s="198"/>
      <c r="N975" s="198"/>
      <c r="O975" s="198"/>
      <c r="P975" s="198"/>
      <c r="Q975" s="198"/>
      <c r="R975" s="198"/>
      <c r="S975" s="198"/>
      <c r="T975" s="198"/>
      <c r="U975" s="198"/>
      <c r="V975" s="198"/>
      <c r="W975" s="198"/>
      <c r="X975" s="198"/>
      <c r="Y975" s="198"/>
      <c r="Z975" s="198"/>
    </row>
    <row r="976" spans="1:26" ht="12.75" customHeight="1">
      <c r="A976" s="198"/>
      <c r="B976" s="198"/>
      <c r="C976" s="198"/>
      <c r="D976" s="198"/>
      <c r="E976" s="198"/>
      <c r="F976" s="198"/>
      <c r="G976" s="198"/>
      <c r="H976" s="198"/>
      <c r="I976" s="198"/>
      <c r="J976" s="198"/>
      <c r="K976" s="198"/>
      <c r="L976" s="198"/>
      <c r="M976" s="198"/>
      <c r="N976" s="198"/>
      <c r="O976" s="198"/>
      <c r="P976" s="198"/>
      <c r="Q976" s="198"/>
      <c r="R976" s="198"/>
      <c r="S976" s="198"/>
      <c r="T976" s="198"/>
      <c r="U976" s="198"/>
      <c r="V976" s="198"/>
      <c r="W976" s="198"/>
      <c r="X976" s="198"/>
      <c r="Y976" s="198"/>
      <c r="Z976" s="198"/>
    </row>
    <row r="977" spans="1:26" ht="12.75" customHeight="1">
      <c r="A977" s="198"/>
      <c r="B977" s="198"/>
      <c r="C977" s="198"/>
      <c r="D977" s="198"/>
      <c r="E977" s="198"/>
      <c r="F977" s="198"/>
      <c r="G977" s="198"/>
      <c r="H977" s="198"/>
      <c r="I977" s="198"/>
      <c r="J977" s="198"/>
      <c r="K977" s="198"/>
      <c r="L977" s="198"/>
      <c r="M977" s="198"/>
      <c r="N977" s="198"/>
      <c r="O977" s="198"/>
      <c r="P977" s="198"/>
      <c r="Q977" s="198"/>
      <c r="R977" s="198"/>
      <c r="S977" s="198"/>
      <c r="T977" s="198"/>
      <c r="U977" s="198"/>
      <c r="V977" s="198"/>
      <c r="W977" s="198"/>
      <c r="X977" s="198"/>
      <c r="Y977" s="198"/>
      <c r="Z977" s="198"/>
    </row>
    <row r="978" spans="1:26" ht="12.75" customHeight="1">
      <c r="A978" s="198"/>
      <c r="B978" s="198"/>
      <c r="C978" s="198"/>
      <c r="D978" s="198"/>
      <c r="E978" s="198"/>
      <c r="F978" s="198"/>
      <c r="G978" s="198"/>
      <c r="H978" s="198"/>
      <c r="I978" s="198"/>
      <c r="J978" s="198"/>
      <c r="K978" s="198"/>
      <c r="L978" s="198"/>
      <c r="M978" s="198"/>
      <c r="N978" s="198"/>
      <c r="O978" s="198"/>
      <c r="P978" s="198"/>
      <c r="Q978" s="198"/>
      <c r="R978" s="198"/>
      <c r="S978" s="198"/>
      <c r="T978" s="198"/>
      <c r="U978" s="198"/>
      <c r="V978" s="198"/>
      <c r="W978" s="198"/>
      <c r="X978" s="198"/>
      <c r="Y978" s="198"/>
      <c r="Z978" s="198"/>
    </row>
    <row r="979" spans="1:26" ht="12.75" customHeight="1">
      <c r="A979" s="198"/>
      <c r="B979" s="198"/>
      <c r="C979" s="198"/>
      <c r="D979" s="198"/>
      <c r="E979" s="198"/>
      <c r="F979" s="198"/>
      <c r="G979" s="198"/>
      <c r="H979" s="198"/>
      <c r="I979" s="198"/>
      <c r="J979" s="198"/>
      <c r="K979" s="198"/>
      <c r="L979" s="198"/>
      <c r="M979" s="198"/>
      <c r="N979" s="198"/>
      <c r="O979" s="198"/>
      <c r="P979" s="198"/>
      <c r="Q979" s="198"/>
      <c r="R979" s="198"/>
      <c r="S979" s="198"/>
      <c r="T979" s="198"/>
      <c r="U979" s="198"/>
      <c r="V979" s="198"/>
      <c r="W979" s="198"/>
      <c r="X979" s="198"/>
      <c r="Y979" s="198"/>
      <c r="Z979" s="198"/>
    </row>
    <row r="980" spans="1:26" ht="12.75" customHeight="1">
      <c r="A980" s="198"/>
      <c r="B980" s="198"/>
      <c r="C980" s="198"/>
      <c r="D980" s="198"/>
      <c r="E980" s="198"/>
      <c r="F980" s="198"/>
      <c r="G980" s="198"/>
      <c r="H980" s="198"/>
      <c r="I980" s="198"/>
      <c r="J980" s="198"/>
      <c r="K980" s="198"/>
      <c r="L980" s="198"/>
      <c r="M980" s="198"/>
      <c r="N980" s="198"/>
      <c r="O980" s="198"/>
      <c r="P980" s="198"/>
      <c r="Q980" s="198"/>
      <c r="R980" s="198"/>
      <c r="S980" s="198"/>
      <c r="T980" s="198"/>
      <c r="U980" s="198"/>
      <c r="V980" s="198"/>
      <c r="W980" s="198"/>
      <c r="X980" s="198"/>
      <c r="Y980" s="198"/>
      <c r="Z980" s="198"/>
    </row>
    <row r="981" spans="1:26" ht="12.75" customHeight="1">
      <c r="A981" s="198"/>
      <c r="B981" s="198"/>
      <c r="C981" s="198"/>
      <c r="D981" s="198"/>
      <c r="E981" s="198"/>
      <c r="F981" s="198"/>
      <c r="G981" s="198"/>
      <c r="H981" s="198"/>
      <c r="I981" s="198"/>
      <c r="J981" s="198"/>
      <c r="K981" s="198"/>
      <c r="L981" s="198"/>
      <c r="M981" s="198"/>
      <c r="N981" s="198"/>
      <c r="O981" s="198"/>
      <c r="P981" s="198"/>
      <c r="Q981" s="198"/>
      <c r="R981" s="198"/>
      <c r="S981" s="198"/>
      <c r="T981" s="198"/>
      <c r="U981" s="198"/>
      <c r="V981" s="198"/>
      <c r="W981" s="198"/>
      <c r="X981" s="198"/>
      <c r="Y981" s="198"/>
      <c r="Z981" s="198"/>
    </row>
    <row r="982" spans="1:26" ht="12.75" customHeight="1">
      <c r="A982" s="198"/>
      <c r="B982" s="198"/>
      <c r="C982" s="198"/>
      <c r="D982" s="198"/>
      <c r="E982" s="198"/>
      <c r="F982" s="198"/>
      <c r="G982" s="198"/>
      <c r="H982" s="198"/>
      <c r="I982" s="198"/>
      <c r="J982" s="198"/>
      <c r="K982" s="198"/>
      <c r="L982" s="198"/>
      <c r="M982" s="198"/>
      <c r="N982" s="198"/>
      <c r="O982" s="198"/>
      <c r="P982" s="198"/>
      <c r="Q982" s="198"/>
      <c r="R982" s="198"/>
      <c r="S982" s="198"/>
      <c r="T982" s="198"/>
      <c r="U982" s="198"/>
      <c r="V982" s="198"/>
      <c r="W982" s="198"/>
      <c r="X982" s="198"/>
      <c r="Y982" s="198"/>
      <c r="Z982" s="198"/>
    </row>
    <row r="983" spans="1:26" ht="12.75" customHeight="1">
      <c r="A983" s="198"/>
      <c r="B983" s="198"/>
      <c r="C983" s="198"/>
      <c r="D983" s="198"/>
      <c r="E983" s="198"/>
      <c r="F983" s="198"/>
      <c r="G983" s="198"/>
      <c r="H983" s="198"/>
      <c r="I983" s="198"/>
      <c r="J983" s="198"/>
      <c r="K983" s="198"/>
      <c r="L983" s="198"/>
      <c r="M983" s="198"/>
      <c r="N983" s="198"/>
      <c r="O983" s="198"/>
      <c r="P983" s="198"/>
      <c r="Q983" s="198"/>
      <c r="R983" s="198"/>
      <c r="S983" s="198"/>
      <c r="T983" s="198"/>
      <c r="U983" s="198"/>
      <c r="V983" s="198"/>
      <c r="W983" s="198"/>
      <c r="X983" s="198"/>
      <c r="Y983" s="198"/>
      <c r="Z983" s="198"/>
    </row>
    <row r="984" spans="1:26" ht="12.75" customHeight="1">
      <c r="A984" s="198"/>
      <c r="B984" s="198"/>
      <c r="C984" s="198"/>
      <c r="D984" s="198"/>
      <c r="E984" s="198"/>
      <c r="F984" s="198"/>
      <c r="G984" s="198"/>
      <c r="H984" s="198"/>
      <c r="I984" s="198"/>
      <c r="J984" s="198"/>
      <c r="K984" s="198"/>
      <c r="L984" s="198"/>
      <c r="M984" s="198"/>
      <c r="N984" s="198"/>
      <c r="O984" s="198"/>
      <c r="P984" s="198"/>
      <c r="Q984" s="198"/>
      <c r="R984" s="198"/>
      <c r="S984" s="198"/>
      <c r="T984" s="198"/>
      <c r="U984" s="198"/>
      <c r="V984" s="198"/>
      <c r="W984" s="198"/>
      <c r="X984" s="198"/>
      <c r="Y984" s="198"/>
      <c r="Z984" s="198"/>
    </row>
    <row r="985" spans="1:26" ht="12.75" customHeight="1">
      <c r="A985" s="198"/>
      <c r="B985" s="198"/>
      <c r="C985" s="198"/>
      <c r="D985" s="198"/>
      <c r="E985" s="198"/>
      <c r="F985" s="198"/>
      <c r="G985" s="198"/>
      <c r="H985" s="198"/>
      <c r="I985" s="198"/>
      <c r="J985" s="198"/>
      <c r="K985" s="198"/>
      <c r="L985" s="198"/>
      <c r="M985" s="198"/>
      <c r="N985" s="198"/>
      <c r="O985" s="198"/>
      <c r="P985" s="198"/>
      <c r="Q985" s="198"/>
      <c r="R985" s="198"/>
      <c r="S985" s="198"/>
      <c r="T985" s="198"/>
      <c r="U985" s="198"/>
      <c r="V985" s="198"/>
      <c r="W985" s="198"/>
      <c r="X985" s="198"/>
      <c r="Y985" s="198"/>
      <c r="Z985" s="198"/>
    </row>
    <row r="986" spans="1:26" ht="12.75" customHeight="1">
      <c r="A986" s="198"/>
      <c r="B986" s="198"/>
      <c r="C986" s="198"/>
      <c r="D986" s="198"/>
      <c r="E986" s="198"/>
      <c r="F986" s="198"/>
      <c r="G986" s="198"/>
      <c r="H986" s="198"/>
      <c r="I986" s="198"/>
      <c r="J986" s="198"/>
      <c r="K986" s="198"/>
      <c r="L986" s="198"/>
      <c r="M986" s="198"/>
      <c r="N986" s="198"/>
      <c r="O986" s="198"/>
      <c r="P986" s="198"/>
      <c r="Q986" s="198"/>
      <c r="R986" s="198"/>
      <c r="S986" s="198"/>
      <c r="T986" s="198"/>
      <c r="U986" s="198"/>
      <c r="V986" s="198"/>
      <c r="W986" s="198"/>
      <c r="X986" s="198"/>
      <c r="Y986" s="198"/>
      <c r="Z986" s="198"/>
    </row>
    <row r="987" spans="1:26" ht="12.75" customHeight="1">
      <c r="A987" s="198"/>
      <c r="B987" s="198"/>
      <c r="C987" s="198"/>
      <c r="D987" s="198"/>
      <c r="E987" s="198"/>
      <c r="F987" s="198"/>
      <c r="G987" s="198"/>
      <c r="H987" s="198"/>
      <c r="I987" s="198"/>
      <c r="J987" s="198"/>
      <c r="K987" s="198"/>
      <c r="L987" s="198"/>
      <c r="M987" s="198"/>
      <c r="N987" s="198"/>
      <c r="O987" s="198"/>
      <c r="P987" s="198"/>
      <c r="Q987" s="198"/>
      <c r="R987" s="198"/>
      <c r="S987" s="198"/>
      <c r="T987" s="198"/>
      <c r="U987" s="198"/>
      <c r="V987" s="198"/>
      <c r="W987" s="198"/>
      <c r="X987" s="198"/>
      <c r="Y987" s="198"/>
      <c r="Z987" s="198"/>
    </row>
    <row r="988" spans="1:26" ht="12.75" customHeight="1">
      <c r="A988" s="198"/>
      <c r="B988" s="198"/>
      <c r="C988" s="198"/>
      <c r="D988" s="198"/>
      <c r="E988" s="198"/>
      <c r="F988" s="198"/>
      <c r="G988" s="198"/>
      <c r="H988" s="198"/>
      <c r="I988" s="198"/>
      <c r="J988" s="198"/>
      <c r="K988" s="198"/>
      <c r="L988" s="198"/>
      <c r="M988" s="198"/>
      <c r="N988" s="198"/>
      <c r="O988" s="198"/>
      <c r="P988" s="198"/>
      <c r="Q988" s="198"/>
      <c r="R988" s="198"/>
      <c r="S988" s="198"/>
      <c r="T988" s="198"/>
      <c r="U988" s="198"/>
      <c r="V988" s="198"/>
      <c r="W988" s="198"/>
      <c r="X988" s="198"/>
      <c r="Y988" s="198"/>
      <c r="Z988" s="198"/>
    </row>
    <row r="989" spans="1:26" ht="12.75" customHeight="1">
      <c r="A989" s="198"/>
      <c r="B989" s="198"/>
      <c r="C989" s="198"/>
      <c r="D989" s="198"/>
      <c r="E989" s="198"/>
      <c r="F989" s="198"/>
      <c r="G989" s="198"/>
      <c r="H989" s="198"/>
      <c r="I989" s="198"/>
      <c r="J989" s="198"/>
      <c r="K989" s="198"/>
      <c r="L989" s="198"/>
      <c r="M989" s="198"/>
      <c r="N989" s="198"/>
      <c r="O989" s="198"/>
      <c r="P989" s="198"/>
      <c r="Q989" s="198"/>
      <c r="R989" s="198"/>
      <c r="S989" s="198"/>
      <c r="T989" s="198"/>
      <c r="U989" s="198"/>
      <c r="V989" s="198"/>
      <c r="W989" s="198"/>
      <c r="X989" s="198"/>
      <c r="Y989" s="198"/>
      <c r="Z989" s="198"/>
    </row>
    <row r="990" spans="1:26" ht="12.75" customHeight="1">
      <c r="A990" s="198"/>
      <c r="B990" s="198"/>
      <c r="C990" s="198"/>
      <c r="D990" s="198"/>
      <c r="E990" s="198"/>
      <c r="F990" s="198"/>
      <c r="G990" s="198"/>
      <c r="H990" s="198"/>
      <c r="I990" s="198"/>
      <c r="J990" s="198"/>
      <c r="K990" s="198"/>
      <c r="L990" s="198"/>
      <c r="M990" s="198"/>
      <c r="N990" s="198"/>
      <c r="O990" s="198"/>
      <c r="P990" s="198"/>
      <c r="Q990" s="198"/>
      <c r="R990" s="198"/>
      <c r="S990" s="198"/>
      <c r="T990" s="198"/>
      <c r="U990" s="198"/>
      <c r="V990" s="198"/>
      <c r="W990" s="198"/>
      <c r="X990" s="198"/>
      <c r="Y990" s="198"/>
      <c r="Z990" s="198"/>
    </row>
    <row r="991" spans="1:26" ht="12.75" customHeight="1">
      <c r="A991" s="198"/>
      <c r="B991" s="198"/>
      <c r="C991" s="198"/>
      <c r="D991" s="198"/>
      <c r="E991" s="198"/>
      <c r="F991" s="198"/>
      <c r="G991" s="198"/>
      <c r="H991" s="198"/>
      <c r="I991" s="198"/>
      <c r="J991" s="198"/>
      <c r="K991" s="198"/>
      <c r="L991" s="198"/>
      <c r="M991" s="198"/>
      <c r="N991" s="198"/>
      <c r="O991" s="198"/>
      <c r="P991" s="198"/>
      <c r="Q991" s="198"/>
      <c r="R991" s="198"/>
      <c r="S991" s="198"/>
      <c r="T991" s="198"/>
      <c r="U991" s="198"/>
      <c r="V991" s="198"/>
      <c r="W991" s="198"/>
      <c r="X991" s="198"/>
      <c r="Y991" s="198"/>
      <c r="Z991" s="198"/>
    </row>
    <row r="992" spans="1:26" ht="12.75" customHeight="1">
      <c r="A992" s="198"/>
      <c r="B992" s="198"/>
      <c r="C992" s="198"/>
      <c r="D992" s="198"/>
      <c r="E992" s="198"/>
      <c r="F992" s="198"/>
      <c r="G992" s="198"/>
      <c r="H992" s="198"/>
      <c r="I992" s="198"/>
      <c r="J992" s="198"/>
      <c r="K992" s="198"/>
      <c r="L992" s="198"/>
      <c r="M992" s="198"/>
      <c r="N992" s="198"/>
      <c r="O992" s="198"/>
      <c r="P992" s="198"/>
      <c r="Q992" s="198"/>
      <c r="R992" s="198"/>
      <c r="S992" s="198"/>
      <c r="T992" s="198"/>
      <c r="U992" s="198"/>
      <c r="V992" s="198"/>
      <c r="W992" s="198"/>
      <c r="X992" s="198"/>
      <c r="Y992" s="198"/>
      <c r="Z992" s="198"/>
    </row>
    <row r="993" spans="1:26" ht="12.75" customHeight="1">
      <c r="A993" s="198"/>
      <c r="B993" s="198"/>
      <c r="C993" s="198"/>
      <c r="D993" s="198"/>
      <c r="E993" s="198"/>
      <c r="F993" s="198"/>
      <c r="G993" s="198"/>
      <c r="H993" s="198"/>
      <c r="I993" s="198"/>
      <c r="J993" s="198"/>
      <c r="K993" s="198"/>
      <c r="L993" s="198"/>
      <c r="M993" s="198"/>
      <c r="N993" s="198"/>
      <c r="O993" s="198"/>
      <c r="P993" s="198"/>
      <c r="Q993" s="198"/>
      <c r="R993" s="198"/>
      <c r="S993" s="198"/>
      <c r="T993" s="198"/>
      <c r="U993" s="198"/>
      <c r="V993" s="198"/>
      <c r="W993" s="198"/>
      <c r="X993" s="198"/>
      <c r="Y993" s="198"/>
      <c r="Z993" s="198"/>
    </row>
    <row r="994" spans="1:26" ht="12.75" customHeight="1">
      <c r="A994" s="198"/>
      <c r="B994" s="198"/>
      <c r="C994" s="198"/>
      <c r="D994" s="198"/>
      <c r="E994" s="198"/>
      <c r="F994" s="198"/>
      <c r="G994" s="198"/>
      <c r="H994" s="198"/>
      <c r="I994" s="198"/>
      <c r="J994" s="198"/>
      <c r="K994" s="198"/>
      <c r="L994" s="198"/>
      <c r="M994" s="198"/>
      <c r="N994" s="198"/>
      <c r="O994" s="198"/>
      <c r="P994" s="198"/>
      <c r="Q994" s="198"/>
      <c r="R994" s="198"/>
      <c r="S994" s="198"/>
      <c r="T994" s="198"/>
      <c r="U994" s="198"/>
      <c r="V994" s="198"/>
      <c r="W994" s="198"/>
      <c r="X994" s="198"/>
      <c r="Y994" s="198"/>
      <c r="Z994" s="198"/>
    </row>
    <row r="995" spans="1:26" ht="12.75" customHeight="1">
      <c r="A995" s="198"/>
      <c r="B995" s="198"/>
      <c r="C995" s="198"/>
      <c r="D995" s="198"/>
      <c r="E995" s="198"/>
      <c r="F995" s="198"/>
      <c r="G995" s="198"/>
      <c r="H995" s="198"/>
      <c r="I995" s="198"/>
      <c r="J995" s="198"/>
      <c r="K995" s="198"/>
      <c r="L995" s="198"/>
      <c r="M995" s="198"/>
      <c r="N995" s="198"/>
      <c r="O995" s="198"/>
      <c r="P995" s="198"/>
      <c r="Q995" s="198"/>
      <c r="R995" s="198"/>
      <c r="S995" s="198"/>
      <c r="T995" s="198"/>
      <c r="U995" s="198"/>
      <c r="V995" s="198"/>
      <c r="W995" s="198"/>
      <c r="X995" s="198"/>
      <c r="Y995" s="198"/>
      <c r="Z995" s="198"/>
    </row>
    <row r="996" spans="1:26" ht="12.75" customHeight="1">
      <c r="A996" s="198"/>
      <c r="B996" s="198"/>
      <c r="C996" s="198"/>
      <c r="D996" s="198"/>
      <c r="E996" s="198"/>
      <c r="F996" s="198"/>
      <c r="G996" s="198"/>
      <c r="H996" s="198"/>
      <c r="I996" s="198"/>
      <c r="J996" s="198"/>
      <c r="K996" s="198"/>
      <c r="L996" s="198"/>
      <c r="M996" s="198"/>
      <c r="N996" s="198"/>
      <c r="O996" s="198"/>
      <c r="P996" s="198"/>
      <c r="Q996" s="198"/>
      <c r="R996" s="198"/>
      <c r="S996" s="198"/>
      <c r="T996" s="198"/>
      <c r="U996" s="198"/>
      <c r="V996" s="198"/>
      <c r="W996" s="198"/>
      <c r="X996" s="198"/>
      <c r="Y996" s="198"/>
      <c r="Z996" s="198"/>
    </row>
    <row r="997" spans="1:26" ht="12.75" customHeight="1">
      <c r="A997" s="198"/>
      <c r="B997" s="198"/>
      <c r="C997" s="198"/>
      <c r="D997" s="198"/>
      <c r="E997" s="198"/>
      <c r="F997" s="198"/>
      <c r="G997" s="198"/>
      <c r="H997" s="198"/>
      <c r="I997" s="198"/>
      <c r="J997" s="198"/>
      <c r="K997" s="198"/>
      <c r="L997" s="198"/>
      <c r="M997" s="198"/>
      <c r="N997" s="198"/>
      <c r="O997" s="198"/>
      <c r="P997" s="198"/>
      <c r="Q997" s="198"/>
      <c r="R997" s="198"/>
      <c r="S997" s="198"/>
      <c r="T997" s="198"/>
      <c r="U997" s="198"/>
      <c r="V997" s="198"/>
      <c r="W997" s="198"/>
      <c r="X997" s="198"/>
      <c r="Y997" s="198"/>
      <c r="Z997" s="198"/>
    </row>
    <row r="998" spans="1:26" ht="12.75" customHeight="1">
      <c r="A998" s="198"/>
      <c r="B998" s="198"/>
      <c r="C998" s="198"/>
      <c r="D998" s="198"/>
      <c r="E998" s="198"/>
      <c r="F998" s="198"/>
      <c r="G998" s="198"/>
      <c r="H998" s="198"/>
      <c r="I998" s="198"/>
      <c r="J998" s="198"/>
      <c r="K998" s="198"/>
      <c r="L998" s="198"/>
      <c r="M998" s="198"/>
      <c r="N998" s="198"/>
      <c r="O998" s="198"/>
      <c r="P998" s="198"/>
      <c r="Q998" s="198"/>
      <c r="R998" s="198"/>
      <c r="S998" s="198"/>
      <c r="T998" s="198"/>
      <c r="U998" s="198"/>
      <c r="V998" s="198"/>
      <c r="W998" s="198"/>
      <c r="X998" s="198"/>
      <c r="Y998" s="198"/>
      <c r="Z998" s="198"/>
    </row>
    <row r="999" spans="1:26" ht="12.75" customHeight="1">
      <c r="A999" s="198"/>
      <c r="B999" s="198"/>
      <c r="C999" s="198"/>
      <c r="D999" s="198"/>
      <c r="E999" s="198"/>
      <c r="F999" s="198"/>
      <c r="G999" s="198"/>
      <c r="H999" s="198"/>
      <c r="I999" s="198"/>
      <c r="J999" s="198"/>
      <c r="K999" s="198"/>
      <c r="L999" s="198"/>
      <c r="M999" s="198"/>
      <c r="N999" s="198"/>
      <c r="O999" s="198"/>
      <c r="P999" s="198"/>
      <c r="Q999" s="198"/>
      <c r="R999" s="198"/>
      <c r="S999" s="198"/>
      <c r="T999" s="198"/>
      <c r="U999" s="198"/>
      <c r="V999" s="198"/>
      <c r="W999" s="198"/>
      <c r="X999" s="198"/>
      <c r="Y999" s="198"/>
      <c r="Z999" s="198"/>
    </row>
    <row r="1000" spans="1:26" ht="12.75" customHeight="1">
      <c r="A1000" s="198"/>
      <c r="B1000" s="198"/>
      <c r="C1000" s="198"/>
      <c r="D1000" s="198"/>
      <c r="E1000" s="198"/>
      <c r="F1000" s="198"/>
      <c r="G1000" s="198"/>
      <c r="H1000" s="198"/>
      <c r="I1000" s="198"/>
      <c r="J1000" s="198"/>
      <c r="K1000" s="198"/>
      <c r="L1000" s="198"/>
      <c r="M1000" s="198"/>
      <c r="N1000" s="198"/>
      <c r="O1000" s="198"/>
      <c r="P1000" s="198"/>
      <c r="Q1000" s="198"/>
      <c r="R1000" s="198"/>
      <c r="S1000" s="198"/>
      <c r="T1000" s="198"/>
      <c r="U1000" s="198"/>
      <c r="V1000" s="198"/>
      <c r="W1000" s="198"/>
      <c r="X1000" s="198"/>
      <c r="Y1000" s="198"/>
      <c r="Z1000" s="198"/>
    </row>
  </sheetData>
  <mergeCells count="12">
    <mergeCell ref="A8:H8"/>
    <mergeCell ref="A9:H9"/>
    <mergeCell ref="B10:C10"/>
    <mergeCell ref="B12:C12"/>
    <mergeCell ref="B14:C14"/>
    <mergeCell ref="A6:H6"/>
    <mergeCell ref="A7:H7"/>
    <mergeCell ref="A1:H1"/>
    <mergeCell ref="A2:H2"/>
    <mergeCell ref="A3:H3"/>
    <mergeCell ref="A4:H4"/>
    <mergeCell ref="A5:H5"/>
  </mergeCells>
  <hyperlinks>
    <hyperlink ref="A8" location="null!A1" display="Table Of Contents" xr:uid="{00000000-0004-0000-0B00-000000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Revenue Forecast ETS</vt:lpstr>
      <vt:lpstr>Forecast</vt:lpstr>
      <vt:lpstr>WACC</vt:lpstr>
      <vt:lpstr>Beta Calculation</vt:lpstr>
      <vt:lpstr>Valuation DCF </vt:lpstr>
      <vt:lpstr>AFN</vt:lpstr>
      <vt:lpstr>Cash flow forecast</vt:lpstr>
      <vt:lpstr>WCM</vt:lpstr>
      <vt:lpstr>INCOME_STATEMENT</vt:lpstr>
      <vt:lpstr>BALANCE_SHEET</vt:lpstr>
      <vt:lpstr>CASH_FLOW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Kim Hoang Pham</dc:creator>
  <cp:lastModifiedBy>Purva Bhatia</cp:lastModifiedBy>
  <dcterms:created xsi:type="dcterms:W3CDTF">2025-10-25T21:43:31Z</dcterms:created>
  <dcterms:modified xsi:type="dcterms:W3CDTF">2026-05-20T02:28:38Z</dcterms:modified>
</cp:coreProperties>
</file>